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Edupack 2021\Downloads\"/>
    </mc:Choice>
  </mc:AlternateContent>
  <xr:revisionPtr revIDLastSave="1678" documentId="13_ncr:1_{5C5BB1D5-EA2B-472B-97D5-1E6A3E775EB0}" xr6:coauthVersionLast="47" xr6:coauthVersionMax="47" xr10:uidLastSave="{35C2FD68-DEE3-4439-AC62-DB0291698005}"/>
  <bookViews>
    <workbookView xWindow="20370" yWindow="-120" windowWidth="19440" windowHeight="10440" firstSheet="8" activeTab="8" xr2:uid="{00000000-000D-0000-FFFF-FFFF00000000}"/>
  </bookViews>
  <sheets>
    <sheet name="ANALYSIS BY SUBJECTS" sheetId="19" r:id="rId1"/>
    <sheet name="OVERALL PERFORMANCES" sheetId="20" r:id="rId2"/>
    <sheet name="CLASS AVERAGE" sheetId="18" state="hidden" r:id="rId3"/>
    <sheet name="By Class" sheetId="21" state="hidden" r:id="rId4"/>
    <sheet name="IGCSE SUBJECTS" sheetId="23" state="hidden" r:id="rId5"/>
    <sheet name="OVERALL ANALYSIS" sheetId="24" r:id="rId6"/>
    <sheet name="Sheet1" sheetId="22" state="hidden" r:id="rId7"/>
    <sheet name="Sheet2" sheetId="25" state="hidden" r:id="rId8"/>
    <sheet name="3'O' and 5'O' &amp; above" sheetId="27" r:id="rId9"/>
    <sheet name="No.of Credits Attained" sheetId="28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Print_Area" localSheetId="3">'By Class'!$A$85:$P$110</definedName>
    <definedName name="_xlnm.Print_Area" localSheetId="2">'CLASS AVERAGE'!$A$1:$M$33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27" l="1"/>
  <c r="K6" i="27"/>
  <c r="J6" i="27"/>
  <c r="I6" i="27"/>
  <c r="H6" i="27"/>
  <c r="G6" i="27"/>
  <c r="F6" i="27"/>
  <c r="E6" i="27"/>
  <c r="D6" i="27"/>
  <c r="C6" i="27"/>
  <c r="L5" i="27"/>
  <c r="K5" i="27"/>
  <c r="J5" i="27"/>
  <c r="I5" i="27"/>
  <c r="H5" i="27"/>
  <c r="G5" i="27"/>
  <c r="F5" i="27"/>
  <c r="E5" i="27"/>
  <c r="D5" i="27"/>
  <c r="C5" i="27"/>
  <c r="D181" i="19" a="1"/>
  <c r="D181" i="19"/>
  <c r="D165" i="19" a="1"/>
  <c r="D165" i="19"/>
  <c r="D117" i="19" a="1"/>
  <c r="D117" i="19"/>
  <c r="D36" i="19" a="1"/>
  <c r="D36" i="19"/>
  <c r="D62" i="19" a="1"/>
  <c r="D62" i="19"/>
  <c r="D11" i="19" a="1"/>
  <c r="D11" i="19"/>
  <c r="D180" i="19" a="1"/>
  <c r="D180" i="19"/>
  <c r="D164" i="19" a="1"/>
  <c r="D164" i="19"/>
  <c r="D116" i="19" a="1"/>
  <c r="D116" i="19"/>
  <c r="D103" i="19" a="1"/>
  <c r="D103" i="19"/>
  <c r="D61" i="19" a="1"/>
  <c r="D61" i="19"/>
  <c r="D55" i="19" a="1"/>
  <c r="D55" i="19"/>
  <c r="D29" i="19" a="1"/>
  <c r="D29" i="19"/>
  <c r="D17" i="19" a="1"/>
  <c r="D17" i="19"/>
  <c r="D10" i="19" a="1"/>
  <c r="D10" i="19"/>
  <c r="L204" i="19"/>
  <c r="K204" i="19"/>
  <c r="J204" i="19"/>
  <c r="I204" i="19"/>
  <c r="G204" i="19"/>
  <c r="H204" i="19"/>
  <c r="D195" i="19" a="1"/>
  <c r="D195" i="19"/>
  <c r="D139" i="19" a="1"/>
  <c r="D139" i="19"/>
  <c r="D125" i="19" a="1"/>
  <c r="D125" i="19"/>
  <c r="D115" i="19" a="1"/>
  <c r="D115" i="19"/>
  <c r="D78" i="19" a="1"/>
  <c r="D78" i="19"/>
  <c r="D9" i="19" a="1"/>
  <c r="D9" i="19"/>
  <c r="L203" i="19"/>
  <c r="K203" i="19"/>
  <c r="J203" i="19"/>
  <c r="I203" i="19"/>
  <c r="H203" i="19"/>
  <c r="G203" i="19"/>
  <c r="M203" i="19"/>
  <c r="D173" i="19" a="1"/>
  <c r="D173" i="19"/>
  <c r="D152" i="19" a="1"/>
  <c r="D152" i="19"/>
  <c r="D133" i="19" a="1"/>
  <c r="D133" i="19"/>
  <c r="D114" i="19" a="1"/>
  <c r="D114" i="19"/>
  <c r="D77" i="19" a="1"/>
  <c r="D77" i="19"/>
  <c r="D54" i="19" a="1"/>
  <c r="D54" i="19"/>
  <c r="D28" i="19" a="1"/>
  <c r="D28" i="19"/>
  <c r="D8" i="19" a="1"/>
  <c r="D8" i="19"/>
  <c r="D194" i="19" a="1"/>
  <c r="D194" i="19"/>
  <c r="L202" i="19"/>
  <c r="K202" i="19"/>
  <c r="J202" i="19"/>
  <c r="I202" i="19"/>
  <c r="H202" i="19"/>
  <c r="G202" i="19"/>
  <c r="D172" i="19" a="1"/>
  <c r="D172" i="19"/>
  <c r="D151" i="19" a="1"/>
  <c r="D151" i="19"/>
  <c r="D132" i="19" a="1"/>
  <c r="D132" i="19"/>
  <c r="D113" i="19" a="1"/>
  <c r="D113" i="19"/>
  <c r="D53" i="19" a="1"/>
  <c r="D53" i="19"/>
  <c r="D27" i="19" a="1"/>
  <c r="D27" i="19"/>
  <c r="D7" i="19" a="1"/>
  <c r="D7" i="19"/>
  <c r="D188" i="19" a="1"/>
  <c r="D188" i="19"/>
  <c r="D124" i="19" a="1"/>
  <c r="D124" i="19"/>
  <c r="D112" i="19" a="1"/>
  <c r="D112" i="19"/>
  <c r="D97" i="19" a="1"/>
  <c r="D97" i="19"/>
  <c r="D88" i="19" a="1"/>
  <c r="D88" i="19"/>
  <c r="D76" i="19" a="1"/>
  <c r="D76" i="19"/>
  <c r="D52" i="19" a="1"/>
  <c r="D52" i="19"/>
  <c r="D26" i="19" a="1"/>
  <c r="D26" i="19"/>
  <c r="D6" i="19" a="1"/>
  <c r="D6" i="19"/>
  <c r="D131" i="19" a="1"/>
  <c r="D131" i="19"/>
  <c r="D123" i="19" a="1"/>
  <c r="D123" i="19"/>
  <c r="D187" i="19" a="1"/>
  <c r="D187" i="19"/>
  <c r="D96" i="19" a="1"/>
  <c r="D96" i="19"/>
  <c r="D87" i="19" a="1"/>
  <c r="D87" i="19"/>
  <c r="D75" i="19" a="1"/>
  <c r="D75" i="19"/>
  <c r="D111" i="19" a="1"/>
  <c r="D111" i="19"/>
  <c r="D51" i="19" a="1"/>
  <c r="D51" i="19"/>
  <c r="D25" i="19" a="1"/>
  <c r="D25" i="19"/>
  <c r="D5" i="19" a="1"/>
  <c r="D5" i="19"/>
  <c r="L4" i="19"/>
  <c r="K4" i="19"/>
  <c r="J4" i="19"/>
  <c r="I4" i="19"/>
  <c r="H4" i="19"/>
  <c r="G4" i="19"/>
  <c r="F4" i="19"/>
  <c r="E4" i="19"/>
  <c r="D4" i="19"/>
  <c r="D158" i="19" a="1"/>
  <c r="D158" i="19"/>
  <c r="D95" i="19" a="1"/>
  <c r="D95" i="19"/>
  <c r="D86" i="19" a="1"/>
  <c r="D86" i="19"/>
  <c r="D74" i="19" a="1"/>
  <c r="D74" i="19"/>
  <c r="D110" i="19" a="1"/>
  <c r="D110" i="19"/>
  <c r="D50" i="19" a="1"/>
  <c r="D50" i="19"/>
  <c r="D24" i="19" a="1"/>
  <c r="D24" i="19"/>
  <c r="T35" i="24"/>
  <c r="D205" i="19"/>
  <c r="E205" i="19"/>
  <c r="F205" i="19"/>
  <c r="G205" i="19"/>
  <c r="H205" i="19"/>
  <c r="I205" i="19"/>
  <c r="J205" i="19"/>
  <c r="K205" i="19"/>
  <c r="L205" i="19"/>
  <c r="D231" i="19"/>
  <c r="O203" i="19"/>
  <c r="O204" i="19"/>
  <c r="M204" i="19"/>
  <c r="C203" i="19"/>
  <c r="C204" i="19"/>
  <c r="C202" i="19"/>
  <c r="C205" i="19" s="1"/>
  <c r="C231" i="19" s="1"/>
  <c r="C35" i="24" s="1"/>
  <c r="O202" i="19"/>
  <c r="M202" i="19"/>
  <c r="L37" i="19"/>
  <c r="L228" i="19"/>
  <c r="E140" i="19"/>
  <c r="E222" i="19" s="1"/>
  <c r="F140" i="19"/>
  <c r="F222" i="19" s="1"/>
  <c r="G140" i="19"/>
  <c r="G222" i="19" s="1"/>
  <c r="H140" i="19"/>
  <c r="H222" i="19" s="1"/>
  <c r="I140" i="19"/>
  <c r="I222" i="19" s="1"/>
  <c r="J140" i="19"/>
  <c r="J222" i="19" s="1"/>
  <c r="K140" i="19"/>
  <c r="K222" i="19" s="1"/>
  <c r="L140" i="19"/>
  <c r="L222" i="19" s="1"/>
  <c r="D140" i="19"/>
  <c r="D222" i="19"/>
  <c r="L212" i="19"/>
  <c r="C104" i="19"/>
  <c r="C103" i="19"/>
  <c r="C56" i="19"/>
  <c r="C31" i="19"/>
  <c r="C37" i="19"/>
  <c r="M9" i="24"/>
  <c r="K37" i="19"/>
  <c r="J37" i="19"/>
  <c r="I37" i="19"/>
  <c r="H37" i="19"/>
  <c r="G37" i="19"/>
  <c r="F37" i="19"/>
  <c r="E37" i="19"/>
  <c r="D37" i="19"/>
  <c r="O36" i="19"/>
  <c r="M36" i="19"/>
  <c r="B12" i="27"/>
  <c r="M12" i="27"/>
  <c r="S35" i="24" l="1"/>
  <c r="P35" i="24"/>
  <c r="O231" i="19"/>
  <c r="P231" i="19" s="1"/>
  <c r="M231" i="19"/>
  <c r="N231" i="19" s="1"/>
  <c r="N204" i="19"/>
  <c r="N203" i="19"/>
  <c r="P204" i="19"/>
  <c r="P203" i="19"/>
  <c r="M205" i="19"/>
  <c r="N205" i="19" s="1"/>
  <c r="N202" i="19"/>
  <c r="O205" i="19"/>
  <c r="P205" i="19" s="1"/>
  <c r="P202" i="19"/>
  <c r="D212" i="19"/>
  <c r="E9" i="24" s="1"/>
  <c r="E212" i="19"/>
  <c r="F9" i="24" s="1"/>
  <c r="O222" i="19"/>
  <c r="C222" i="19"/>
  <c r="M222" i="19"/>
  <c r="N222" i="19" s="1"/>
  <c r="K212" i="19"/>
  <c r="L9" i="24" s="1"/>
  <c r="J212" i="19"/>
  <c r="K9" i="24" s="1"/>
  <c r="I212" i="19"/>
  <c r="J9" i="24" s="1"/>
  <c r="H212" i="19"/>
  <c r="I9" i="24" s="1"/>
  <c r="G212" i="19"/>
  <c r="H9" i="24" s="1"/>
  <c r="F212" i="19"/>
  <c r="M37" i="19"/>
  <c r="N36" i="19"/>
  <c r="O37" i="19"/>
  <c r="P36" i="19"/>
  <c r="M11" i="27"/>
  <c r="M6" i="27"/>
  <c r="M7" i="27"/>
  <c r="M8" i="27"/>
  <c r="M9" i="27"/>
  <c r="M10" i="27"/>
  <c r="B24" i="20" l="1"/>
  <c r="C24" i="20"/>
  <c r="P222" i="19"/>
  <c r="O212" i="19"/>
  <c r="C212" i="19"/>
  <c r="M212" i="19"/>
  <c r="N212" i="19" s="1"/>
  <c r="G9" i="24"/>
  <c r="P37" i="19"/>
  <c r="N37" i="19"/>
  <c r="B5" i="27"/>
  <c r="M5" i="27"/>
  <c r="N5" i="27" s="1"/>
  <c r="O5" i="27"/>
  <c r="M13" i="27"/>
  <c r="B6" i="27"/>
  <c r="B7" i="27"/>
  <c r="B8" i="27"/>
  <c r="B9" i="27"/>
  <c r="B10" i="27"/>
  <c r="B11" i="27"/>
  <c r="D9" i="24" l="1"/>
  <c r="C9" i="24"/>
  <c r="P212" i="19"/>
  <c r="S9" i="24"/>
  <c r="B5" i="20"/>
  <c r="T9" i="24"/>
  <c r="C5" i="20"/>
  <c r="M18" i="19"/>
  <c r="M17" i="19"/>
  <c r="O18" i="19"/>
  <c r="P18" i="19" s="1"/>
  <c r="O17" i="19"/>
  <c r="O19" i="19" s="1"/>
  <c r="O9" i="19"/>
  <c r="O8" i="19"/>
  <c r="O7" i="19"/>
  <c r="O6" i="19"/>
  <c r="O5" i="19"/>
  <c r="O4" i="19"/>
  <c r="P4" i="19" s="1"/>
  <c r="M11" i="19"/>
  <c r="N11" i="19" s="1"/>
  <c r="M10" i="19"/>
  <c r="N10" i="19" s="1"/>
  <c r="M9" i="19"/>
  <c r="M8" i="19"/>
  <c r="N8" i="19" s="1"/>
  <c r="M6" i="19"/>
  <c r="N6" i="19" s="1"/>
  <c r="M5" i="19"/>
  <c r="N5" i="19" s="1"/>
  <c r="M4" i="19"/>
  <c r="M7" i="19"/>
  <c r="N7" i="19" s="1"/>
  <c r="M68" i="19"/>
  <c r="O35" i="24"/>
  <c r="O195" i="19"/>
  <c r="P195" i="19" s="1"/>
  <c r="O194" i="19"/>
  <c r="P194" i="19" s="1"/>
  <c r="M195" i="19"/>
  <c r="N195" i="19" s="1"/>
  <c r="M194" i="19"/>
  <c r="N194" i="19" s="1"/>
  <c r="C196" i="19"/>
  <c r="O188" i="19"/>
  <c r="P188" i="19" s="1"/>
  <c r="O187" i="19"/>
  <c r="P187" i="19" s="1"/>
  <c r="M188" i="19"/>
  <c r="N188" i="19" s="1"/>
  <c r="M187" i="19"/>
  <c r="N187" i="19" s="1"/>
  <c r="C189" i="19"/>
  <c r="O181" i="19"/>
  <c r="P181" i="19" s="1"/>
  <c r="O180" i="19"/>
  <c r="P180" i="19" s="1"/>
  <c r="M181" i="19"/>
  <c r="N181" i="19" s="1"/>
  <c r="M180" i="19"/>
  <c r="C182" i="19"/>
  <c r="O173" i="19"/>
  <c r="P173" i="19" s="1"/>
  <c r="O172" i="19"/>
  <c r="P172" i="19" s="1"/>
  <c r="M173" i="19"/>
  <c r="N173" i="19" s="1"/>
  <c r="M172" i="19"/>
  <c r="N172" i="19" s="1"/>
  <c r="D174" i="19"/>
  <c r="D227" i="19" s="1"/>
  <c r="C174" i="19"/>
  <c r="O165" i="19"/>
  <c r="P165" i="19" s="1"/>
  <c r="O164" i="19"/>
  <c r="P164" i="19" s="1"/>
  <c r="M165" i="19"/>
  <c r="N165" i="19" s="1"/>
  <c r="M164" i="19"/>
  <c r="M166" i="19" s="1"/>
  <c r="C166" i="19"/>
  <c r="O158" i="19"/>
  <c r="O159" i="19" s="1"/>
  <c r="M158" i="19"/>
  <c r="M159" i="19" s="1"/>
  <c r="C159" i="19"/>
  <c r="O152" i="19"/>
  <c r="P152" i="19" s="1"/>
  <c r="O151" i="19"/>
  <c r="O153" i="19" s="1"/>
  <c r="M152" i="19"/>
  <c r="N152" i="19" s="1"/>
  <c r="M151" i="19"/>
  <c r="N151" i="19" s="1"/>
  <c r="C153" i="19"/>
  <c r="O139" i="19"/>
  <c r="P139" i="19" s="1"/>
  <c r="M139" i="19"/>
  <c r="M140" i="19" s="1"/>
  <c r="C140" i="19"/>
  <c r="O133" i="19"/>
  <c r="P133" i="19" s="1"/>
  <c r="O132" i="19"/>
  <c r="P132" i="19" s="1"/>
  <c r="O131" i="19"/>
  <c r="P131" i="19" s="1"/>
  <c r="M133" i="19"/>
  <c r="N133" i="19" s="1"/>
  <c r="M132" i="19"/>
  <c r="N132" i="19" s="1"/>
  <c r="M131" i="19"/>
  <c r="N131" i="19" s="1"/>
  <c r="C134" i="19"/>
  <c r="O125" i="19"/>
  <c r="P125" i="19" s="1"/>
  <c r="O124" i="19"/>
  <c r="O123" i="19"/>
  <c r="P123" i="19" s="1"/>
  <c r="M125" i="19"/>
  <c r="N125" i="19" s="1"/>
  <c r="M124" i="19"/>
  <c r="N124" i="19" s="1"/>
  <c r="M123" i="19"/>
  <c r="N123" i="19" s="1"/>
  <c r="C126" i="19"/>
  <c r="O117" i="19"/>
  <c r="P117" i="19" s="1"/>
  <c r="O116" i="19"/>
  <c r="P116" i="19" s="1"/>
  <c r="O115" i="19"/>
  <c r="P115" i="19" s="1"/>
  <c r="O114" i="19"/>
  <c r="P114" i="19" s="1"/>
  <c r="O113" i="19"/>
  <c r="P113" i="19" s="1"/>
  <c r="O112" i="19"/>
  <c r="P112" i="19" s="1"/>
  <c r="O111" i="19"/>
  <c r="P111" i="19" s="1"/>
  <c r="O110" i="19"/>
  <c r="M117" i="19"/>
  <c r="N117" i="19" s="1"/>
  <c r="M116" i="19"/>
  <c r="N116" i="19" s="1"/>
  <c r="M115" i="19"/>
  <c r="N115" i="19" s="1"/>
  <c r="M114" i="19"/>
  <c r="N114" i="19" s="1"/>
  <c r="M113" i="19"/>
  <c r="M112" i="19"/>
  <c r="N112" i="19" s="1"/>
  <c r="M111" i="19"/>
  <c r="N111" i="19" s="1"/>
  <c r="M110" i="19"/>
  <c r="N110" i="19" s="1"/>
  <c r="C118" i="19"/>
  <c r="O104" i="19"/>
  <c r="P104" i="19" s="1"/>
  <c r="O103" i="19"/>
  <c r="P103" i="19" s="1"/>
  <c r="C105" i="19"/>
  <c r="O97" i="19"/>
  <c r="P97" i="19" s="1"/>
  <c r="O96" i="19"/>
  <c r="P96" i="19" s="1"/>
  <c r="O95" i="19"/>
  <c r="O98" i="19" s="1"/>
  <c r="M97" i="19"/>
  <c r="N97" i="19" s="1"/>
  <c r="M96" i="19"/>
  <c r="N96" i="19" s="1"/>
  <c r="M95" i="19"/>
  <c r="M98" i="19" s="1"/>
  <c r="C98" i="19"/>
  <c r="O89" i="19"/>
  <c r="P89" i="19" s="1"/>
  <c r="O88" i="19"/>
  <c r="P88" i="19" s="1"/>
  <c r="O87" i="19"/>
  <c r="P87" i="19" s="1"/>
  <c r="O86" i="19"/>
  <c r="O90" i="19" s="1"/>
  <c r="M89" i="19"/>
  <c r="N89" i="19" s="1"/>
  <c r="M88" i="19"/>
  <c r="N88" i="19" s="1"/>
  <c r="M87" i="19"/>
  <c r="N87" i="19" s="1"/>
  <c r="M86" i="19"/>
  <c r="D90" i="19"/>
  <c r="D216" i="19" s="1"/>
  <c r="E90" i="19"/>
  <c r="E216" i="19" s="1"/>
  <c r="F90" i="19"/>
  <c r="F216" i="19" s="1"/>
  <c r="G90" i="19"/>
  <c r="G216" i="19" s="1"/>
  <c r="H90" i="19"/>
  <c r="H216" i="19" s="1"/>
  <c r="I90" i="19"/>
  <c r="I216" i="19" s="1"/>
  <c r="J90" i="19"/>
  <c r="J216" i="19" s="1"/>
  <c r="K90" i="19"/>
  <c r="K216" i="19" s="1"/>
  <c r="L90" i="19"/>
  <c r="L216" i="19" s="1"/>
  <c r="C90" i="19"/>
  <c r="O78" i="19"/>
  <c r="P78" i="19" s="1"/>
  <c r="O77" i="19"/>
  <c r="P77" i="19" s="1"/>
  <c r="O76" i="19"/>
  <c r="P76" i="19" s="1"/>
  <c r="O75" i="19"/>
  <c r="P75" i="19" s="1"/>
  <c r="O74" i="19"/>
  <c r="M78" i="19"/>
  <c r="N78" i="19" s="1"/>
  <c r="M77" i="19"/>
  <c r="N77" i="19" s="1"/>
  <c r="M76" i="19"/>
  <c r="N76" i="19" s="1"/>
  <c r="M75" i="19"/>
  <c r="N75" i="19" s="1"/>
  <c r="M74" i="19"/>
  <c r="M79" i="19" s="1"/>
  <c r="D79" i="19"/>
  <c r="D215" i="19" s="1"/>
  <c r="E79" i="19"/>
  <c r="E215" i="19" s="1"/>
  <c r="F79" i="19"/>
  <c r="F215" i="19" s="1"/>
  <c r="G79" i="19"/>
  <c r="G215" i="19" s="1"/>
  <c r="H79" i="19"/>
  <c r="H215" i="19" s="1"/>
  <c r="I79" i="19"/>
  <c r="I215" i="19" s="1"/>
  <c r="J79" i="19"/>
  <c r="J215" i="19" s="1"/>
  <c r="K79" i="19"/>
  <c r="K215" i="19" s="1"/>
  <c r="L79" i="19"/>
  <c r="L215" i="19" s="1"/>
  <c r="C79" i="19"/>
  <c r="O68" i="19"/>
  <c r="O69" i="19" s="1"/>
  <c r="D69" i="19"/>
  <c r="D214" i="19" s="1"/>
  <c r="O62" i="19"/>
  <c r="P62" i="19" s="1"/>
  <c r="O61" i="19"/>
  <c r="P61" i="19" s="1"/>
  <c r="M62" i="19"/>
  <c r="N62" i="19" s="1"/>
  <c r="M61" i="19"/>
  <c r="N61" i="19" s="1"/>
  <c r="C63" i="19"/>
  <c r="O55" i="19"/>
  <c r="P55" i="19" s="1"/>
  <c r="O54" i="19"/>
  <c r="P54" i="19" s="1"/>
  <c r="O53" i="19"/>
  <c r="P53" i="19" s="1"/>
  <c r="O52" i="19"/>
  <c r="P52" i="19" s="1"/>
  <c r="O51" i="19"/>
  <c r="P51" i="19" s="1"/>
  <c r="O50" i="19"/>
  <c r="P50" i="19" s="1"/>
  <c r="M55" i="19"/>
  <c r="N55" i="19" s="1"/>
  <c r="M54" i="19"/>
  <c r="N54" i="19" s="1"/>
  <c r="M53" i="19"/>
  <c r="N53" i="19" s="1"/>
  <c r="M52" i="19"/>
  <c r="N52" i="19" s="1"/>
  <c r="M51" i="19"/>
  <c r="N51" i="19" s="1"/>
  <c r="M50" i="19"/>
  <c r="O30" i="19"/>
  <c r="P30" i="19" s="1"/>
  <c r="O29" i="19"/>
  <c r="P29" i="19" s="1"/>
  <c r="O28" i="19"/>
  <c r="P28" i="19" s="1"/>
  <c r="O27" i="19"/>
  <c r="P27" i="19" s="1"/>
  <c r="O26" i="19"/>
  <c r="P26" i="19" s="1"/>
  <c r="O25" i="19"/>
  <c r="P25" i="19" s="1"/>
  <c r="O24" i="19"/>
  <c r="M30" i="19"/>
  <c r="N30" i="19" s="1"/>
  <c r="M29" i="19"/>
  <c r="N29" i="19" s="1"/>
  <c r="M28" i="19"/>
  <c r="N28" i="19" s="1"/>
  <c r="M27" i="19"/>
  <c r="N27" i="19" s="1"/>
  <c r="M26" i="19"/>
  <c r="N26" i="19" s="1"/>
  <c r="M25" i="19"/>
  <c r="N25" i="19" s="1"/>
  <c r="M24" i="19"/>
  <c r="N24" i="19" s="1"/>
  <c r="D19" i="19"/>
  <c r="D228" i="19" s="1"/>
  <c r="N9" i="19"/>
  <c r="C12" i="19"/>
  <c r="O215" i="19" l="1"/>
  <c r="C215" i="19"/>
  <c r="M215" i="19"/>
  <c r="N215" i="19" s="1"/>
  <c r="O216" i="19"/>
  <c r="C216" i="19"/>
  <c r="M216" i="19"/>
  <c r="N216" i="19" s="1"/>
  <c r="R9" i="24"/>
  <c r="Q9" i="24"/>
  <c r="P9" i="24"/>
  <c r="O9" i="24"/>
  <c r="O118" i="19"/>
  <c r="P118" i="19" s="1"/>
  <c r="O79" i="19"/>
  <c r="P79" i="19" s="1"/>
  <c r="M56" i="19"/>
  <c r="O31" i="19"/>
  <c r="P31" i="19" s="1"/>
  <c r="N166" i="19"/>
  <c r="D27" i="24"/>
  <c r="C27" i="24"/>
  <c r="M12" i="19"/>
  <c r="N4" i="19"/>
  <c r="R35" i="24"/>
  <c r="Q35" i="24"/>
  <c r="M182" i="19"/>
  <c r="N182" i="19" s="1"/>
  <c r="M90" i="19"/>
  <c r="N180" i="19"/>
  <c r="N164" i="19"/>
  <c r="N159" i="19"/>
  <c r="P159" i="19"/>
  <c r="P151" i="19"/>
  <c r="P153" i="19"/>
  <c r="N140" i="19"/>
  <c r="O126" i="19"/>
  <c r="P126" i="19" s="1"/>
  <c r="O105" i="19"/>
  <c r="P105" i="19" s="1"/>
  <c r="N95" i="19"/>
  <c r="P95" i="19"/>
  <c r="N98" i="19"/>
  <c r="P98" i="19"/>
  <c r="P86" i="19"/>
  <c r="N86" i="19"/>
  <c r="N90" i="19"/>
  <c r="P90" i="19"/>
  <c r="M134" i="19"/>
  <c r="N134" i="19" s="1"/>
  <c r="O134" i="19"/>
  <c r="P134" i="19" s="1"/>
  <c r="N139" i="19"/>
  <c r="P158" i="19"/>
  <c r="O174" i="19"/>
  <c r="P174" i="19" s="1"/>
  <c r="P68" i="19"/>
  <c r="N74" i="19"/>
  <c r="M118" i="19"/>
  <c r="N118" i="19" s="1"/>
  <c r="P124" i="19"/>
  <c r="M189" i="19"/>
  <c r="N189" i="19" s="1"/>
  <c r="O189" i="19"/>
  <c r="P189" i="19" s="1"/>
  <c r="M63" i="19"/>
  <c r="N63" i="19" s="1"/>
  <c r="O182" i="19"/>
  <c r="P182" i="19" s="1"/>
  <c r="O196" i="19"/>
  <c r="P196" i="19" s="1"/>
  <c r="O63" i="19"/>
  <c r="P63" i="19" s="1"/>
  <c r="P74" i="19"/>
  <c r="P110" i="19"/>
  <c r="O140" i="19"/>
  <c r="P140" i="19" s="1"/>
  <c r="N158" i="19"/>
  <c r="M19" i="19"/>
  <c r="N50" i="19"/>
  <c r="O56" i="19"/>
  <c r="P56" i="19" s="1"/>
  <c r="N56" i="19"/>
  <c r="M31" i="19"/>
  <c r="N31" i="19" s="1"/>
  <c r="P24" i="19"/>
  <c r="P17" i="19"/>
  <c r="M196" i="19"/>
  <c r="N196" i="19" s="1"/>
  <c r="M174" i="19"/>
  <c r="N174" i="19" s="1"/>
  <c r="M153" i="19"/>
  <c r="N153" i="19" s="1"/>
  <c r="M126" i="19"/>
  <c r="N126" i="19" s="1"/>
  <c r="P216" i="19" l="1"/>
  <c r="P215" i="19"/>
  <c r="N10" i="27"/>
  <c r="D31" i="19"/>
  <c r="E31" i="19"/>
  <c r="F31" i="19"/>
  <c r="G31" i="19"/>
  <c r="H31" i="19"/>
  <c r="I31" i="19"/>
  <c r="J31" i="19"/>
  <c r="K31" i="19"/>
  <c r="L31" i="19"/>
  <c r="E24" i="24"/>
  <c r="E174" i="19"/>
  <c r="F174" i="19"/>
  <c r="F227" i="19" s="1"/>
  <c r="G174" i="19"/>
  <c r="H174" i="19"/>
  <c r="I174" i="19"/>
  <c r="J174" i="19"/>
  <c r="K174" i="19"/>
  <c r="L174" i="19"/>
  <c r="D196" i="19"/>
  <c r="E196" i="19"/>
  <c r="F196" i="19"/>
  <c r="G196" i="19"/>
  <c r="H196" i="19"/>
  <c r="I196" i="19"/>
  <c r="J196" i="19"/>
  <c r="K196" i="19"/>
  <c r="L196" i="19"/>
  <c r="N9" i="27"/>
  <c r="N11" i="27"/>
  <c r="M104" i="19"/>
  <c r="N104" i="19" s="1"/>
  <c r="N18" i="19"/>
  <c r="L159" i="19"/>
  <c r="K159" i="19"/>
  <c r="J159" i="19"/>
  <c r="I159" i="19"/>
  <c r="H159" i="19"/>
  <c r="G159" i="19"/>
  <c r="F159" i="19"/>
  <c r="E159" i="19"/>
  <c r="D159" i="19"/>
  <c r="E19" i="24"/>
  <c r="F19" i="24"/>
  <c r="I19" i="24"/>
  <c r="K19" i="24"/>
  <c r="C141" i="19"/>
  <c r="L126" i="19"/>
  <c r="K12" i="24"/>
  <c r="L69" i="19"/>
  <c r="E11" i="24"/>
  <c r="E69" i="19"/>
  <c r="F69" i="19"/>
  <c r="G69" i="19"/>
  <c r="H69" i="19"/>
  <c r="I69" i="19"/>
  <c r="J69" i="19"/>
  <c r="K69" i="19"/>
  <c r="C69" i="19"/>
  <c r="N113" i="19"/>
  <c r="O10" i="27"/>
  <c r="O10" i="19"/>
  <c r="P10" i="19" s="1"/>
  <c r="C19" i="19"/>
  <c r="D12" i="19"/>
  <c r="E12" i="19"/>
  <c r="F12" i="19"/>
  <c r="G12" i="19"/>
  <c r="H12" i="19"/>
  <c r="I12" i="19"/>
  <c r="J12" i="19"/>
  <c r="K12" i="19"/>
  <c r="L12" i="19"/>
  <c r="O28" i="24"/>
  <c r="P28" i="24"/>
  <c r="L13" i="27"/>
  <c r="O7" i="27"/>
  <c r="O43" i="19"/>
  <c r="P43" i="19" s="1"/>
  <c r="M43" i="19"/>
  <c r="N43" i="19" s="1"/>
  <c r="P9" i="19"/>
  <c r="O9" i="27"/>
  <c r="P9" i="27" s="1"/>
  <c r="O12" i="27"/>
  <c r="O11" i="27"/>
  <c r="O8" i="27"/>
  <c r="O6" i="27"/>
  <c r="P5" i="27"/>
  <c r="J153" i="19"/>
  <c r="L12" i="24"/>
  <c r="D45" i="19"/>
  <c r="H33" i="24" s="1"/>
  <c r="E45" i="19"/>
  <c r="I33" i="24" s="1"/>
  <c r="F45" i="19"/>
  <c r="J33" i="24" s="1"/>
  <c r="G45" i="19"/>
  <c r="K33" i="24" s="1"/>
  <c r="H45" i="19"/>
  <c r="L9" i="23" s="1"/>
  <c r="C45" i="19"/>
  <c r="C33" i="24" s="1"/>
  <c r="O33" i="24" s="1"/>
  <c r="I45" i="19"/>
  <c r="M33" i="24" s="1"/>
  <c r="D63" i="19"/>
  <c r="H34" i="24" s="1"/>
  <c r="E63" i="19"/>
  <c r="I34" i="24" s="1"/>
  <c r="F63" i="19"/>
  <c r="J34" i="24" s="1"/>
  <c r="G63" i="19"/>
  <c r="K34" i="24" s="1"/>
  <c r="H63" i="19"/>
  <c r="L34" i="24" s="1"/>
  <c r="D34" i="24"/>
  <c r="I63" i="19"/>
  <c r="M34" i="24" s="1"/>
  <c r="D56" i="19"/>
  <c r="C13" i="27"/>
  <c r="D13" i="27"/>
  <c r="E13" i="27"/>
  <c r="F13" i="27"/>
  <c r="G13" i="27"/>
  <c r="H13" i="27"/>
  <c r="I13" i="27"/>
  <c r="J13" i="27"/>
  <c r="K13" i="27"/>
  <c r="M103" i="19"/>
  <c r="N17" i="19"/>
  <c r="D13" i="24"/>
  <c r="E126" i="19"/>
  <c r="F126" i="19"/>
  <c r="G126" i="19"/>
  <c r="H126" i="19"/>
  <c r="I126" i="19"/>
  <c r="J126" i="19"/>
  <c r="K126" i="19"/>
  <c r="D126" i="19"/>
  <c r="D98" i="19"/>
  <c r="E98" i="19"/>
  <c r="F98" i="19"/>
  <c r="G98" i="19"/>
  <c r="H98" i="19"/>
  <c r="I98" i="19"/>
  <c r="J98" i="19"/>
  <c r="K98" i="19"/>
  <c r="L98" i="19"/>
  <c r="E13" i="24"/>
  <c r="F13" i="24"/>
  <c r="G13" i="24"/>
  <c r="H13" i="24"/>
  <c r="I13" i="24"/>
  <c r="J13" i="24"/>
  <c r="K13" i="24"/>
  <c r="L13" i="24"/>
  <c r="M13" i="24"/>
  <c r="E12" i="24"/>
  <c r="F12" i="24"/>
  <c r="G12" i="24"/>
  <c r="H12" i="24"/>
  <c r="I12" i="24"/>
  <c r="J12" i="24"/>
  <c r="M12" i="24"/>
  <c r="D12" i="24"/>
  <c r="M44" i="19"/>
  <c r="N44" i="19" s="1"/>
  <c r="O44" i="19"/>
  <c r="P44" i="19" s="1"/>
  <c r="O11" i="19"/>
  <c r="P11" i="19" s="1"/>
  <c r="P6" i="19"/>
  <c r="P7" i="19"/>
  <c r="P8" i="19"/>
  <c r="I10" i="23"/>
  <c r="E25" i="24"/>
  <c r="E19" i="19"/>
  <c r="F19" i="19"/>
  <c r="G19" i="19"/>
  <c r="H19" i="19"/>
  <c r="I19" i="19"/>
  <c r="J19" i="19"/>
  <c r="K19" i="19"/>
  <c r="M25" i="24"/>
  <c r="E56" i="19"/>
  <c r="F56" i="19"/>
  <c r="G56" i="19"/>
  <c r="H56" i="19"/>
  <c r="I56" i="19"/>
  <c r="J56" i="19"/>
  <c r="K56" i="19"/>
  <c r="L56" i="19"/>
  <c r="L182" i="19"/>
  <c r="K182" i="19"/>
  <c r="J182" i="19"/>
  <c r="I182" i="19"/>
  <c r="H182" i="19"/>
  <c r="G182" i="19"/>
  <c r="F182" i="19"/>
  <c r="E182" i="19"/>
  <c r="D182" i="19"/>
  <c r="T12" i="23"/>
  <c r="S12" i="23"/>
  <c r="R12" i="23"/>
  <c r="Q12" i="23"/>
  <c r="P12" i="23"/>
  <c r="O12" i="23"/>
  <c r="E189" i="19"/>
  <c r="E230" i="19" s="1"/>
  <c r="D24" i="22"/>
  <c r="D23" i="22"/>
  <c r="L189" i="19"/>
  <c r="L230" i="19" s="1"/>
  <c r="K189" i="19"/>
  <c r="K230" i="19" s="1"/>
  <c r="J189" i="19"/>
  <c r="J230" i="19" s="1"/>
  <c r="I189" i="19"/>
  <c r="I230" i="19" s="1"/>
  <c r="H189" i="19"/>
  <c r="H230" i="19" s="1"/>
  <c r="G189" i="19"/>
  <c r="G230" i="19" s="1"/>
  <c r="F189" i="19"/>
  <c r="F230" i="19" s="1"/>
  <c r="D189" i="19"/>
  <c r="D230" i="19" s="1"/>
  <c r="L166" i="19"/>
  <c r="D166" i="19"/>
  <c r="D225" i="19" s="1"/>
  <c r="E166" i="19"/>
  <c r="F166" i="19"/>
  <c r="G166" i="19"/>
  <c r="H166" i="19"/>
  <c r="H225" i="19" s="1"/>
  <c r="I166" i="19"/>
  <c r="K166" i="19"/>
  <c r="J166" i="19"/>
  <c r="N5" i="21"/>
  <c r="N14" i="21"/>
  <c r="O5" i="21"/>
  <c r="P5" i="21"/>
  <c r="P14" i="21"/>
  <c r="N6" i="21"/>
  <c r="O6" i="21"/>
  <c r="P6" i="21"/>
  <c r="N7" i="21"/>
  <c r="O7" i="21"/>
  <c r="P7" i="21"/>
  <c r="N8" i="21"/>
  <c r="O8" i="21"/>
  <c r="P8" i="21"/>
  <c r="N9" i="21"/>
  <c r="O9" i="21"/>
  <c r="P9" i="21"/>
  <c r="N10" i="21"/>
  <c r="O10" i="21"/>
  <c r="P10" i="21"/>
  <c r="N11" i="21"/>
  <c r="O11" i="21"/>
  <c r="P11" i="21"/>
  <c r="N12" i="21"/>
  <c r="O12" i="21"/>
  <c r="P12" i="21"/>
  <c r="N13" i="21"/>
  <c r="O13" i="21"/>
  <c r="P13" i="21"/>
  <c r="N19" i="21"/>
  <c r="O19" i="21"/>
  <c r="P19" i="21"/>
  <c r="P29" i="21"/>
  <c r="N20" i="21"/>
  <c r="O20" i="21"/>
  <c r="P20" i="21"/>
  <c r="N21" i="21"/>
  <c r="O21" i="21"/>
  <c r="P21" i="21"/>
  <c r="N22" i="21"/>
  <c r="P22" i="21"/>
  <c r="N23" i="21"/>
  <c r="P23" i="21"/>
  <c r="N24" i="21"/>
  <c r="P24" i="21"/>
  <c r="N25" i="21"/>
  <c r="P25" i="21"/>
  <c r="N26" i="21"/>
  <c r="P26" i="21"/>
  <c r="N27" i="21"/>
  <c r="P27" i="21"/>
  <c r="N28" i="21"/>
  <c r="P28" i="21"/>
  <c r="N29" i="21"/>
  <c r="N34" i="21"/>
  <c r="N43" i="21"/>
  <c r="P34" i="21"/>
  <c r="P43" i="21"/>
  <c r="N35" i="21"/>
  <c r="P35" i="21"/>
  <c r="N36" i="21"/>
  <c r="P36" i="21"/>
  <c r="N37" i="21"/>
  <c r="P37" i="21"/>
  <c r="N38" i="21"/>
  <c r="P38" i="21"/>
  <c r="N39" i="21"/>
  <c r="P39" i="21"/>
  <c r="N40" i="21"/>
  <c r="P40" i="21"/>
  <c r="N41" i="21"/>
  <c r="P41" i="21"/>
  <c r="N42" i="21"/>
  <c r="P42" i="21"/>
  <c r="N48" i="21"/>
  <c r="N57" i="21"/>
  <c r="P48" i="21"/>
  <c r="P57" i="21"/>
  <c r="N49" i="21"/>
  <c r="P49" i="21"/>
  <c r="N50" i="21"/>
  <c r="P50" i="21"/>
  <c r="N51" i="21"/>
  <c r="P51" i="21"/>
  <c r="N52" i="21"/>
  <c r="P52" i="21"/>
  <c r="N53" i="21"/>
  <c r="P53" i="21"/>
  <c r="N54" i="21"/>
  <c r="P54" i="21"/>
  <c r="N55" i="21"/>
  <c r="P55" i="21"/>
  <c r="N56" i="21"/>
  <c r="P56" i="21"/>
  <c r="N62" i="21"/>
  <c r="N70" i="21"/>
  <c r="P62" i="21"/>
  <c r="N63" i="21"/>
  <c r="P63" i="21"/>
  <c r="N64" i="21"/>
  <c r="P64" i="21"/>
  <c r="N65" i="21"/>
  <c r="P65" i="21"/>
  <c r="N66" i="21"/>
  <c r="P66" i="21"/>
  <c r="N67" i="21"/>
  <c r="P67" i="21"/>
  <c r="N68" i="21"/>
  <c r="P68" i="21"/>
  <c r="N69" i="21"/>
  <c r="P69" i="21"/>
  <c r="P70" i="21"/>
  <c r="N75" i="21"/>
  <c r="P75" i="21"/>
  <c r="N76" i="21"/>
  <c r="P76" i="21"/>
  <c r="N77" i="21"/>
  <c r="P77" i="21"/>
  <c r="N78" i="21"/>
  <c r="P78" i="21"/>
  <c r="N79" i="21"/>
  <c r="P79" i="21"/>
  <c r="N80" i="21"/>
  <c r="P80" i="21"/>
  <c r="N81" i="21"/>
  <c r="P81" i="21"/>
  <c r="N82" i="21"/>
  <c r="P82" i="21"/>
  <c r="N83" i="21"/>
  <c r="P83" i="21"/>
  <c r="N89" i="21"/>
  <c r="N96" i="21"/>
  <c r="P89" i="21"/>
  <c r="P96" i="21"/>
  <c r="N90" i="21"/>
  <c r="P90" i="21"/>
  <c r="N91" i="21"/>
  <c r="P91" i="21"/>
  <c r="N92" i="21"/>
  <c r="P92" i="21"/>
  <c r="N93" i="21"/>
  <c r="P93" i="21"/>
  <c r="N94" i="21"/>
  <c r="P94" i="21"/>
  <c r="N95" i="21"/>
  <c r="P95" i="21"/>
  <c r="N102" i="21"/>
  <c r="N109" i="21"/>
  <c r="P102" i="21"/>
  <c r="P109" i="21"/>
  <c r="N103" i="21"/>
  <c r="P103" i="21"/>
  <c r="N104" i="21"/>
  <c r="P104" i="21"/>
  <c r="N105" i="21"/>
  <c r="P105" i="21"/>
  <c r="N106" i="21"/>
  <c r="P106" i="21"/>
  <c r="N107" i="21"/>
  <c r="P107" i="21"/>
  <c r="N108" i="21"/>
  <c r="P108" i="21"/>
  <c r="N136" i="21"/>
  <c r="P136" i="21"/>
  <c r="M42" i="19"/>
  <c r="N42" i="19" s="1"/>
  <c r="O42" i="19"/>
  <c r="P42" i="19" s="1"/>
  <c r="D105" i="19"/>
  <c r="E105" i="19"/>
  <c r="F105" i="19"/>
  <c r="G105" i="19"/>
  <c r="H105" i="19"/>
  <c r="I105" i="19"/>
  <c r="J105" i="19"/>
  <c r="K105" i="19"/>
  <c r="L105" i="19"/>
  <c r="D118" i="19"/>
  <c r="E118" i="19"/>
  <c r="F118" i="19"/>
  <c r="G118" i="19"/>
  <c r="H118" i="19"/>
  <c r="I118" i="19"/>
  <c r="J118" i="19"/>
  <c r="K118" i="19"/>
  <c r="L118" i="19"/>
  <c r="D134" i="19"/>
  <c r="D221" i="19" s="1"/>
  <c r="E134" i="19"/>
  <c r="F134" i="19"/>
  <c r="G134" i="19"/>
  <c r="H134" i="19"/>
  <c r="I134" i="19"/>
  <c r="J134" i="19"/>
  <c r="K134" i="19"/>
  <c r="L134" i="19"/>
  <c r="M145" i="19"/>
  <c r="M146" i="19" s="1"/>
  <c r="O145" i="19"/>
  <c r="O146" i="19" s="1"/>
  <c r="C146" i="19"/>
  <c r="D153" i="19"/>
  <c r="E153" i="19"/>
  <c r="F153" i="19"/>
  <c r="G153" i="19"/>
  <c r="H153" i="19"/>
  <c r="I153" i="19"/>
  <c r="K153" i="19"/>
  <c r="L153" i="19"/>
  <c r="Q11" i="23"/>
  <c r="P11" i="23"/>
  <c r="E11" i="23"/>
  <c r="S11" i="23" s="1"/>
  <c r="M11" i="23"/>
  <c r="R11" i="23" s="1"/>
  <c r="F11" i="23"/>
  <c r="N12" i="27"/>
  <c r="L224" i="19" l="1"/>
  <c r="M21" i="24" s="1"/>
  <c r="K224" i="19"/>
  <c r="L21" i="24" s="1"/>
  <c r="I224" i="19"/>
  <c r="J21" i="24" s="1"/>
  <c r="H224" i="19"/>
  <c r="I21" i="24" s="1"/>
  <c r="G224" i="19"/>
  <c r="H21" i="24" s="1"/>
  <c r="F224" i="19"/>
  <c r="G21" i="24" s="1"/>
  <c r="E224" i="19"/>
  <c r="F21" i="24" s="1"/>
  <c r="D224" i="19"/>
  <c r="L221" i="19"/>
  <c r="M18" i="24" s="1"/>
  <c r="K221" i="19"/>
  <c r="L18" i="24" s="1"/>
  <c r="J221" i="19"/>
  <c r="K18" i="24" s="1"/>
  <c r="I221" i="19"/>
  <c r="J18" i="24" s="1"/>
  <c r="H221" i="19"/>
  <c r="I18" i="24" s="1"/>
  <c r="G221" i="19"/>
  <c r="H18" i="24" s="1"/>
  <c r="F221" i="19"/>
  <c r="G18" i="24" s="1"/>
  <c r="E221" i="19"/>
  <c r="F18" i="24" s="1"/>
  <c r="O221" i="19"/>
  <c r="C221" i="19"/>
  <c r="D18" i="24" s="1"/>
  <c r="M221" i="19"/>
  <c r="N221" i="19" s="1"/>
  <c r="L220" i="19"/>
  <c r="M17" i="24" s="1"/>
  <c r="K220" i="19"/>
  <c r="L17" i="24" s="1"/>
  <c r="J220" i="19"/>
  <c r="K17" i="24" s="1"/>
  <c r="I220" i="19"/>
  <c r="J17" i="24" s="1"/>
  <c r="H220" i="19"/>
  <c r="I17" i="24" s="1"/>
  <c r="G220" i="19"/>
  <c r="H17" i="24" s="1"/>
  <c r="F220" i="19"/>
  <c r="G17" i="24" s="1"/>
  <c r="E220" i="19"/>
  <c r="F17" i="24" s="1"/>
  <c r="D220" i="19"/>
  <c r="L218" i="19"/>
  <c r="M15" i="24" s="1"/>
  <c r="L217" i="19"/>
  <c r="K218" i="19"/>
  <c r="L15" i="24" s="1"/>
  <c r="K217" i="19"/>
  <c r="J218" i="19"/>
  <c r="J217" i="19"/>
  <c r="I218" i="19"/>
  <c r="J15" i="24" s="1"/>
  <c r="I217" i="19"/>
  <c r="H218" i="19"/>
  <c r="I15" i="24" s="1"/>
  <c r="H217" i="19"/>
  <c r="G218" i="19"/>
  <c r="H15" i="24" s="1"/>
  <c r="G217" i="19"/>
  <c r="F218" i="19"/>
  <c r="G15" i="24" s="1"/>
  <c r="F217" i="19"/>
  <c r="E218" i="19"/>
  <c r="F15" i="24" s="1"/>
  <c r="E217" i="19"/>
  <c r="D218" i="19"/>
  <c r="D217" i="19"/>
  <c r="J225" i="19"/>
  <c r="K22" i="24" s="1"/>
  <c r="K225" i="19"/>
  <c r="L22" i="24" s="1"/>
  <c r="I225" i="19"/>
  <c r="J22" i="24" s="1"/>
  <c r="G225" i="19"/>
  <c r="H22" i="24" s="1"/>
  <c r="F225" i="19"/>
  <c r="G22" i="24" s="1"/>
  <c r="E225" i="19"/>
  <c r="F22" i="24" s="1"/>
  <c r="O225" i="19"/>
  <c r="M225" i="19"/>
  <c r="L225" i="19"/>
  <c r="O230" i="19"/>
  <c r="C230" i="19"/>
  <c r="M230" i="19"/>
  <c r="N230" i="19" s="1"/>
  <c r="D226" i="19"/>
  <c r="E226" i="19"/>
  <c r="F23" i="24" s="1"/>
  <c r="F226" i="19"/>
  <c r="G23" i="24" s="1"/>
  <c r="G226" i="19"/>
  <c r="H23" i="24" s="1"/>
  <c r="H226" i="19"/>
  <c r="I23" i="24" s="1"/>
  <c r="I226" i="19"/>
  <c r="J23" i="24" s="1"/>
  <c r="J226" i="19"/>
  <c r="K23" i="24" s="1"/>
  <c r="K226" i="19"/>
  <c r="L23" i="24" s="1"/>
  <c r="L226" i="19"/>
  <c r="M23" i="24" s="1"/>
  <c r="L213" i="19"/>
  <c r="M10" i="24" s="1"/>
  <c r="K213" i="19"/>
  <c r="L10" i="24" s="1"/>
  <c r="J213" i="19"/>
  <c r="K10" i="24" s="1"/>
  <c r="I213" i="19"/>
  <c r="J10" i="24" s="1"/>
  <c r="H213" i="19"/>
  <c r="I10" i="24" s="1"/>
  <c r="G213" i="19"/>
  <c r="H10" i="24" s="1"/>
  <c r="F213" i="19"/>
  <c r="G10" i="24" s="1"/>
  <c r="E213" i="19"/>
  <c r="F10" i="24" s="1"/>
  <c r="K228" i="19"/>
  <c r="L25" i="24" s="1"/>
  <c r="J228" i="19"/>
  <c r="K25" i="24" s="1"/>
  <c r="I228" i="19"/>
  <c r="J25" i="24" s="1"/>
  <c r="H228" i="19"/>
  <c r="I25" i="24" s="1"/>
  <c r="G228" i="19"/>
  <c r="H25" i="24" s="1"/>
  <c r="F228" i="19"/>
  <c r="G25" i="24" s="1"/>
  <c r="E228" i="19"/>
  <c r="M14" i="24"/>
  <c r="L14" i="24"/>
  <c r="K14" i="24"/>
  <c r="J14" i="24"/>
  <c r="I14" i="24"/>
  <c r="H14" i="24"/>
  <c r="G14" i="24"/>
  <c r="F14" i="24"/>
  <c r="E14" i="24"/>
  <c r="D219" i="19"/>
  <c r="K219" i="19"/>
  <c r="L16" i="24" s="1"/>
  <c r="J219" i="19"/>
  <c r="K16" i="24" s="1"/>
  <c r="I219" i="19"/>
  <c r="J16" i="24" s="1"/>
  <c r="H219" i="19"/>
  <c r="I16" i="24" s="1"/>
  <c r="G219" i="19"/>
  <c r="H16" i="24" s="1"/>
  <c r="F219" i="19"/>
  <c r="G16" i="24" s="1"/>
  <c r="E219" i="19"/>
  <c r="F16" i="24" s="1"/>
  <c r="D213" i="19"/>
  <c r="J224" i="19"/>
  <c r="K21" i="24" s="1"/>
  <c r="L210" i="19"/>
  <c r="M7" i="24" s="1"/>
  <c r="K210" i="19"/>
  <c r="L7" i="24" s="1"/>
  <c r="J210" i="19"/>
  <c r="K7" i="24" s="1"/>
  <c r="I210" i="19"/>
  <c r="J7" i="24" s="1"/>
  <c r="H210" i="19"/>
  <c r="I7" i="24" s="1"/>
  <c r="G210" i="19"/>
  <c r="H7" i="24" s="1"/>
  <c r="F210" i="19"/>
  <c r="G7" i="24" s="1"/>
  <c r="E210" i="19"/>
  <c r="F7" i="24" s="1"/>
  <c r="D210" i="19"/>
  <c r="K214" i="19"/>
  <c r="L11" i="24" s="1"/>
  <c r="J214" i="19"/>
  <c r="K11" i="24" s="1"/>
  <c r="I214" i="19"/>
  <c r="J11" i="24" s="1"/>
  <c r="H214" i="19"/>
  <c r="I11" i="24" s="1"/>
  <c r="G214" i="19"/>
  <c r="H11" i="24" s="1"/>
  <c r="F214" i="19"/>
  <c r="G11" i="24" s="1"/>
  <c r="E214" i="19"/>
  <c r="L214" i="19"/>
  <c r="M11" i="24" s="1"/>
  <c r="L219" i="19"/>
  <c r="M16" i="24" s="1"/>
  <c r="D223" i="19"/>
  <c r="E223" i="19"/>
  <c r="F20" i="24" s="1"/>
  <c r="F223" i="19"/>
  <c r="G20" i="24" s="1"/>
  <c r="G223" i="19"/>
  <c r="H20" i="24" s="1"/>
  <c r="H223" i="19"/>
  <c r="I20" i="24" s="1"/>
  <c r="I223" i="19"/>
  <c r="J20" i="24" s="1"/>
  <c r="J223" i="19"/>
  <c r="K20" i="24" s="1"/>
  <c r="K223" i="19"/>
  <c r="L20" i="24" s="1"/>
  <c r="L223" i="19"/>
  <c r="M20" i="24" s="1"/>
  <c r="L229" i="19"/>
  <c r="M26" i="24" s="1"/>
  <c r="K229" i="19"/>
  <c r="L26" i="24" s="1"/>
  <c r="J229" i="19"/>
  <c r="K26" i="24" s="1"/>
  <c r="I229" i="19"/>
  <c r="J26" i="24" s="1"/>
  <c r="H229" i="19"/>
  <c r="I26" i="24" s="1"/>
  <c r="G229" i="19"/>
  <c r="H26" i="24" s="1"/>
  <c r="F229" i="19"/>
  <c r="G26" i="24" s="1"/>
  <c r="E229" i="19"/>
  <c r="F26" i="24" s="1"/>
  <c r="D229" i="19"/>
  <c r="L227" i="19"/>
  <c r="M24" i="24" s="1"/>
  <c r="K227" i="19"/>
  <c r="L24" i="24" s="1"/>
  <c r="J227" i="19"/>
  <c r="K24" i="24" s="1"/>
  <c r="I227" i="19"/>
  <c r="J24" i="24" s="1"/>
  <c r="H227" i="19"/>
  <c r="I24" i="24" s="1"/>
  <c r="G227" i="19"/>
  <c r="H24" i="24" s="1"/>
  <c r="E227" i="19"/>
  <c r="L211" i="19"/>
  <c r="M8" i="24" s="1"/>
  <c r="K211" i="19"/>
  <c r="L8" i="24" s="1"/>
  <c r="J211" i="19"/>
  <c r="K8" i="24" s="1"/>
  <c r="I211" i="19"/>
  <c r="J8" i="24" s="1"/>
  <c r="H211" i="19"/>
  <c r="I8" i="24" s="1"/>
  <c r="G211" i="19"/>
  <c r="H8" i="24" s="1"/>
  <c r="F211" i="19"/>
  <c r="G8" i="24" s="1"/>
  <c r="E211" i="19"/>
  <c r="F8" i="24" s="1"/>
  <c r="D211" i="19"/>
  <c r="P11" i="27"/>
  <c r="O13" i="27"/>
  <c r="B19" i="28"/>
  <c r="D18" i="28" s="1"/>
  <c r="B13" i="27"/>
  <c r="N8" i="27"/>
  <c r="P8" i="27"/>
  <c r="N6" i="27"/>
  <c r="M28" i="24"/>
  <c r="R28" i="24" s="1"/>
  <c r="M27" i="24"/>
  <c r="R27" i="24" s="1"/>
  <c r="L28" i="24"/>
  <c r="L27" i="24"/>
  <c r="K28" i="24"/>
  <c r="K27" i="24"/>
  <c r="J27" i="24"/>
  <c r="I27" i="24"/>
  <c r="H27" i="24"/>
  <c r="G27" i="24"/>
  <c r="F27" i="24"/>
  <c r="E27" i="24"/>
  <c r="T34" i="24"/>
  <c r="N7" i="27"/>
  <c r="P7" i="27"/>
  <c r="P12" i="27"/>
  <c r="P10" i="27"/>
  <c r="P6" i="27"/>
  <c r="M105" i="19"/>
  <c r="N105" i="19" s="1"/>
  <c r="N103" i="19"/>
  <c r="E22" i="24"/>
  <c r="O166" i="19"/>
  <c r="P166" i="19" s="1"/>
  <c r="M69" i="19"/>
  <c r="N69" i="19" s="1"/>
  <c r="N68" i="19"/>
  <c r="P69" i="19"/>
  <c r="O12" i="19"/>
  <c r="P12" i="19" s="1"/>
  <c r="P19" i="19"/>
  <c r="P5" i="19"/>
  <c r="J9" i="23"/>
  <c r="D9" i="23"/>
  <c r="M19" i="24"/>
  <c r="M9" i="23"/>
  <c r="C12" i="24"/>
  <c r="P12" i="24" s="1"/>
  <c r="L19" i="24"/>
  <c r="L33" i="24"/>
  <c r="Q33" i="24" s="1"/>
  <c r="H9" i="23"/>
  <c r="C13" i="24"/>
  <c r="R13" i="24" s="1"/>
  <c r="D10" i="23"/>
  <c r="T10" i="23" s="1"/>
  <c r="N145" i="19"/>
  <c r="C9" i="23"/>
  <c r="O9" i="23" s="1"/>
  <c r="D33" i="24"/>
  <c r="C18" i="24"/>
  <c r="Q18" i="24" s="1"/>
  <c r="J19" i="24"/>
  <c r="B23" i="20"/>
  <c r="N146" i="19"/>
  <c r="M45" i="19"/>
  <c r="N45" i="19" s="1"/>
  <c r="I9" i="23"/>
  <c r="G19" i="24"/>
  <c r="C34" i="24"/>
  <c r="C10" i="23"/>
  <c r="K9" i="23"/>
  <c r="N79" i="19"/>
  <c r="B8" i="20" s="1"/>
  <c r="S12" i="24" s="1"/>
  <c r="O45" i="19"/>
  <c r="P45" i="19" s="1"/>
  <c r="T11" i="23"/>
  <c r="H19" i="24"/>
  <c r="G24" i="24"/>
  <c r="O11" i="23"/>
  <c r="N12" i="19"/>
  <c r="O141" i="19"/>
  <c r="P141" i="19" s="1"/>
  <c r="P146" i="19"/>
  <c r="K15" i="24"/>
  <c r="I22" i="24"/>
  <c r="E18" i="24"/>
  <c r="P145" i="19"/>
  <c r="P33" i="24"/>
  <c r="R33" i="24"/>
  <c r="S33" i="24"/>
  <c r="O211" i="19" l="1"/>
  <c r="C211" i="19"/>
  <c r="M211" i="19"/>
  <c r="N211" i="19" s="1"/>
  <c r="E8" i="24"/>
  <c r="O227" i="19"/>
  <c r="C227" i="19"/>
  <c r="M227" i="19"/>
  <c r="N227" i="19" s="1"/>
  <c r="F24" i="24"/>
  <c r="O229" i="19"/>
  <c r="C229" i="19"/>
  <c r="M229" i="19"/>
  <c r="N229" i="19" s="1"/>
  <c r="E26" i="24"/>
  <c r="O223" i="19"/>
  <c r="C223" i="19"/>
  <c r="M223" i="19"/>
  <c r="N223" i="19" s="1"/>
  <c r="B16" i="20" s="1"/>
  <c r="S20" i="24" s="1"/>
  <c r="E20" i="24"/>
  <c r="O214" i="19"/>
  <c r="C214" i="19"/>
  <c r="M214" i="19"/>
  <c r="N214" i="19" s="1"/>
  <c r="F11" i="24"/>
  <c r="O210" i="19"/>
  <c r="C210" i="19"/>
  <c r="M210" i="19"/>
  <c r="N210" i="19" s="1"/>
  <c r="E7" i="24"/>
  <c r="O213" i="19"/>
  <c r="C213" i="19"/>
  <c r="M213" i="19"/>
  <c r="N213" i="19" s="1"/>
  <c r="E10" i="24"/>
  <c r="O219" i="19"/>
  <c r="C219" i="19"/>
  <c r="M219" i="19"/>
  <c r="N219" i="19" s="1"/>
  <c r="E16" i="24"/>
  <c r="O228" i="19"/>
  <c r="C228" i="19"/>
  <c r="C25" i="24" s="1"/>
  <c r="M228" i="19"/>
  <c r="N228" i="19" s="1"/>
  <c r="F25" i="24"/>
  <c r="O226" i="19"/>
  <c r="C226" i="19"/>
  <c r="M226" i="19"/>
  <c r="N226" i="19" s="1"/>
  <c r="E23" i="24"/>
  <c r="P230" i="19"/>
  <c r="C225" i="19"/>
  <c r="M22" i="24"/>
  <c r="N225" i="19"/>
  <c r="P225" i="19"/>
  <c r="O217" i="19"/>
  <c r="C217" i="19"/>
  <c r="M217" i="19"/>
  <c r="N217" i="19" s="1"/>
  <c r="O218" i="19"/>
  <c r="C218" i="19"/>
  <c r="M218" i="19"/>
  <c r="N218" i="19" s="1"/>
  <c r="E15" i="24"/>
  <c r="O220" i="19"/>
  <c r="C220" i="19"/>
  <c r="M220" i="19"/>
  <c r="N220" i="19" s="1"/>
  <c r="E17" i="24"/>
  <c r="P221" i="19"/>
  <c r="O224" i="19"/>
  <c r="C224" i="19"/>
  <c r="M224" i="19"/>
  <c r="N224" i="19" s="1"/>
  <c r="E21" i="24"/>
  <c r="O34" i="24"/>
  <c r="R34" i="24"/>
  <c r="S34" i="24"/>
  <c r="P34" i="24"/>
  <c r="C25" i="28"/>
  <c r="D25" i="28" s="1"/>
  <c r="C23" i="28"/>
  <c r="D23" i="28" s="1"/>
  <c r="C24" i="28"/>
  <c r="D24" i="28" s="1"/>
  <c r="N13" i="27"/>
  <c r="B15" i="27" s="1"/>
  <c r="Q28" i="24"/>
  <c r="Q27" i="24"/>
  <c r="P27" i="24"/>
  <c r="O27" i="24"/>
  <c r="Q34" i="24"/>
  <c r="R25" i="24"/>
  <c r="P13" i="27"/>
  <c r="B16" i="27" s="1"/>
  <c r="D13" i="28"/>
  <c r="D11" i="28"/>
  <c r="E5" i="28"/>
  <c r="D10" i="28"/>
  <c r="D16" i="28"/>
  <c r="D14" i="28"/>
  <c r="D9" i="28"/>
  <c r="D17" i="28"/>
  <c r="D12" i="28"/>
  <c r="D15" i="28"/>
  <c r="Q25" i="24"/>
  <c r="D25" i="24"/>
  <c r="P25" i="24"/>
  <c r="T33" i="24"/>
  <c r="Q12" i="24"/>
  <c r="O12" i="24"/>
  <c r="R12" i="24"/>
  <c r="P9" i="23"/>
  <c r="R18" i="24"/>
  <c r="P18" i="24"/>
  <c r="O13" i="24"/>
  <c r="Q13" i="24"/>
  <c r="P13" i="24"/>
  <c r="O18" i="24"/>
  <c r="R9" i="23"/>
  <c r="S9" i="23"/>
  <c r="Q9" i="23"/>
  <c r="B11" i="20"/>
  <c r="S15" i="24" s="1"/>
  <c r="T9" i="23"/>
  <c r="B19" i="20"/>
  <c r="S23" i="24" s="1"/>
  <c r="B10" i="20"/>
  <c r="S14" i="24" s="1"/>
  <c r="Q10" i="23"/>
  <c r="O10" i="23"/>
  <c r="S10" i="23"/>
  <c r="R10" i="23"/>
  <c r="P10" i="23"/>
  <c r="C23" i="20"/>
  <c r="N19" i="19"/>
  <c r="B21" i="20" s="1"/>
  <c r="S25" i="24" s="1"/>
  <c r="C15" i="20"/>
  <c r="T19" i="24" s="1"/>
  <c r="B18" i="20"/>
  <c r="S22" i="24" s="1"/>
  <c r="B15" i="20"/>
  <c r="S19" i="24" s="1"/>
  <c r="M141" i="19"/>
  <c r="N141" i="19" s="1"/>
  <c r="D19" i="24"/>
  <c r="C19" i="24"/>
  <c r="S27" i="24"/>
  <c r="S28" i="24"/>
  <c r="C8" i="20"/>
  <c r="T12" i="24" s="1"/>
  <c r="B9" i="20"/>
  <c r="S13" i="24" s="1"/>
  <c r="B13" i="20"/>
  <c r="S17" i="24" s="1"/>
  <c r="B3" i="20"/>
  <c r="S7" i="24" s="1"/>
  <c r="B22" i="20"/>
  <c r="S26" i="24" s="1"/>
  <c r="B4" i="20"/>
  <c r="S8" i="24" s="1"/>
  <c r="B20" i="20"/>
  <c r="S24" i="24" s="1"/>
  <c r="B7" i="20"/>
  <c r="S11" i="24" s="1"/>
  <c r="C9" i="20"/>
  <c r="T13" i="24" s="1"/>
  <c r="C18" i="20"/>
  <c r="T22" i="24" s="1"/>
  <c r="B12" i="20"/>
  <c r="S16" i="24" s="1"/>
  <c r="C14" i="20"/>
  <c r="T18" i="24" s="1"/>
  <c r="B14" i="20"/>
  <c r="S18" i="24" s="1"/>
  <c r="B17" i="20"/>
  <c r="S21" i="24" s="1"/>
  <c r="N232" i="19" l="1"/>
  <c r="C21" i="24"/>
  <c r="D21" i="24"/>
  <c r="P224" i="19"/>
  <c r="C17" i="20" s="1"/>
  <c r="T21" i="24" s="1"/>
  <c r="C17" i="24"/>
  <c r="D17" i="24"/>
  <c r="P220" i="19"/>
  <c r="C13" i="20" s="1"/>
  <c r="T17" i="24" s="1"/>
  <c r="C15" i="24"/>
  <c r="D15" i="24"/>
  <c r="P218" i="19"/>
  <c r="C11" i="20" s="1"/>
  <c r="T15" i="24" s="1"/>
  <c r="D14" i="24"/>
  <c r="C14" i="24"/>
  <c r="P217" i="19"/>
  <c r="C10" i="20" s="1"/>
  <c r="T14" i="24" s="1"/>
  <c r="C22" i="24"/>
  <c r="D22" i="24"/>
  <c r="C23" i="24"/>
  <c r="D23" i="24"/>
  <c r="P226" i="19"/>
  <c r="C19" i="20" s="1"/>
  <c r="T23" i="24" s="1"/>
  <c r="O25" i="24"/>
  <c r="P228" i="19"/>
  <c r="C21" i="20" s="1"/>
  <c r="T25" i="24" s="1"/>
  <c r="C16" i="24"/>
  <c r="D16" i="24"/>
  <c r="P219" i="19"/>
  <c r="C12" i="20" s="1"/>
  <c r="T16" i="24" s="1"/>
  <c r="C10" i="24"/>
  <c r="D10" i="24"/>
  <c r="P213" i="19"/>
  <c r="C6" i="20" s="1"/>
  <c r="T10" i="24" s="1"/>
  <c r="C7" i="24"/>
  <c r="D7" i="24"/>
  <c r="P210" i="19"/>
  <c r="D11" i="24"/>
  <c r="C11" i="24"/>
  <c r="P214" i="19"/>
  <c r="C7" i="20" s="1"/>
  <c r="T11" i="24" s="1"/>
  <c r="D20" i="24"/>
  <c r="C20" i="24"/>
  <c r="P223" i="19"/>
  <c r="C16" i="20" s="1"/>
  <c r="T20" i="24" s="1"/>
  <c r="D26" i="24"/>
  <c r="C26" i="24"/>
  <c r="P229" i="19"/>
  <c r="C22" i="20" s="1"/>
  <c r="T26" i="24" s="1"/>
  <c r="D24" i="24"/>
  <c r="C24" i="24"/>
  <c r="P227" i="19"/>
  <c r="C20" i="20" s="1"/>
  <c r="T24" i="24" s="1"/>
  <c r="C8" i="24"/>
  <c r="D8" i="24"/>
  <c r="P211" i="19"/>
  <c r="T27" i="24"/>
  <c r="T28" i="24"/>
  <c r="R19" i="24"/>
  <c r="P19" i="24"/>
  <c r="Q19" i="24"/>
  <c r="O19" i="24"/>
  <c r="C4" i="20"/>
  <c r="T8" i="24" s="1"/>
  <c r="B6" i="20"/>
  <c r="S10" i="24" s="1"/>
  <c r="C3" i="20" l="1"/>
  <c r="T7" i="24" s="1"/>
  <c r="P232" i="19"/>
  <c r="R8" i="24"/>
  <c r="Q8" i="24"/>
  <c r="P8" i="24"/>
  <c r="O8" i="24"/>
  <c r="R24" i="24"/>
  <c r="P24" i="24"/>
  <c r="Q24" i="24"/>
  <c r="O24" i="24"/>
  <c r="O26" i="24"/>
  <c r="P26" i="24"/>
  <c r="R26" i="24"/>
  <c r="Q26" i="24"/>
  <c r="O20" i="24"/>
  <c r="R20" i="24"/>
  <c r="Q20" i="24"/>
  <c r="P20" i="24"/>
  <c r="R11" i="24"/>
  <c r="P11" i="24"/>
  <c r="O11" i="24"/>
  <c r="Q11" i="24"/>
  <c r="Q7" i="24"/>
  <c r="R7" i="24"/>
  <c r="P7" i="24"/>
  <c r="O7" i="24"/>
  <c r="P10" i="24"/>
  <c r="Q10" i="24"/>
  <c r="R10" i="24"/>
  <c r="O10" i="24"/>
  <c r="Q16" i="24"/>
  <c r="O16" i="24"/>
  <c r="R16" i="24"/>
  <c r="P16" i="24"/>
  <c r="P23" i="24"/>
  <c r="R23" i="24"/>
  <c r="Q23" i="24"/>
  <c r="O23" i="24"/>
  <c r="Q22" i="24"/>
  <c r="P22" i="24"/>
  <c r="O22" i="24"/>
  <c r="R22" i="24"/>
  <c r="O14" i="24"/>
  <c r="R14" i="24"/>
  <c r="Q14" i="24"/>
  <c r="P14" i="24"/>
  <c r="P15" i="24"/>
  <c r="R15" i="24"/>
  <c r="Q15" i="24"/>
  <c r="O15" i="24"/>
  <c r="O17" i="24"/>
  <c r="Q17" i="24"/>
  <c r="P17" i="24"/>
  <c r="R17" i="24"/>
  <c r="R21" i="24"/>
  <c r="P21" i="24"/>
  <c r="Q21" i="24"/>
  <c r="O21" i="2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<sst xmlns="http://schemas.openxmlformats.org/spreadsheetml/2006/main" count="1167" uniqueCount="231">
  <si>
    <t>BAHASA MELAYU (1201)</t>
  </si>
  <si>
    <t xml:space="preserve">    Distinction</t>
  </si>
  <si>
    <t xml:space="preserve">        Credit</t>
  </si>
  <si>
    <t xml:space="preserve">       Pass</t>
  </si>
  <si>
    <t>Fail</t>
  </si>
  <si>
    <t>Class</t>
  </si>
  <si>
    <t>Taught By</t>
  </si>
  <si>
    <t>Total</t>
  </si>
  <si>
    <t>A*</t>
  </si>
  <si>
    <t>A2</t>
  </si>
  <si>
    <t>B3</t>
  </si>
  <si>
    <t>B4</t>
  </si>
  <si>
    <t>C5</t>
  </si>
  <si>
    <t>C6</t>
  </si>
  <si>
    <t>D7</t>
  </si>
  <si>
    <t>E8</t>
  </si>
  <si>
    <t>U</t>
  </si>
  <si>
    <t>Total
1-6</t>
  </si>
  <si>
    <t>%
1-6</t>
  </si>
  <si>
    <t>Total
1-8</t>
  </si>
  <si>
    <t>%
1-8</t>
  </si>
  <si>
    <t>9EXP</t>
  </si>
  <si>
    <t>Cg Haji Habil</t>
  </si>
  <si>
    <t>9SCI2</t>
  </si>
  <si>
    <t>Cg Salmiah</t>
  </si>
  <si>
    <t>9SCI3</t>
  </si>
  <si>
    <t>Cg Dyg Rafidah</t>
  </si>
  <si>
    <t>9S</t>
  </si>
  <si>
    <t>Cg Noor Zurina</t>
  </si>
  <si>
    <t>9H</t>
  </si>
  <si>
    <t>9I</t>
  </si>
  <si>
    <t>9N</t>
  </si>
  <si>
    <t>9E</t>
  </si>
  <si>
    <t>Overall</t>
  </si>
  <si>
    <t>SASTERA (2023)</t>
  </si>
  <si>
    <t>Cg Yuli Rabiatul</t>
  </si>
  <si>
    <t>ENGLISH LANGUAGE (1120)</t>
  </si>
  <si>
    <t>Asfarina</t>
  </si>
  <si>
    <t>Chantelle</t>
  </si>
  <si>
    <t>Cg Nurátikah Hj Saiful Ashura</t>
  </si>
  <si>
    <t>Ana Zaianiza Jasmi</t>
  </si>
  <si>
    <t>IGCSE ENGLISH</t>
  </si>
  <si>
    <t>A</t>
  </si>
  <si>
    <t>B</t>
  </si>
  <si>
    <t>C</t>
  </si>
  <si>
    <t>D</t>
  </si>
  <si>
    <t>E</t>
  </si>
  <si>
    <t>F</t>
  </si>
  <si>
    <t>G</t>
  </si>
  <si>
    <t>Cg Mariah</t>
  </si>
  <si>
    <t>E2L IGCSE Core (0510)</t>
  </si>
  <si>
    <t>GRADE</t>
  </si>
  <si>
    <t>Total   C</t>
  </si>
  <si>
    <t xml:space="preserve">%
C </t>
  </si>
  <si>
    <t>Total
C - G</t>
  </si>
  <si>
    <t>%
C - G</t>
  </si>
  <si>
    <t>10G</t>
  </si>
  <si>
    <t>10H</t>
  </si>
  <si>
    <t>10T</t>
  </si>
  <si>
    <t>MATHEMATICS D (4024)</t>
  </si>
  <si>
    <t>Ck Ani Afifah</t>
  </si>
  <si>
    <t>Ck Pg Azimin</t>
  </si>
  <si>
    <t>Ck Zunainah</t>
  </si>
  <si>
    <t>MATHEMATICS IGCSE - CORE (0580)</t>
  </si>
  <si>
    <t>Total
C</t>
  </si>
  <si>
    <t>%
C</t>
  </si>
  <si>
    <t>Total
C-G</t>
  </si>
  <si>
    <t>%
C-G</t>
  </si>
  <si>
    <t>Ck Hjh Sofinah</t>
  </si>
  <si>
    <t>ADDITIONAL MATHEMATICS (4037)</t>
  </si>
  <si>
    <t>Cg Afifah</t>
  </si>
  <si>
    <t>PHYSICS (5054)</t>
  </si>
  <si>
    <t>Cg Chong Chew Hah</t>
  </si>
  <si>
    <t>Cg Noriqa</t>
  </si>
  <si>
    <t>CHEMISTRY (5070)</t>
  </si>
  <si>
    <t>Cg Asyiken</t>
  </si>
  <si>
    <t>Cg Hjh Noormah</t>
  </si>
  <si>
    <t>Cg Aziemah</t>
  </si>
  <si>
    <t>BIOLOGY (5090)</t>
  </si>
  <si>
    <t>Cg Aisyah Afnan</t>
  </si>
  <si>
    <t>Cg Abib</t>
  </si>
  <si>
    <t>COMBINED SCIENCE (5129)</t>
  </si>
  <si>
    <t>Cg Fadillah</t>
  </si>
  <si>
    <t>ISLAMIC RELIGIOUS KNOWLEDGE (2047)</t>
  </si>
  <si>
    <t>HJH RAHIJAH</t>
  </si>
  <si>
    <t>NOOR HASRINAWATI</t>
  </si>
  <si>
    <t>GEOGRAPHY (2230)</t>
  </si>
  <si>
    <t>Mazlina</t>
  </si>
  <si>
    <t>Dk Noorfahayatul</t>
  </si>
  <si>
    <t>HISTORY (2171)</t>
  </si>
  <si>
    <t>CG JALILAH</t>
  </si>
  <si>
    <t>CG AZYMAH</t>
  </si>
  <si>
    <t>COMMERCE (7100)</t>
  </si>
  <si>
    <t>CG KHUZAIMAH</t>
  </si>
  <si>
    <t>ECONOMICS</t>
  </si>
  <si>
    <t>ACCOUNTING (7077)</t>
  </si>
  <si>
    <t>Mastunah</t>
  </si>
  <si>
    <t>Tang Pow Giok</t>
  </si>
  <si>
    <t>ECONOMICS (2281)</t>
  </si>
  <si>
    <t>DALINA</t>
  </si>
  <si>
    <t>ART &amp; DESIGN (6089)</t>
  </si>
  <si>
    <t>HJH NUR IZZAH</t>
  </si>
  <si>
    <t>AGRICULTURE (5038)</t>
  </si>
  <si>
    <t>SITI AMINAH</t>
  </si>
  <si>
    <t>FOOD &amp; NUTRITION (6065)</t>
  </si>
  <si>
    <t>MARDINAH</t>
  </si>
  <si>
    <t>DK NURUR RAHIMMAH</t>
  </si>
  <si>
    <t>COMPUTER SCIENCE (2210)</t>
  </si>
  <si>
    <t>HJH MASZIDAH</t>
  </si>
  <si>
    <t>TRAVEL AND TOURISM</t>
  </si>
  <si>
    <t>SITI RADIN MAS ZAITUN</t>
  </si>
  <si>
    <t>ICT (0417)</t>
  </si>
  <si>
    <t>DK NORHASMIMIWATI</t>
  </si>
  <si>
    <t>Distinction</t>
  </si>
  <si>
    <t>Credit</t>
  </si>
  <si>
    <t>Pass</t>
  </si>
  <si>
    <t>Subject</t>
  </si>
  <si>
    <t>A*1</t>
  </si>
  <si>
    <t>B.Melayu</t>
  </si>
  <si>
    <t>English Language</t>
  </si>
  <si>
    <t>IGCSE English</t>
  </si>
  <si>
    <t>Mathematics D</t>
  </si>
  <si>
    <t>Additional Maths</t>
  </si>
  <si>
    <t>Physics</t>
  </si>
  <si>
    <t>Chemistry</t>
  </si>
  <si>
    <t>Biology</t>
  </si>
  <si>
    <t>Combined Science</t>
  </si>
  <si>
    <t>Geography</t>
  </si>
  <si>
    <t>IRK</t>
  </si>
  <si>
    <t>History</t>
  </si>
  <si>
    <t>Commerce</t>
  </si>
  <si>
    <t>Economics</t>
  </si>
  <si>
    <t>Accounting</t>
  </si>
  <si>
    <t>Art &amp; Design</t>
  </si>
  <si>
    <t>Food &amp; Nutrition</t>
  </si>
  <si>
    <t>Agriculture</t>
  </si>
  <si>
    <t>Sastera</t>
  </si>
  <si>
    <t>Travel and Tourism</t>
  </si>
  <si>
    <t>Computer Science</t>
  </si>
  <si>
    <t>ICT</t>
  </si>
  <si>
    <t>Average</t>
  </si>
  <si>
    <t>Subjects</t>
  </si>
  <si>
    <t>ICT (IGCSE)</t>
  </si>
  <si>
    <t>Class + No of stdn</t>
  </si>
  <si>
    <t>Class Avg</t>
  </si>
  <si>
    <t>10Sci2 (26)</t>
  </si>
  <si>
    <t>10Sci3 (25)</t>
  </si>
  <si>
    <t>10A (31)</t>
  </si>
  <si>
    <t>10M (30)</t>
  </si>
  <si>
    <t>10B (31)</t>
  </si>
  <si>
    <t>10E (32)</t>
  </si>
  <si>
    <t>10R (31)</t>
  </si>
  <si>
    <t>Menengah 4A</t>
  </si>
  <si>
    <t>English</t>
  </si>
  <si>
    <t>Maths</t>
  </si>
  <si>
    <t>Add Maths</t>
  </si>
  <si>
    <t>Computer</t>
  </si>
  <si>
    <t>Menengah 4B</t>
  </si>
  <si>
    <t>POA</t>
  </si>
  <si>
    <t>Menengah 4C</t>
  </si>
  <si>
    <t>Comb Sc</t>
  </si>
  <si>
    <t>Agr Sc</t>
  </si>
  <si>
    <t>Menengah 4D</t>
  </si>
  <si>
    <t>Art</t>
  </si>
  <si>
    <t>Menengah 4E</t>
  </si>
  <si>
    <t>Menengah 4F</t>
  </si>
  <si>
    <t>Menengah 4G</t>
  </si>
  <si>
    <t>Menengah 4H</t>
  </si>
  <si>
    <t>B.Mel</t>
  </si>
  <si>
    <t>Eng</t>
  </si>
  <si>
    <t>A Math</t>
  </si>
  <si>
    <t>Phy</t>
  </si>
  <si>
    <t>Chem</t>
  </si>
  <si>
    <t>Bio</t>
  </si>
  <si>
    <t>C Sci</t>
  </si>
  <si>
    <t>Geog</t>
  </si>
  <si>
    <t>His</t>
  </si>
  <si>
    <t>Comm</t>
  </si>
  <si>
    <t>Eco</t>
  </si>
  <si>
    <t>Comp</t>
  </si>
  <si>
    <t>A Sci</t>
  </si>
  <si>
    <t>Sas</t>
  </si>
  <si>
    <t>Sub</t>
  </si>
  <si>
    <t>Y10 MID YEAR EXAMINATION 2016</t>
  </si>
  <si>
    <t xml:space="preserve">SEKOLAH MENENGAH PG ANAK PUTERI HAJAH MASNA </t>
  </si>
  <si>
    <t>IGCSE SUBJECTS</t>
  </si>
  <si>
    <t>NUMBER OF CANDIDATES OBTAINING</t>
  </si>
  <si>
    <t>PERCENTAGE FOR GRADES</t>
  </si>
  <si>
    <t>NO. OF CANDIDATE</t>
  </si>
  <si>
    <t>ABSENT</t>
  </si>
  <si>
    <t>REGISTERED</t>
  </si>
  <si>
    <t>SAT</t>
  </si>
  <si>
    <t>X</t>
  </si>
  <si>
    <t>A*- A</t>
  </si>
  <si>
    <t>B-C</t>
  </si>
  <si>
    <t>D-G</t>
  </si>
  <si>
    <t>%
A* - C</t>
  </si>
  <si>
    <t>%
A* - G</t>
  </si>
  <si>
    <t>IGCSE English E2L 
(Core)</t>
  </si>
  <si>
    <t>IGCSE Mathematics 
(Core)</t>
  </si>
  <si>
    <t>IGCSE PE
(Extended)</t>
  </si>
  <si>
    <t>IGCSE ICT 
(Extended)</t>
  </si>
  <si>
    <t>SEKOLAH MENENGAH PG ANAK PUTERI HAJAH MASNA</t>
  </si>
  <si>
    <t>OVERALL RESULTS - YEAR 9, END OF YEAR 2025</t>
  </si>
  <si>
    <t>REMARKS</t>
  </si>
  <si>
    <t>1-2</t>
  </si>
  <si>
    <t>3-6</t>
  </si>
  <si>
    <t>7-8</t>
  </si>
  <si>
    <t>9</t>
  </si>
  <si>
    <t>Literature in English</t>
  </si>
  <si>
    <t xml:space="preserve">No. Of Candidate Registered </t>
  </si>
  <si>
    <t>No. Of Candidate Sitting</t>
  </si>
  <si>
    <t>Withdrawn</t>
  </si>
  <si>
    <t>Credit Attained</t>
  </si>
  <si>
    <t>No. Of Student</t>
  </si>
  <si>
    <t>%</t>
  </si>
  <si>
    <t>No. of 
Student</t>
  </si>
  <si>
    <t>4 or more Credits</t>
  </si>
  <si>
    <t>5 or more Credits</t>
  </si>
  <si>
    <t>YEAR 9, END OF YEAR 2025</t>
  </si>
  <si>
    <t>No. of Candidates</t>
  </si>
  <si>
    <t>No. of Credits Obtained</t>
  </si>
  <si>
    <t>5 'O' &amp; above</t>
  </si>
  <si>
    <t>3 'O' &amp; above</t>
  </si>
  <si>
    <t>9Exp</t>
  </si>
  <si>
    <t>9Sci2</t>
  </si>
  <si>
    <t>9Sci3</t>
  </si>
  <si>
    <t>Total No. of Candidates</t>
  </si>
  <si>
    <t>% obtained 5'O' &amp; above</t>
  </si>
  <si>
    <t>% obtained 3'O' &amp; above</t>
  </si>
  <si>
    <t>3 or more 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</si>
</sst>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8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u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2"/>
      <name val="Helv"/>
    </font>
    <font>
      <b/>
      <sz val="14"/>
      <name val="Helv"/>
    </font>
    <font>
      <b/>
      <sz val="8"/>
      <name val="Arial"/>
      <family val="2"/>
    </font>
    <font>
      <b/>
      <sz val="11"/>
      <name val="Arial"/>
      <family val="2"/>
    </font>
    <font>
      <sz val="12"/>
      <name val="Calibri"/>
      <family val="2"/>
    </font>
    <font>
      <sz val="12"/>
      <color indexed="8"/>
      <name val="Calibri"/>
      <family val="2"/>
    </font>
    <font>
      <b/>
      <sz val="12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sz val="14"/>
      <name val="Calibri"/>
      <family val="2"/>
    </font>
    <font>
      <b/>
      <sz val="11"/>
      <name val="Calibri"/>
      <family val="2"/>
    </font>
    <font>
      <b/>
      <sz val="24"/>
      <color indexed="8"/>
      <name val="Calibri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b/>
      <sz val="28"/>
      <color theme="1"/>
      <name val="Calibri"/>
      <family val="2"/>
      <scheme val="minor"/>
    </font>
    <font>
      <i/>
      <sz val="2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00FF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20"/>
      <color rgb="FF0000FF"/>
      <name val="Arial"/>
      <family val="2"/>
    </font>
    <font>
      <b/>
      <sz val="18"/>
      <color rgb="FF0000FF"/>
      <name val="Arial"/>
      <family val="2"/>
    </font>
    <font>
      <sz val="12"/>
      <color rgb="FF0000FF"/>
      <name val="Arial"/>
      <family val="2"/>
    </font>
    <font>
      <b/>
      <sz val="24"/>
      <color rgb="FF0000FF"/>
      <name val="Arial"/>
      <family val="2"/>
    </font>
    <font>
      <b/>
      <sz val="24"/>
      <color rgb="FF0000FF"/>
      <name val="Calibri"/>
      <family val="2"/>
    </font>
    <font>
      <i/>
      <sz val="22"/>
      <color rgb="FF0000FF"/>
      <name val="Calibri"/>
      <family val="2"/>
    </font>
    <font>
      <b/>
      <sz val="12"/>
      <color rgb="FF0000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charset val="1"/>
    </font>
    <font>
      <sz val="14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0" fontId="14" fillId="0" borderId="0"/>
    <xf numFmtId="9" fontId="1" fillId="0" borderId="0" applyFont="0" applyFill="0" applyBorder="0" applyAlignment="0" applyProtection="0"/>
  </cellStyleXfs>
  <cellXfs count="31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1" xfId="0" applyFont="1" applyBorder="1"/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5" fillId="0" borderId="0" xfId="0" applyFont="1"/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164" fontId="7" fillId="2" borderId="4" xfId="0" applyNumberFormat="1" applyFont="1" applyFill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7" fillId="2" borderId="0" xfId="0" applyFont="1" applyFill="1"/>
    <xf numFmtId="164" fontId="8" fillId="2" borderId="0" xfId="0" applyNumberFormat="1" applyFont="1" applyFill="1" applyAlignment="1">
      <alignment horizontal="center"/>
    </xf>
    <xf numFmtId="0" fontId="7" fillId="0" borderId="0" xfId="0" applyFont="1"/>
    <xf numFmtId="164" fontId="8" fillId="0" borderId="0" xfId="0" applyNumberFormat="1" applyFont="1" applyAlignment="1">
      <alignment horizontal="center"/>
    </xf>
    <xf numFmtId="1" fontId="7" fillId="2" borderId="4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164" fontId="10" fillId="2" borderId="4" xfId="0" applyNumberFormat="1" applyFont="1" applyFill="1" applyBorder="1" applyAlignment="1">
      <alignment horizontal="center" vertical="center"/>
    </xf>
    <xf numFmtId="1" fontId="10" fillId="2" borderId="4" xfId="0" applyNumberFormat="1" applyFont="1" applyFill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64" fontId="9" fillId="2" borderId="4" xfId="0" applyNumberFormat="1" applyFont="1" applyFill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0" fillId="0" borderId="4" xfId="0" applyNumberFormat="1" applyBorder="1" applyAlignment="1">
      <alignment horizont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9" fillId="0" borderId="4" xfId="0" applyFont="1" applyBorder="1"/>
    <xf numFmtId="0" fontId="9" fillId="0" borderId="4" xfId="0" applyFont="1" applyBorder="1" applyAlignment="1">
      <alignment horizontal="left"/>
    </xf>
    <xf numFmtId="164" fontId="9" fillId="0" borderId="0" xfId="0" applyNumberFormat="1" applyFont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2" fillId="0" borderId="5" xfId="0" applyFont="1" applyBorder="1" applyAlignment="1">
      <alignment horizontal="left"/>
    </xf>
    <xf numFmtId="18" fontId="2" fillId="0" borderId="4" xfId="0" applyNumberFormat="1" applyFont="1" applyBorder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9" fontId="9" fillId="2" borderId="0" xfId="0" applyNumberFormat="1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0" fillId="0" borderId="0" xfId="0" applyFont="1"/>
    <xf numFmtId="0" fontId="0" fillId="0" borderId="4" xfId="0" applyBorder="1" applyAlignment="1">
      <alignment horizontal="center" vertical="center"/>
    </xf>
    <xf numFmtId="0" fontId="26" fillId="0" borderId="4" xfId="1" applyFont="1" applyBorder="1" applyAlignment="1">
      <alignment horizontal="center"/>
    </xf>
    <xf numFmtId="0" fontId="26" fillId="0" borderId="0" xfId="2" applyFont="1"/>
    <xf numFmtId="0" fontId="27" fillId="0" borderId="0" xfId="0" applyFont="1"/>
    <xf numFmtId="0" fontId="28" fillId="0" borderId="4" xfId="1" applyFont="1" applyBorder="1" applyAlignment="1">
      <alignment horizontal="center" vertical="center" wrapText="1"/>
    </xf>
    <xf numFmtId="0" fontId="28" fillId="0" borderId="4" xfId="1" applyFont="1" applyBorder="1" applyAlignment="1">
      <alignment horizontal="center" vertical="center"/>
    </xf>
    <xf numFmtId="0" fontId="26" fillId="0" borderId="0" xfId="1" applyFont="1" applyAlignment="1">
      <alignment horizontal="center"/>
    </xf>
    <xf numFmtId="2" fontId="26" fillId="0" borderId="4" xfId="1" applyNumberFormat="1" applyFont="1" applyBorder="1" applyAlignment="1">
      <alignment horizontal="center"/>
    </xf>
    <xf numFmtId="0" fontId="4" fillId="0" borderId="0" xfId="1"/>
    <xf numFmtId="0" fontId="15" fillId="0" borderId="0" xfId="3" applyFont="1" applyAlignment="1">
      <alignment horizontal="center"/>
    </xf>
    <xf numFmtId="0" fontId="29" fillId="0" borderId="4" xfId="3" applyFont="1" applyBorder="1" applyAlignment="1">
      <alignment horizontal="center" vertical="center" wrapText="1"/>
    </xf>
    <xf numFmtId="0" fontId="30" fillId="0" borderId="4" xfId="3" applyFont="1" applyBorder="1" applyAlignment="1">
      <alignment horizontal="center" vertical="center"/>
    </xf>
    <xf numFmtId="0" fontId="31" fillId="0" borderId="4" xfId="3" applyFont="1" applyBorder="1" applyAlignment="1">
      <alignment horizontal="center" vertical="center"/>
    </xf>
    <xf numFmtId="165" fontId="26" fillId="0" borderId="4" xfId="3" applyNumberFormat="1" applyFont="1" applyBorder="1" applyAlignment="1">
      <alignment horizontal="center" vertical="center"/>
    </xf>
    <xf numFmtId="0" fontId="8" fillId="0" borderId="0" xfId="0" applyFont="1"/>
    <xf numFmtId="0" fontId="11" fillId="0" borderId="0" xfId="0" applyFont="1"/>
    <xf numFmtId="0" fontId="12" fillId="2" borderId="4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3" fillId="0" borderId="4" xfId="0" applyFont="1" applyBorder="1" applyAlignment="1">
      <alignment horizontal="center"/>
    </xf>
    <xf numFmtId="0" fontId="11" fillId="0" borderId="0" xfId="1" applyFont="1"/>
    <xf numFmtId="0" fontId="16" fillId="0" borderId="4" xfId="1" applyFont="1" applyBorder="1" applyAlignment="1">
      <alignment horizontal="center" vertical="center"/>
    </xf>
    <xf numFmtId="0" fontId="4" fillId="2" borderId="0" xfId="1" applyFill="1" applyAlignment="1">
      <alignment horizontal="center" vertical="center"/>
    </xf>
    <xf numFmtId="0" fontId="16" fillId="2" borderId="4" xfId="1" applyFont="1" applyFill="1" applyBorder="1" applyAlignment="1">
      <alignment horizontal="center" vertical="center"/>
    </xf>
    <xf numFmtId="0" fontId="4" fillId="2" borderId="4" xfId="1" applyFill="1" applyBorder="1" applyAlignment="1">
      <alignment horizontal="center" vertical="center"/>
    </xf>
    <xf numFmtId="0" fontId="11" fillId="0" borderId="4" xfId="1" applyFont="1" applyBorder="1"/>
    <xf numFmtId="49" fontId="2" fillId="2" borderId="4" xfId="1" applyNumberFormat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/>
    </xf>
    <xf numFmtId="165" fontId="4" fillId="0" borderId="4" xfId="1" applyNumberFormat="1" applyBorder="1" applyAlignment="1">
      <alignment horizontal="center" vertical="center"/>
    </xf>
    <xf numFmtId="164" fontId="6" fillId="0" borderId="4" xfId="1" applyNumberFormat="1" applyFont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10" fontId="4" fillId="0" borderId="4" xfId="1" applyNumberFormat="1" applyBorder="1" applyAlignment="1">
      <alignment horizontal="center" vertical="center"/>
    </xf>
    <xf numFmtId="165" fontId="17" fillId="0" borderId="4" xfId="1" applyNumberFormat="1" applyFont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0" fontId="11" fillId="5" borderId="0" xfId="1" applyFont="1" applyFill="1"/>
    <xf numFmtId="0" fontId="3" fillId="0" borderId="4" xfId="0" applyFont="1" applyBorder="1" applyAlignment="1">
      <alignment horizontal="center" vertical="center"/>
    </xf>
    <xf numFmtId="164" fontId="0" fillId="0" borderId="0" xfId="0" applyNumberFormat="1"/>
    <xf numFmtId="164" fontId="2" fillId="0" borderId="4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wrapText="1"/>
    </xf>
    <xf numFmtId="164" fontId="0" fillId="0" borderId="0" xfId="0" applyNumberFormat="1" applyAlignment="1">
      <alignment horizontal="center" vertical="center"/>
    </xf>
    <xf numFmtId="164" fontId="10" fillId="0" borderId="0" xfId="0" applyNumberFormat="1" applyFont="1"/>
    <xf numFmtId="164" fontId="10" fillId="2" borderId="0" xfId="0" applyNumberFormat="1" applyFont="1" applyFill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 wrapText="1"/>
    </xf>
    <xf numFmtId="164" fontId="9" fillId="2" borderId="0" xfId="0" applyNumberFormat="1" applyFont="1" applyFill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0" fontId="9" fillId="0" borderId="0" xfId="1" applyFont="1"/>
    <xf numFmtId="0" fontId="9" fillId="0" borderId="0" xfId="1" applyFont="1" applyAlignment="1">
      <alignment horizontal="center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vertical="center"/>
    </xf>
    <xf numFmtId="165" fontId="9" fillId="0" borderId="8" xfId="1" applyNumberFormat="1" applyFont="1" applyBorder="1" applyAlignment="1">
      <alignment horizontal="center" vertical="center"/>
    </xf>
    <xf numFmtId="165" fontId="9" fillId="0" borderId="9" xfId="1" applyNumberFormat="1" applyFont="1" applyBorder="1" applyAlignment="1">
      <alignment horizontal="center" vertical="center"/>
    </xf>
    <xf numFmtId="0" fontId="18" fillId="0" borderId="4" xfId="1" applyFont="1" applyBorder="1" applyAlignment="1">
      <alignment horizontal="center"/>
    </xf>
    <xf numFmtId="0" fontId="18" fillId="0" borderId="0" xfId="2" applyFont="1"/>
    <xf numFmtId="0" fontId="19" fillId="0" borderId="0" xfId="1" applyFont="1"/>
    <xf numFmtId="0" fontId="20" fillId="0" borderId="4" xfId="1" applyFont="1" applyBorder="1" applyAlignment="1">
      <alignment horizontal="center" vertical="center" wrapText="1"/>
    </xf>
    <xf numFmtId="0" fontId="20" fillId="0" borderId="4" xfId="1" applyFont="1" applyBorder="1" applyAlignment="1">
      <alignment horizontal="center" vertical="center"/>
    </xf>
    <xf numFmtId="0" fontId="18" fillId="0" borderId="0" xfId="1" applyFont="1" applyAlignment="1">
      <alignment horizontal="center"/>
    </xf>
    <xf numFmtId="165" fontId="18" fillId="0" borderId="4" xfId="1" applyNumberFormat="1" applyFont="1" applyBorder="1" applyAlignment="1">
      <alignment horizontal="center"/>
    </xf>
    <xf numFmtId="0" fontId="21" fillId="0" borderId="4" xfId="3" applyFont="1" applyBorder="1" applyAlignment="1">
      <alignment horizontal="center" vertical="center" wrapText="1"/>
    </xf>
    <xf numFmtId="0" fontId="22" fillId="0" borderId="4" xfId="3" applyFont="1" applyBorder="1" applyAlignment="1">
      <alignment horizontal="center" vertical="center"/>
    </xf>
    <xf numFmtId="0" fontId="23" fillId="0" borderId="4" xfId="3" applyFont="1" applyBorder="1" applyAlignment="1">
      <alignment horizontal="center" vertical="center"/>
    </xf>
    <xf numFmtId="10" fontId="18" fillId="0" borderId="4" xfId="3" applyNumberFormat="1" applyFont="1" applyBorder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0" fontId="6" fillId="0" borderId="12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164" fontId="1" fillId="0" borderId="4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164" fontId="1" fillId="0" borderId="4" xfId="4" applyNumberFormat="1" applyFont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1" fillId="2" borderId="4" xfId="0" applyFont="1" applyFill="1" applyBorder="1" applyAlignment="1">
      <alignment horizontal="center" vertical="center"/>
    </xf>
    <xf numFmtId="0" fontId="25" fillId="0" borderId="0" xfId="1" applyFont="1" applyAlignment="1">
      <alignment horizontal="center"/>
    </xf>
    <xf numFmtId="0" fontId="35" fillId="0" borderId="0" xfId="0" applyFont="1"/>
    <xf numFmtId="0" fontId="35" fillId="0" borderId="0" xfId="0" applyFont="1" applyAlignment="1">
      <alignment horizontal="left"/>
    </xf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40" fillId="2" borderId="0" xfId="0" applyFont="1" applyFill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0" fontId="9" fillId="0" borderId="25" xfId="1" applyFont="1" applyBorder="1" applyAlignment="1">
      <alignment horizontal="center" vertical="center"/>
    </xf>
    <xf numFmtId="0" fontId="9" fillId="0" borderId="26" xfId="1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27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2" fillId="0" borderId="30" xfId="1" applyFont="1" applyBorder="1" applyAlignment="1">
      <alignment horizontal="center" vertical="center" wrapText="1"/>
    </xf>
    <xf numFmtId="0" fontId="6" fillId="0" borderId="31" xfId="1" applyFont="1" applyBorder="1" applyAlignment="1">
      <alignment horizontal="center" vertical="center"/>
    </xf>
    <xf numFmtId="0" fontId="9" fillId="0" borderId="32" xfId="1" applyFont="1" applyBorder="1" applyAlignment="1">
      <alignment horizontal="center" vertical="center"/>
    </xf>
    <xf numFmtId="165" fontId="9" fillId="0" borderId="33" xfId="1" applyNumberFormat="1" applyFont="1" applyBorder="1" applyAlignment="1">
      <alignment horizontal="center" vertical="center"/>
    </xf>
    <xf numFmtId="0" fontId="9" fillId="0" borderId="34" xfId="1" applyFont="1" applyBorder="1" applyAlignment="1">
      <alignment horizontal="center" vertical="center"/>
    </xf>
    <xf numFmtId="165" fontId="9" fillId="0" borderId="35" xfId="1" applyNumberFormat="1" applyFont="1" applyBorder="1" applyAlignment="1">
      <alignment horizontal="center" vertical="center"/>
    </xf>
    <xf numFmtId="165" fontId="9" fillId="0" borderId="36" xfId="1" applyNumberFormat="1" applyFont="1" applyBorder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0" fontId="45" fillId="0" borderId="16" xfId="0" applyFont="1" applyBorder="1" applyAlignment="1">
      <alignment vertical="center"/>
    </xf>
    <xf numFmtId="0" fontId="45" fillId="0" borderId="16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5" fillId="0" borderId="16" xfId="0" applyFont="1" applyBorder="1" applyAlignment="1">
      <alignment vertical="center" wrapText="1"/>
    </xf>
    <xf numFmtId="0" fontId="45" fillId="0" borderId="16" xfId="0" applyFont="1" applyBorder="1" applyAlignment="1">
      <alignment horizontal="left" vertical="center"/>
    </xf>
    <xf numFmtId="0" fontId="45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9" fillId="0" borderId="37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/>
    </xf>
    <xf numFmtId="0" fontId="0" fillId="0" borderId="18" xfId="0" applyBorder="1"/>
    <xf numFmtId="0" fontId="3" fillId="2" borderId="39" xfId="0" applyFont="1" applyFill="1" applyBorder="1" applyAlignment="1">
      <alignment horizontal="right" vertical="center"/>
    </xf>
    <xf numFmtId="164" fontId="10" fillId="2" borderId="7" xfId="0" applyNumberFormat="1" applyFont="1" applyFill="1" applyBorder="1" applyAlignment="1">
      <alignment horizontal="center" vertical="center"/>
    </xf>
    <xf numFmtId="0" fontId="45" fillId="0" borderId="18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46" fillId="0" borderId="18" xfId="0" applyFont="1" applyBorder="1"/>
    <xf numFmtId="0" fontId="2" fillId="0" borderId="28" xfId="0" applyFont="1" applyBorder="1" applyAlignment="1">
      <alignment horizontal="center" vertical="center"/>
    </xf>
    <xf numFmtId="0" fontId="45" fillId="0" borderId="4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164" fontId="10" fillId="0" borderId="18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164" fontId="8" fillId="2" borderId="16" xfId="0" applyNumberFormat="1" applyFont="1" applyFill="1" applyBorder="1" applyAlignment="1">
      <alignment horizontal="center"/>
    </xf>
    <xf numFmtId="0" fontId="10" fillId="2" borderId="28" xfId="0" applyFont="1" applyFill="1" applyBorder="1" applyAlignment="1">
      <alignment horizontal="center" vertical="center"/>
    </xf>
    <xf numFmtId="164" fontId="47" fillId="0" borderId="18" xfId="0" applyNumberFormat="1" applyFont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7" fillId="2" borderId="40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0" fontId="10" fillId="2" borderId="4" xfId="0" applyFont="1" applyFill="1" applyBorder="1" applyAlignment="1">
      <alignment horizontal="right" vertical="center"/>
    </xf>
    <xf numFmtId="0" fontId="10" fillId="2" borderId="7" xfId="0" applyFont="1" applyFill="1" applyBorder="1" applyAlignment="1">
      <alignment horizontal="right"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10" fillId="2" borderId="18" xfId="0" applyFont="1" applyFill="1" applyBorder="1" applyAlignment="1">
      <alignment horizontal="right" vertical="center"/>
    </xf>
    <xf numFmtId="0" fontId="2" fillId="0" borderId="4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/>
    </xf>
    <xf numFmtId="0" fontId="38" fillId="0" borderId="0" xfId="1" applyFont="1" applyAlignment="1">
      <alignment horizontal="center"/>
    </xf>
    <xf numFmtId="0" fontId="39" fillId="0" borderId="0" xfId="1" applyFont="1" applyAlignment="1">
      <alignment horizontal="center"/>
    </xf>
    <xf numFmtId="0" fontId="6" fillId="0" borderId="4" xfId="1" applyFont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44" fillId="2" borderId="4" xfId="1" applyFont="1" applyFill="1" applyBorder="1" applyAlignment="1">
      <alignment horizontal="left" vertical="center" wrapText="1"/>
    </xf>
    <xf numFmtId="0" fontId="44" fillId="2" borderId="4" xfId="1" applyFont="1" applyFill="1" applyBorder="1" applyAlignment="1">
      <alignment horizontal="left" vertical="center"/>
    </xf>
    <xf numFmtId="0" fontId="44" fillId="5" borderId="1" xfId="0" applyFont="1" applyFill="1" applyBorder="1" applyAlignment="1">
      <alignment horizontal="center" vertical="center"/>
    </xf>
    <xf numFmtId="0" fontId="44" fillId="5" borderId="2" xfId="0" applyFont="1" applyFill="1" applyBorder="1" applyAlignment="1">
      <alignment horizontal="center" vertical="center"/>
    </xf>
    <xf numFmtId="0" fontId="40" fillId="2" borderId="4" xfId="1" applyFont="1" applyFill="1" applyBorder="1" applyAlignment="1">
      <alignment horizontal="left" vertical="center" wrapText="1"/>
    </xf>
    <xf numFmtId="0" fontId="40" fillId="2" borderId="4" xfId="1" applyFont="1" applyFill="1" applyBorder="1" applyAlignment="1">
      <alignment horizontal="left" vertical="center"/>
    </xf>
    <xf numFmtId="0" fontId="40" fillId="5" borderId="1" xfId="0" applyFont="1" applyFill="1" applyBorder="1" applyAlignment="1">
      <alignment horizontal="center" vertical="center"/>
    </xf>
    <xf numFmtId="0" fontId="40" fillId="5" borderId="2" xfId="0" applyFont="1" applyFill="1" applyBorder="1" applyAlignment="1">
      <alignment horizontal="center" vertical="center"/>
    </xf>
    <xf numFmtId="0" fontId="34" fillId="0" borderId="1" xfId="3" applyFont="1" applyBorder="1" applyAlignment="1">
      <alignment horizontal="center" vertical="center"/>
    </xf>
    <xf numFmtId="0" fontId="34" fillId="0" borderId="2" xfId="3" applyFont="1" applyBorder="1" applyAlignment="1">
      <alignment horizontal="center" vertical="center"/>
    </xf>
    <xf numFmtId="0" fontId="26" fillId="0" borderId="1" xfId="1" applyFont="1" applyBorder="1" applyAlignment="1">
      <alignment horizontal="center"/>
    </xf>
    <xf numFmtId="0" fontId="26" fillId="0" borderId="2" xfId="1" applyFont="1" applyBorder="1" applyAlignment="1">
      <alignment horizontal="center"/>
    </xf>
    <xf numFmtId="0" fontId="28" fillId="0" borderId="4" xfId="1" applyFont="1" applyBorder="1" applyAlignment="1">
      <alignment horizontal="center"/>
    </xf>
    <xf numFmtId="0" fontId="28" fillId="0" borderId="1" xfId="1" applyFont="1" applyBorder="1" applyAlignment="1">
      <alignment horizontal="center"/>
    </xf>
    <xf numFmtId="0" fontId="28" fillId="0" borderId="3" xfId="1" applyFont="1" applyBorder="1" applyAlignment="1">
      <alignment horizontal="center"/>
    </xf>
    <xf numFmtId="0" fontId="28" fillId="0" borderId="2" xfId="1" applyFont="1" applyBorder="1" applyAlignment="1">
      <alignment horizontal="center"/>
    </xf>
    <xf numFmtId="0" fontId="28" fillId="0" borderId="1" xfId="1" applyFont="1" applyBorder="1" applyAlignment="1">
      <alignment horizontal="center" vertical="center" wrapText="1"/>
    </xf>
    <xf numFmtId="0" fontId="28" fillId="0" borderId="2" xfId="1" applyFont="1" applyBorder="1" applyAlignment="1">
      <alignment horizontal="center" vertical="center" wrapText="1"/>
    </xf>
    <xf numFmtId="0" fontId="41" fillId="0" borderId="0" xfId="1" applyFont="1" applyAlignment="1">
      <alignment horizontal="center"/>
    </xf>
    <xf numFmtId="0" fontId="2" fillId="0" borderId="15" xfId="1" applyFont="1" applyBorder="1" applyAlignment="1">
      <alignment horizontal="center" vertical="center" wrapText="1"/>
    </xf>
    <xf numFmtId="0" fontId="2" fillId="0" borderId="38" xfId="1" applyFont="1" applyBorder="1" applyAlignment="1">
      <alignment horizontal="center" vertical="center"/>
    </xf>
    <xf numFmtId="0" fontId="6" fillId="0" borderId="30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 wrapText="1"/>
    </xf>
    <xf numFmtId="0" fontId="6" fillId="0" borderId="21" xfId="1" applyFont="1" applyBorder="1" applyAlignment="1">
      <alignment horizontal="center" vertical="center" wrapText="1"/>
    </xf>
    <xf numFmtId="0" fontId="43" fillId="0" borderId="0" xfId="1" applyFont="1" applyAlignment="1">
      <alignment horizontal="center"/>
    </xf>
    <xf numFmtId="0" fontId="20" fillId="0" borderId="1" xfId="1" applyFont="1" applyBorder="1" applyAlignment="1">
      <alignment horizontal="center"/>
    </xf>
    <xf numFmtId="0" fontId="20" fillId="0" borderId="3" xfId="1" applyFont="1" applyBorder="1" applyAlignment="1">
      <alignment horizontal="center"/>
    </xf>
    <xf numFmtId="0" fontId="20" fillId="0" borderId="2" xfId="1" applyFont="1" applyBorder="1" applyAlignment="1">
      <alignment horizontal="center"/>
    </xf>
    <xf numFmtId="0" fontId="42" fillId="0" borderId="0" xfId="1" applyFont="1" applyAlignment="1">
      <alignment horizontal="center"/>
    </xf>
    <xf numFmtId="0" fontId="20" fillId="0" borderId="1" xfId="1" applyFont="1" applyBorder="1" applyAlignment="1">
      <alignment horizontal="center" vertical="center" wrapText="1"/>
    </xf>
    <xf numFmtId="0" fontId="20" fillId="0" borderId="2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/>
    </xf>
    <xf numFmtId="0" fontId="18" fillId="0" borderId="2" xfId="1" applyFont="1" applyBorder="1" applyAlignment="1">
      <alignment horizontal="center"/>
    </xf>
    <xf numFmtId="0" fontId="24" fillId="0" borderId="1" xfId="3" applyFont="1" applyBorder="1" applyAlignment="1">
      <alignment horizontal="center" vertical="center"/>
    </xf>
    <xf numFmtId="0" fontId="24" fillId="0" borderId="2" xfId="3" applyFont="1" applyBorder="1" applyAlignment="1">
      <alignment horizontal="center" vertical="center"/>
    </xf>
    <xf numFmtId="0" fontId="20" fillId="0" borderId="4" xfId="1" applyFont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_M1 Subject Marks" xfId="3" xr:uid="{00000000-0005-0000-0000-000003000000}"/>
    <cellStyle name="Percent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2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YEAR 9, END OF YEAR 2025</a:t>
            </a:r>
          </a:p>
        </c:rich>
      </c:tx>
      <c:layout>
        <c:manualLayout>
          <c:xMode val="edge"/>
          <c:yMode val="edge"/>
          <c:x val="0.30076912260967381"/>
          <c:y val="2.021784394854573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1459883568005507"/>
          <c:y val="0.19248855708467374"/>
          <c:w val="0.44233608172907285"/>
          <c:h val="0.76369443786439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'OVERALL PERFORMANCES'!$A$2</c:f>
              <c:strCache>
                <c:ptCount val="1"/>
                <c:pt idx="0">
                  <c:v>Subjects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'OVERALL PERFORMANCES'!$A$3:$A$19</c:f>
              <c:strCache>
                <c:ptCount val="17"/>
                <c:pt idx="0">
                  <c:v>B.Melayu</c:v>
                </c:pt>
                <c:pt idx="1">
                  <c:v>English Language</c:v>
                </c:pt>
                <c:pt idx="2">
                  <c:v>IGCSE English</c:v>
                </c:pt>
                <c:pt idx="3">
                  <c:v>Mathematics D</c:v>
                </c:pt>
                <c:pt idx="4">
                  <c:v>Additional Maths</c:v>
                </c:pt>
                <c:pt idx="5">
                  <c:v>Physics</c:v>
                </c:pt>
                <c:pt idx="6">
                  <c:v>Chemistry</c:v>
                </c:pt>
                <c:pt idx="7">
                  <c:v>Biology</c:v>
                </c:pt>
                <c:pt idx="8">
                  <c:v>Combined Science</c:v>
                </c:pt>
                <c:pt idx="9">
                  <c:v>Geography</c:v>
                </c:pt>
                <c:pt idx="10">
                  <c:v>IRK</c:v>
                </c:pt>
                <c:pt idx="11">
                  <c:v>History</c:v>
                </c:pt>
                <c:pt idx="12">
                  <c:v>Commerce</c:v>
                </c:pt>
                <c:pt idx="13">
                  <c:v>Economics</c:v>
                </c:pt>
                <c:pt idx="14">
                  <c:v>Accounting</c:v>
                </c:pt>
                <c:pt idx="15">
                  <c:v>Art &amp; Design</c:v>
                </c:pt>
                <c:pt idx="16">
                  <c:v>Food &amp; Nutrition</c:v>
                </c:pt>
              </c:strCache>
            </c:strRef>
          </c:cat>
          <c:val>
            <c:numRef>
              <c:f>'OVERALL PERFORMANCES'!#REF!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C6-4707-B18A-1CE294027641}"/>
            </c:ext>
          </c:extLst>
        </c:ser>
        <c:ser>
          <c:idx val="1"/>
          <c:order val="1"/>
          <c:tx>
            <c:strRef>
              <c:f>'OVERALL PERFORMANCES'!$B$2:$C$2</c:f>
              <c:strCache>
                <c:ptCount val="2"/>
                <c:pt idx="0">
                  <c:v>%
1-6</c:v>
                </c:pt>
                <c:pt idx="1">
                  <c:v>%
1-8</c:v>
                </c:pt>
              </c:strCache>
            </c:strRef>
          </c:tx>
          <c:spPr>
            <a:solidFill>
              <a:srgbClr val="FFFF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'OVERALL PERFORMANCES'!$A$3:$A$19</c:f>
              <c:strCache>
                <c:ptCount val="17"/>
                <c:pt idx="0">
                  <c:v>B.Melayu</c:v>
                </c:pt>
                <c:pt idx="1">
                  <c:v>English Language</c:v>
                </c:pt>
                <c:pt idx="2">
                  <c:v>IGCSE English</c:v>
                </c:pt>
                <c:pt idx="3">
                  <c:v>Mathematics D</c:v>
                </c:pt>
                <c:pt idx="4">
                  <c:v>Additional Maths</c:v>
                </c:pt>
                <c:pt idx="5">
                  <c:v>Physics</c:v>
                </c:pt>
                <c:pt idx="6">
                  <c:v>Chemistry</c:v>
                </c:pt>
                <c:pt idx="7">
                  <c:v>Biology</c:v>
                </c:pt>
                <c:pt idx="8">
                  <c:v>Combined Science</c:v>
                </c:pt>
                <c:pt idx="9">
                  <c:v>Geography</c:v>
                </c:pt>
                <c:pt idx="10">
                  <c:v>IRK</c:v>
                </c:pt>
                <c:pt idx="11">
                  <c:v>History</c:v>
                </c:pt>
                <c:pt idx="12">
                  <c:v>Commerce</c:v>
                </c:pt>
                <c:pt idx="13">
                  <c:v>Economics</c:v>
                </c:pt>
                <c:pt idx="14">
                  <c:v>Accounting</c:v>
                </c:pt>
                <c:pt idx="15">
                  <c:v>Art &amp; Design</c:v>
                </c:pt>
                <c:pt idx="16">
                  <c:v>Food &amp; Nutrition</c:v>
                </c:pt>
              </c:strCache>
            </c:strRef>
          </c:cat>
          <c:val>
            <c:numRef>
              <c:f>'OVERALL PERFORMANCES'!$B$3:$B$19</c:f>
              <c:numCache>
                <c:formatCode>0.0</c:formatCode>
                <c:ptCount val="17"/>
                <c:pt idx="0">
                  <c:v>59.876543209876544</c:v>
                </c:pt>
                <c:pt idx="1">
                  <c:v>69.064748201438846</c:v>
                </c:pt>
                <c:pt idx="2">
                  <c:v>52.631578947368418</c:v>
                </c:pt>
                <c:pt idx="3">
                  <c:v>36.29032258064516</c:v>
                </c:pt>
                <c:pt idx="4">
                  <c:v>16.666666666666664</c:v>
                </c:pt>
                <c:pt idx="5">
                  <c:v>25</c:v>
                </c:pt>
                <c:pt idx="6">
                  <c:v>17.283950617283949</c:v>
                </c:pt>
                <c:pt idx="7">
                  <c:v>5.2631578947368416</c:v>
                </c:pt>
                <c:pt idx="8">
                  <c:v>5.2631578947368416</c:v>
                </c:pt>
                <c:pt idx="9">
                  <c:v>11.111111111111111</c:v>
                </c:pt>
                <c:pt idx="10">
                  <c:v>63.580246913580254</c:v>
                </c:pt>
                <c:pt idx="11">
                  <c:v>49.206349206349202</c:v>
                </c:pt>
                <c:pt idx="12">
                  <c:v>50</c:v>
                </c:pt>
                <c:pt idx="13">
                  <c:v>50</c:v>
                </c:pt>
                <c:pt idx="14">
                  <c:v>6.9767441860465116</c:v>
                </c:pt>
                <c:pt idx="15">
                  <c:v>37.837837837837839</c:v>
                </c:pt>
                <c:pt idx="16">
                  <c:v>15.789473684210526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C6-4707-B18A-1CE294027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271296"/>
        <c:axId val="65272832"/>
      </c:barChart>
      <c:catAx>
        <c:axId val="6527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272832"/>
        <c:crosses val="autoZero"/>
        <c:auto val="1"/>
        <c:lblAlgn val="ctr"/>
        <c:lblOffset val="100"/>
        <c:noMultiLvlLbl val="0"/>
      </c:catAx>
      <c:valAx>
        <c:axId val="65272832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9.1645575553055865E-3"/>
              <c:y val="0.399114717647193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52712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&amp;CSEKOLAH MENENGAH PENGIRAN ANAK PUTERI HAJAH MASNA
YEAR 9
END OF YEAR 2021 ANALYSIS
</c:oddHeader>
      <c:oddFooter>&amp;LExam Dept SMPAPHM&amp;CY9 2022</c:oddFooter>
    </c:headerFooter>
    <c:pageMargins b="1" l="0.75" r="0.75" t="1" header="0.5" footer="0.5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210254225230011E-2"/>
          <c:y val="2.6119402985074626E-2"/>
          <c:w val="0.82165668980820949"/>
          <c:h val="0.776119402985074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'OVERALL PERFORMANCES'!$B$2</c:f>
              <c:strCache>
                <c:ptCount val="1"/>
                <c:pt idx="0">
                  <c:v>%
1-6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'OVERALL PERFORMANCES'!$A$3:$A$24</c:f>
              <c:strCache>
                <c:ptCount val="22"/>
                <c:pt idx="0">
                  <c:v>B.Melayu</c:v>
                </c:pt>
                <c:pt idx="1">
                  <c:v>English Language</c:v>
                </c:pt>
                <c:pt idx="2">
                  <c:v>IGCSE English</c:v>
                </c:pt>
                <c:pt idx="3">
                  <c:v>Mathematics D</c:v>
                </c:pt>
                <c:pt idx="4">
                  <c:v>Additional Maths</c:v>
                </c:pt>
                <c:pt idx="5">
                  <c:v>Physics</c:v>
                </c:pt>
                <c:pt idx="6">
                  <c:v>Chemistry</c:v>
                </c:pt>
                <c:pt idx="7">
                  <c:v>Biology</c:v>
                </c:pt>
                <c:pt idx="8">
                  <c:v>Combined Science</c:v>
                </c:pt>
                <c:pt idx="9">
                  <c:v>Geography</c:v>
                </c:pt>
                <c:pt idx="10">
                  <c:v>IRK</c:v>
                </c:pt>
                <c:pt idx="11">
                  <c:v>History</c:v>
                </c:pt>
                <c:pt idx="12">
                  <c:v>Commerce</c:v>
                </c:pt>
                <c:pt idx="13">
                  <c:v>Economics</c:v>
                </c:pt>
                <c:pt idx="14">
                  <c:v>Accounting</c:v>
                </c:pt>
                <c:pt idx="15">
                  <c:v>Art &amp; Design</c:v>
                </c:pt>
                <c:pt idx="16">
                  <c:v>Food &amp; Nutrition</c:v>
                </c:pt>
                <c:pt idx="17">
                  <c:v>Agriculture</c:v>
                </c:pt>
                <c:pt idx="18">
                  <c:v>Sastera</c:v>
                </c:pt>
                <c:pt idx="19">
                  <c:v>Travel and Tourism</c:v>
                </c:pt>
                <c:pt idx="20">
                  <c:v>Computer Science</c:v>
                </c:pt>
                <c:pt idx="21">
                  <c:v>ICT (IGCSE)</c:v>
                </c:pt>
              </c:strCache>
            </c:strRef>
          </c:cat>
          <c:val>
            <c:numRef>
              <c:f>'OVERALL PERFORMANCES'!$B$3:$B$24</c:f>
              <c:numCache>
                <c:formatCode>0.0</c:formatCode>
                <c:ptCount val="22"/>
                <c:pt idx="0">
                  <c:v>59.876543209876544</c:v>
                </c:pt>
                <c:pt idx="1">
                  <c:v>69.064748201438846</c:v>
                </c:pt>
                <c:pt idx="2">
                  <c:v>52.631578947368418</c:v>
                </c:pt>
                <c:pt idx="3">
                  <c:v>36.29032258064516</c:v>
                </c:pt>
                <c:pt idx="4">
                  <c:v>16.666666666666664</c:v>
                </c:pt>
                <c:pt idx="5">
                  <c:v>25</c:v>
                </c:pt>
                <c:pt idx="6">
                  <c:v>17.283950617283949</c:v>
                </c:pt>
                <c:pt idx="7">
                  <c:v>5.2631578947368416</c:v>
                </c:pt>
                <c:pt idx="8">
                  <c:v>5.2631578947368416</c:v>
                </c:pt>
                <c:pt idx="9">
                  <c:v>11.111111111111111</c:v>
                </c:pt>
                <c:pt idx="10">
                  <c:v>63.580246913580254</c:v>
                </c:pt>
                <c:pt idx="11">
                  <c:v>49.206349206349202</c:v>
                </c:pt>
                <c:pt idx="12">
                  <c:v>50</c:v>
                </c:pt>
                <c:pt idx="13">
                  <c:v>50</c:v>
                </c:pt>
                <c:pt idx="14">
                  <c:v>6.9767441860465116</c:v>
                </c:pt>
                <c:pt idx="15">
                  <c:v>37.837837837837839</c:v>
                </c:pt>
                <c:pt idx="16">
                  <c:v>15.789473684210526</c:v>
                </c:pt>
                <c:pt idx="17">
                  <c:v>23.255813953488371</c:v>
                </c:pt>
                <c:pt idx="18">
                  <c:v>65.714285714285708</c:v>
                </c:pt>
                <c:pt idx="19">
                  <c:v>45.833333333333329</c:v>
                </c:pt>
                <c:pt idx="20">
                  <c:v>12.820512820512819</c:v>
                </c:pt>
                <c:pt idx="2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8-404C-8B50-6A3D948B4953}"/>
            </c:ext>
          </c:extLst>
        </c:ser>
        <c:ser>
          <c:idx val="1"/>
          <c:order val="1"/>
          <c:tx>
            <c:strRef>
              <c:f>'OVERALL PERFORMANCES'!$C$2</c:f>
              <c:strCache>
                <c:ptCount val="1"/>
                <c:pt idx="0">
                  <c:v>%
1-8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cat>
            <c:strRef>
              <c:f>'OVERALL PERFORMANCES'!$A$3:$A$24</c:f>
              <c:strCache>
                <c:ptCount val="22"/>
                <c:pt idx="0">
                  <c:v>B.Melayu</c:v>
                </c:pt>
                <c:pt idx="1">
                  <c:v>English Language</c:v>
                </c:pt>
                <c:pt idx="2">
                  <c:v>IGCSE English</c:v>
                </c:pt>
                <c:pt idx="3">
                  <c:v>Mathematics D</c:v>
                </c:pt>
                <c:pt idx="4">
                  <c:v>Additional Maths</c:v>
                </c:pt>
                <c:pt idx="5">
                  <c:v>Physics</c:v>
                </c:pt>
                <c:pt idx="6">
                  <c:v>Chemistry</c:v>
                </c:pt>
                <c:pt idx="7">
                  <c:v>Biology</c:v>
                </c:pt>
                <c:pt idx="8">
                  <c:v>Combined Science</c:v>
                </c:pt>
                <c:pt idx="9">
                  <c:v>Geography</c:v>
                </c:pt>
                <c:pt idx="10">
                  <c:v>IRK</c:v>
                </c:pt>
                <c:pt idx="11">
                  <c:v>History</c:v>
                </c:pt>
                <c:pt idx="12">
                  <c:v>Commerce</c:v>
                </c:pt>
                <c:pt idx="13">
                  <c:v>Economics</c:v>
                </c:pt>
                <c:pt idx="14">
                  <c:v>Accounting</c:v>
                </c:pt>
                <c:pt idx="15">
                  <c:v>Art &amp; Design</c:v>
                </c:pt>
                <c:pt idx="16">
                  <c:v>Food &amp; Nutrition</c:v>
                </c:pt>
                <c:pt idx="17">
                  <c:v>Agriculture</c:v>
                </c:pt>
                <c:pt idx="18">
                  <c:v>Sastera</c:v>
                </c:pt>
                <c:pt idx="19">
                  <c:v>Travel and Tourism</c:v>
                </c:pt>
                <c:pt idx="20">
                  <c:v>Computer Science</c:v>
                </c:pt>
                <c:pt idx="21">
                  <c:v>ICT (IGCSE)</c:v>
                </c:pt>
              </c:strCache>
            </c:strRef>
          </c:cat>
          <c:val>
            <c:numRef>
              <c:f>'OVERALL PERFORMANCES'!$C$3:$C$24</c:f>
              <c:numCache>
                <c:formatCode>0.0</c:formatCode>
                <c:ptCount val="22"/>
                <c:pt idx="0">
                  <c:v>99.382716049382708</c:v>
                </c:pt>
                <c:pt idx="1">
                  <c:v>93.525179856115102</c:v>
                </c:pt>
                <c:pt idx="2">
                  <c:v>84.210526315789465</c:v>
                </c:pt>
                <c:pt idx="3">
                  <c:v>71.774193548387103</c:v>
                </c:pt>
                <c:pt idx="4">
                  <c:v>50</c:v>
                </c:pt>
                <c:pt idx="5">
                  <c:v>73</c:v>
                </c:pt>
                <c:pt idx="6">
                  <c:v>75.308641975308646</c:v>
                </c:pt>
                <c:pt idx="7">
                  <c:v>52.631578947368418</c:v>
                </c:pt>
                <c:pt idx="8">
                  <c:v>52.631578947368418</c:v>
                </c:pt>
                <c:pt idx="9">
                  <c:v>44.444444444444443</c:v>
                </c:pt>
                <c:pt idx="10">
                  <c:v>84.567901234567898</c:v>
                </c:pt>
                <c:pt idx="11">
                  <c:v>65.079365079365076</c:v>
                </c:pt>
                <c:pt idx="12">
                  <c:v>95.833333333333343</c:v>
                </c:pt>
                <c:pt idx="13">
                  <c:v>94.444444444444443</c:v>
                </c:pt>
                <c:pt idx="14">
                  <c:v>30.232558139534881</c:v>
                </c:pt>
                <c:pt idx="15">
                  <c:v>51.351351351351347</c:v>
                </c:pt>
                <c:pt idx="16">
                  <c:v>47.368421052631575</c:v>
                </c:pt>
                <c:pt idx="17">
                  <c:v>76.744186046511629</c:v>
                </c:pt>
                <c:pt idx="18">
                  <c:v>91.428571428571431</c:v>
                </c:pt>
                <c:pt idx="19">
                  <c:v>64.583333333333343</c:v>
                </c:pt>
                <c:pt idx="20">
                  <c:v>56.410256410256409</c:v>
                </c:pt>
                <c:pt idx="2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C8-404C-8B50-6A3D948B4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123072"/>
        <c:axId val="65124608"/>
      </c:barChart>
      <c:catAx>
        <c:axId val="6512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5124608"/>
        <c:crosses val="autoZero"/>
        <c:auto val="1"/>
        <c:lblAlgn val="ctr"/>
        <c:lblOffset val="100"/>
        <c:noMultiLvlLbl val="0"/>
      </c:catAx>
      <c:valAx>
        <c:axId val="65124608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51230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>
      <c:oddHeader>&amp;CSEKOLAH MENENGAH PENGIRAN ANAK PUTERI HAJAH MASNA
MID YEAR EXAMINATION, 2014, YEAR 10</c:oddHeader>
      <c:oddFooter>&amp;LExam Dept SMPAPHM&amp;CY10 2022</c:oddFooter>
    </c:headerFooter>
    <c:pageMargins b="0.75" l="0.7" r="0.7" t="0.75" header="0.3" footer="0.3"/>
    <c:pageSetup orientation="landscape" horizontalDpi="0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t>CLASS AVERAGE MARKS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t>YEAR 10, MID YEAR EXAMINATION 2016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'CLASS AVERAGE'!$B$2</c:f>
              <c:strCache>
                <c:ptCount val="1"/>
                <c:pt idx="0">
                  <c:v>Class Avg</c:v>
                </c:pt>
              </c:strCache>
            </c:strRef>
          </c:tx>
          <c:invertIfNegative val="0"/>
          <c:cat>
            <c:strRef>
              <c:f>'CLASS AVERAGE'!$A$3:$A$9</c:f>
              <c:strCache>
                <c:ptCount val="7"/>
                <c:pt idx="0">
                  <c:v>10Sci2 (26)</c:v>
                </c:pt>
                <c:pt idx="1">
                  <c:v>10Sci3 (25)</c:v>
                </c:pt>
                <c:pt idx="2">
                  <c:v>10A (31)</c:v>
                </c:pt>
                <c:pt idx="3">
                  <c:v>10M (30)</c:v>
                </c:pt>
                <c:pt idx="4">
                  <c:v>10B (31)</c:v>
                </c:pt>
                <c:pt idx="5">
                  <c:v>10E (32)</c:v>
                </c:pt>
                <c:pt idx="6">
                  <c:v>10R (31)</c:v>
                </c:pt>
              </c:strCache>
            </c:strRef>
          </c:cat>
          <c:val>
            <c:numRef>
              <c:f>'CLASS AVERAGE'!$B$3:$B$9</c:f>
              <c:numCache>
                <c:formatCode>0.0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809A-445D-B30F-5A3F84CEE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gapDepth val="61"/>
        <c:shape val="cylinder"/>
        <c:axId val="66198144"/>
        <c:axId val="66220800"/>
        <c:axId val="0"/>
      </c:bar3DChart>
      <c:catAx>
        <c:axId val="66198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Class  &amp; No of students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6220800"/>
        <c:crosses val="autoZero"/>
        <c:auto val="1"/>
        <c:lblAlgn val="ctr"/>
        <c:lblOffset val="100"/>
        <c:noMultiLvlLbl val="0"/>
      </c:catAx>
      <c:valAx>
        <c:axId val="662208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Class Average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61981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>
      <c:oddHeader>&amp;CSEKOLAH MENENGAH PENGIRAN ANAK PUTERI HAJAH MASNA
ANALYSIS YEAR 10Sci1 and YEAR 11 MID YEAR EXAMINATION 2015
</c:oddHeader>
      <c:oddFooter>&amp;LExam Dept SMPAPHM&amp;CY10Sci1 and Y11 2015</c:oddFooter>
    </c:headerFooter>
    <c:pageMargins b="0.75" l="0.7" r="0.7" t="0.75" header="0.3" footer="0.3"/>
    <c:pageSetup orientation="landscape" horizontalDpi="0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Subjects Average Marks(%) Vs M4'O' Level Classes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dkDnDiag">
              <a:fgClr>
                <a:srgbClr val="993366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73B-4C10-BCE3-DE83494C43C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'By Class'!#REF!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'By Class'!#REF!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'By Class'!#REF!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73B-4C10-BCE3-DE83494C4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78560"/>
        <c:axId val="54588544"/>
      </c:barChart>
      <c:catAx>
        <c:axId val="54578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588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5885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5785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Subject Analysis Men 4 'O' Level 
Monthly Test 2004</a:t>
            </a:r>
          </a:p>
        </c:rich>
      </c:tx>
      <c:layout>
        <c:manualLayout>
          <c:xMode val="edge"/>
          <c:yMode val="edge"/>
          <c:x val="0.25238128567262424"/>
          <c:y val="2.69886363636363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69858739240357"/>
          <c:y val="0.16761363636363635"/>
          <c:w val="0.77936628746014303"/>
          <c:h val="0.735795454545454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'By Class'!$C$142</c:f>
              <c:strCache>
                <c:ptCount val="1"/>
                <c:pt idx="0">
                  <c:v>%
1-6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Class'!$B$143:$B$160</c:f>
              <c:strCache>
                <c:ptCount val="18"/>
                <c:pt idx="0">
                  <c:v>B.Mel</c:v>
                </c:pt>
                <c:pt idx="1">
                  <c:v>Eng</c:v>
                </c:pt>
                <c:pt idx="2">
                  <c:v>Maths</c:v>
                </c:pt>
                <c:pt idx="3">
                  <c:v>A Math</c:v>
                </c:pt>
                <c:pt idx="4">
                  <c:v>Phy</c:v>
                </c:pt>
                <c:pt idx="5">
                  <c:v>Chem</c:v>
                </c:pt>
                <c:pt idx="6">
                  <c:v>Bio</c:v>
                </c:pt>
                <c:pt idx="7">
                  <c:v>C Sci</c:v>
                </c:pt>
                <c:pt idx="8">
                  <c:v>Geog</c:v>
                </c:pt>
                <c:pt idx="9">
                  <c:v>His</c:v>
                </c:pt>
                <c:pt idx="10">
                  <c:v>IRK</c:v>
                </c:pt>
                <c:pt idx="11">
                  <c:v>Comm</c:v>
                </c:pt>
                <c:pt idx="12">
                  <c:v>Eco</c:v>
                </c:pt>
                <c:pt idx="13">
                  <c:v>Comp</c:v>
                </c:pt>
                <c:pt idx="14">
                  <c:v>POA</c:v>
                </c:pt>
                <c:pt idx="15">
                  <c:v>A Sci</c:v>
                </c:pt>
                <c:pt idx="16">
                  <c:v>Art</c:v>
                </c:pt>
                <c:pt idx="17">
                  <c:v>Sas</c:v>
                </c:pt>
              </c:strCache>
            </c:strRef>
          </c:cat>
          <c:val>
            <c:numRef>
              <c:f>'By Class'!$C$143:$C$160</c:f>
              <c:numCache>
                <c:formatCode>0.0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0-D43F-40EC-B6AD-08A778E83FC2}"/>
            </c:ext>
          </c:extLst>
        </c:ser>
        <c:ser>
          <c:idx val="1"/>
          <c:order val="1"/>
          <c:tx>
            <c:strRef>
              <c:f>'By Class'!$D$142</c:f>
              <c:strCache>
                <c:ptCount val="1"/>
                <c:pt idx="0">
                  <c:v>%
1-8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Class'!$B$143:$B$160</c:f>
              <c:strCache>
                <c:ptCount val="18"/>
                <c:pt idx="0">
                  <c:v>B.Mel</c:v>
                </c:pt>
                <c:pt idx="1">
                  <c:v>Eng</c:v>
                </c:pt>
                <c:pt idx="2">
                  <c:v>Maths</c:v>
                </c:pt>
                <c:pt idx="3">
                  <c:v>A Math</c:v>
                </c:pt>
                <c:pt idx="4">
                  <c:v>Phy</c:v>
                </c:pt>
                <c:pt idx="5">
                  <c:v>Chem</c:v>
                </c:pt>
                <c:pt idx="6">
                  <c:v>Bio</c:v>
                </c:pt>
                <c:pt idx="7">
                  <c:v>C Sci</c:v>
                </c:pt>
                <c:pt idx="8">
                  <c:v>Geog</c:v>
                </c:pt>
                <c:pt idx="9">
                  <c:v>His</c:v>
                </c:pt>
                <c:pt idx="10">
                  <c:v>IRK</c:v>
                </c:pt>
                <c:pt idx="11">
                  <c:v>Comm</c:v>
                </c:pt>
                <c:pt idx="12">
                  <c:v>Eco</c:v>
                </c:pt>
                <c:pt idx="13">
                  <c:v>Comp</c:v>
                </c:pt>
                <c:pt idx="14">
                  <c:v>POA</c:v>
                </c:pt>
                <c:pt idx="15">
                  <c:v>A Sci</c:v>
                </c:pt>
                <c:pt idx="16">
                  <c:v>Art</c:v>
                </c:pt>
                <c:pt idx="17">
                  <c:v>Sas</c:v>
                </c:pt>
              </c:strCache>
            </c:strRef>
          </c:cat>
          <c:val>
            <c:numRef>
              <c:f>'By Class'!$D$143:$D$160</c:f>
              <c:numCache>
                <c:formatCode>0.0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1-D43F-40EC-B6AD-08A778E83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606080"/>
        <c:axId val="54611968"/>
      </c:barChart>
      <c:catAx>
        <c:axId val="54606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611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611968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60608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909525142690497"/>
          <c:y val="0.47443181818181818"/>
          <c:w val="0.98730308711411074"/>
          <c:h val="0.5980113636363636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 copies="6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YEAR 9, END OF YEAR 2025</a:t>
            </a:r>
          </a:p>
        </c:rich>
      </c:tx>
      <c:layout>
        <c:manualLayout>
          <c:xMode val="edge"/>
          <c:yMode val="edge"/>
          <c:x val="0.3393330914936446"/>
          <c:y val="2.8592646849376385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43485678054531"/>
          <c:y val="9.7297425698672002E-2"/>
          <c:w val="0.8493793649875987"/>
          <c:h val="0.69729821750714938"/>
        </c:manualLayout>
      </c:layout>
      <c:barChart>
        <c:barDir val="col"/>
        <c:grouping val="clustered"/>
        <c:varyColors val="0"/>
        <c:ser>
          <c:idx val="0"/>
          <c:order val="0"/>
          <c:tx>
            <c:v>Class Avg</c:v>
          </c:tx>
          <c:spPr>
            <a:solidFill>
              <a:srgbClr val="953735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10"/>
              <c:pt idx="0">
                <c:v>9</c:v>
              </c:pt>
              <c:pt idx="1">
                <c:v>8</c:v>
              </c:pt>
              <c:pt idx="2">
                <c:v>7</c:v>
              </c:pt>
              <c:pt idx="3">
                <c:v>6</c:v>
              </c:pt>
              <c:pt idx="4">
                <c:v>5</c:v>
              </c:pt>
              <c:pt idx="5">
                <c:v>4</c:v>
              </c:pt>
              <c:pt idx="6">
                <c:v>3</c:v>
              </c:pt>
              <c:pt idx="7">
                <c:v>2</c:v>
              </c:pt>
              <c:pt idx="8">
                <c:v>1</c:v>
              </c:pt>
              <c:pt idx="9">
                <c:v>0</c:v>
              </c:pt>
            </c:numLit>
          </c:cat>
          <c:val>
            <c:numLit>
              <c:formatCode>General</c:formatCode>
              <c:ptCount val="10"/>
              <c:pt idx="0">
                <c:v>1.0050251256281407E-2</c:v>
              </c:pt>
              <c:pt idx="1">
                <c:v>2.5125628140703519E-2</c:v>
              </c:pt>
              <c:pt idx="2">
                <c:v>2.5125628140703519E-2</c:v>
              </c:pt>
              <c:pt idx="3">
                <c:v>2.5125628140703519E-2</c:v>
              </c:pt>
              <c:pt idx="4">
                <c:v>7.5376884422110546E-2</c:v>
              </c:pt>
              <c:pt idx="5">
                <c:v>0.1407035175879397</c:v>
              </c:pt>
              <c:pt idx="6">
                <c:v>0.14572864321608039</c:v>
              </c:pt>
              <c:pt idx="7">
                <c:v>0.22613065326633167</c:v>
              </c:pt>
              <c:pt idx="8">
                <c:v>0.23115577889447236</c:v>
              </c:pt>
              <c:pt idx="9">
                <c:v>9.5477386934673364E-2</c:v>
              </c:pt>
            </c:numLit>
          </c:val>
          <c:extLst>
            <c:ext xmlns:c16="http://schemas.microsoft.com/office/drawing/2014/chart" uri="{C3380CC4-5D6E-409C-BE32-E72D297353CC}">
              <c16:uniqueId val="{00000000-4D3F-48E9-A403-EE739710F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67286528"/>
        <c:axId val="67288448"/>
      </c:barChart>
      <c:catAx>
        <c:axId val="67286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Credits Attained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7288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7288448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3.1979457852321307E-2"/>
              <c:y val="0.368528759486459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72865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>
      <c:oddHeader>&amp;CSEKOLAH MENENGAH PENGIRAN ANAK PUTERI HAJAH MASNA
ANALYSIS YEAR 10Sci1 and YEAR 11 MID YEAR EXAMINATION 2015
</c:oddHeader>
    </c:headerFooter>
    <c:pageMargins b="0.75000000000000011" l="0.70000000000000007" r="0.70000000000000007" t="0.75000000000000011" header="0.30000000000000004" footer="0.30000000000000004"/>
    <c:pageSetup orientation="landscape" horizontalDpi="0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426620436418719E-2"/>
          <c:y val="4.2553173069222926E-2"/>
          <c:w val="0.84790264075388289"/>
          <c:h val="0.854609559140227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'No.of Credits Attained'!$D$8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numRef>
              <c:f>'No.of Credits Attained'!$A$9:$A$18</c:f>
              <c:numCache>
                <c:formatCode>General</c:formatCode>
                <c:ptCount val="10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cat>
          <c:val>
            <c:numRef>
              <c:f>'No.of Credits Attained'!$D$9:$D$18</c:f>
              <c:numCache>
                <c:formatCode>0.0%</c:formatCode>
                <c:ptCount val="10"/>
                <c:pt idx="0">
                  <c:v>1.8072289156626505E-2</c:v>
                </c:pt>
                <c:pt idx="1">
                  <c:v>7.2289156626506021E-2</c:v>
                </c:pt>
                <c:pt idx="2">
                  <c:v>0.12048192771084337</c:v>
                </c:pt>
                <c:pt idx="3">
                  <c:v>0.18674698795180722</c:v>
                </c:pt>
                <c:pt idx="4">
                  <c:v>0.15060240963855423</c:v>
                </c:pt>
                <c:pt idx="5">
                  <c:v>0.16265060240963855</c:v>
                </c:pt>
                <c:pt idx="6">
                  <c:v>0.15060240963855423</c:v>
                </c:pt>
                <c:pt idx="7">
                  <c:v>9.036144578313253E-2</c:v>
                </c:pt>
                <c:pt idx="8">
                  <c:v>1.2048192771084338E-2</c:v>
                </c:pt>
                <c:pt idx="9">
                  <c:v>3.614457831325301E-2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9-4804-BD2D-58997067B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7"/>
        <c:axId val="67325952"/>
        <c:axId val="67327488"/>
      </c:barChart>
      <c:catAx>
        <c:axId val="6732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73274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7327488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732595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0</xdr:row>
      <xdr:rowOff>57150</xdr:rowOff>
    </xdr:from>
    <xdr:to>
      <xdr:col>15</xdr:col>
      <xdr:colOff>1028700</xdr:colOff>
      <xdr:row>30</xdr:row>
      <xdr:rowOff>104775</xdr:rowOff>
    </xdr:to>
    <xdr:graphicFrame macro="">
      <xdr:nvGraphicFramePr>
        <xdr:cNvPr id="4078" name="Chart 1">
          <a:extLst>
            <a:ext uri="{FF2B5EF4-FFF2-40B4-BE49-F238E27FC236}">
              <a16:creationId xmlns:a16="http://schemas.microsoft.com/office/drawing/2014/main" id="{135F2FF9-F7C7-49AE-8A9D-E49A844DD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600075</xdr:colOff>
      <xdr:row>3</xdr:row>
      <xdr:rowOff>19050</xdr:rowOff>
    </xdr:from>
    <xdr:to>
      <xdr:col>15</xdr:col>
      <xdr:colOff>942975</xdr:colOff>
      <xdr:row>30</xdr:row>
      <xdr:rowOff>28575</xdr:rowOff>
    </xdr:to>
    <xdr:graphicFrame macro="">
      <xdr:nvGraphicFramePr>
        <xdr:cNvPr id="4079" name="Chart 2">
          <a:extLst>
            <a:ext uri="{FF2B5EF4-FFF2-40B4-BE49-F238E27FC236}">
              <a16:creationId xmlns:a16="http://schemas.microsoft.com/office/drawing/2014/main" id="{68614FF3-F033-4D62-9124-6F06A5FEC97F}"/>
            </a:ext>
            <a:ext uri="{147F2762-F138-4A5C-976F-8EAC2B608ADB}">
              <a16:predDERef xmlns:a16="http://schemas.microsoft.com/office/drawing/2014/main" pred="{135F2FF9-F7C7-49AE-8A9D-E49A844DD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0</xdr:row>
      <xdr:rowOff>0</xdr:rowOff>
    </xdr:from>
    <xdr:to>
      <xdr:col>12</xdr:col>
      <xdr:colOff>619125</xdr:colOff>
      <xdr:row>31</xdr:row>
      <xdr:rowOff>142875</xdr:rowOff>
    </xdr:to>
    <xdr:graphicFrame macro="">
      <xdr:nvGraphicFramePr>
        <xdr:cNvPr id="4796" name="Chart 2">
          <a:extLst>
            <a:ext uri="{FF2B5EF4-FFF2-40B4-BE49-F238E27FC236}">
              <a16:creationId xmlns:a16="http://schemas.microsoft.com/office/drawing/2014/main" id="{B4169A2D-BF54-4AAC-A723-F334C0C6B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137</xdr:row>
      <xdr:rowOff>0</xdr:rowOff>
    </xdr:from>
    <xdr:to>
      <xdr:col>15</xdr:col>
      <xdr:colOff>485775</xdr:colOff>
      <xdr:row>137</xdr:row>
      <xdr:rowOff>0</xdr:rowOff>
    </xdr:to>
    <xdr:graphicFrame macro="">
      <xdr:nvGraphicFramePr>
        <xdr:cNvPr id="3525682" name="Chart 1">
          <a:extLst>
            <a:ext uri="{FF2B5EF4-FFF2-40B4-BE49-F238E27FC236}">
              <a16:creationId xmlns:a16="http://schemas.microsoft.com/office/drawing/2014/main" id="{05EF5BF2-1FD0-4CC6-A072-2F54A5F43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104775</xdr:colOff>
      <xdr:row>137</xdr:row>
      <xdr:rowOff>0</xdr:rowOff>
    </xdr:from>
    <xdr:to>
      <xdr:col>2</xdr:col>
      <xdr:colOff>371475</xdr:colOff>
      <xdr:row>137</xdr:row>
      <xdr:rowOff>0</xdr:rowOff>
    </xdr:to>
    <xdr:sp macro="" textlink="">
      <xdr:nvSpPr>
        <xdr:cNvPr id="3525683" name="AutoShape 2">
          <a:extLst>
            <a:ext uri="{FF2B5EF4-FFF2-40B4-BE49-F238E27FC236}">
              <a16:creationId xmlns:a16="http://schemas.microsoft.com/office/drawing/2014/main" id="{EAAB721A-7941-473F-8872-DF09FCEDD5C3}"/>
            </a:ext>
          </a:extLst>
        </xdr:cNvPr>
        <xdr:cNvSpPr>
          <a:spLocks noChangeArrowheads="1"/>
        </xdr:cNvSpPr>
      </xdr:nvSpPr>
      <xdr:spPr bwMode="auto">
        <a:xfrm>
          <a:off x="1200150" y="29470350"/>
          <a:ext cx="1162050" cy="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0 h 21600"/>
            <a:gd name="T4" fmla="*/ 2147483647 w 21600"/>
            <a:gd name="T5" fmla="*/ 0 h 21600"/>
            <a:gd name="T6" fmla="*/ 2147483647 w 21600"/>
            <a:gd name="T7" fmla="*/ 0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0 h 21600"/>
            <a:gd name="T14" fmla="*/ 18227 w 21600"/>
            <a:gd name="T15" fmla="*/ 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47625</xdr:colOff>
      <xdr:row>159</xdr:row>
      <xdr:rowOff>142875</xdr:rowOff>
    </xdr:from>
    <xdr:to>
      <xdr:col>28</xdr:col>
      <xdr:colOff>561975</xdr:colOff>
      <xdr:row>183</xdr:row>
      <xdr:rowOff>104775</xdr:rowOff>
    </xdr:to>
    <xdr:graphicFrame macro="">
      <xdr:nvGraphicFramePr>
        <xdr:cNvPr id="3525684" name="Chart 3">
          <a:extLst>
            <a:ext uri="{FF2B5EF4-FFF2-40B4-BE49-F238E27FC236}">
              <a16:creationId xmlns:a16="http://schemas.microsoft.com/office/drawing/2014/main" id="{4F1179AA-FF3F-42DE-8251-2E7C27F1811C}"/>
            </a:ext>
            <a:ext uri="{147F2762-F138-4A5C-976F-8EAC2B608ADB}">
              <a16:predDERef xmlns:a16="http://schemas.microsoft.com/office/drawing/2014/main" pred="{EAAB721A-7941-473F-8872-DF09FCEDD5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28575</xdr:rowOff>
    </xdr:from>
    <xdr:to>
      <xdr:col>1</xdr:col>
      <xdr:colOff>190500</xdr:colOff>
      <xdr:row>4</xdr:row>
      <xdr:rowOff>161925</xdr:rowOff>
    </xdr:to>
    <xdr:pic>
      <xdr:nvPicPr>
        <xdr:cNvPr id="2573494" name="Picture 1">
          <a:extLst>
            <a:ext uri="{FF2B5EF4-FFF2-40B4-BE49-F238E27FC236}">
              <a16:creationId xmlns:a16="http://schemas.microsoft.com/office/drawing/2014/main" id="{9CF41ECB-0577-4971-ADFE-2F1D2A7A7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923925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6</xdr:row>
      <xdr:rowOff>85725</xdr:rowOff>
    </xdr:from>
    <xdr:to>
      <xdr:col>18</xdr:col>
      <xdr:colOff>457199</xdr:colOff>
      <xdr:row>24</xdr:row>
      <xdr:rowOff>85725</xdr:rowOff>
    </xdr:to>
    <xdr:graphicFrame macro="">
      <xdr:nvGraphicFramePr>
        <xdr:cNvPr id="3154057" name="Chart 6">
          <a:extLst>
            <a:ext uri="{FF2B5EF4-FFF2-40B4-BE49-F238E27FC236}">
              <a16:creationId xmlns:a16="http://schemas.microsoft.com/office/drawing/2014/main" id="{1B6474B0-8B66-4E96-836B-B8EF5FD5B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209550</xdr:colOff>
      <xdr:row>7</xdr:row>
      <xdr:rowOff>200025</xdr:rowOff>
    </xdr:from>
    <xdr:to>
      <xdr:col>18</xdr:col>
      <xdr:colOff>400050</xdr:colOff>
      <xdr:row>23</xdr:row>
      <xdr:rowOff>57150</xdr:rowOff>
    </xdr:to>
    <xdr:graphicFrame macro="">
      <xdr:nvGraphicFramePr>
        <xdr:cNvPr id="3154058" name="Chart 2">
          <a:extLst>
            <a:ext uri="{FF2B5EF4-FFF2-40B4-BE49-F238E27FC236}">
              <a16:creationId xmlns:a16="http://schemas.microsoft.com/office/drawing/2014/main" id="{1327E618-6165-4606-91F2-0B09F412E538}"/>
            </a:ext>
            <a:ext uri="{147F2762-F138-4A5C-976F-8EAC2B608ADB}">
              <a16:predDERef xmlns:a16="http://schemas.microsoft.com/office/drawing/2014/main" pred="{1B6474B0-8B66-4E96-836B-B8EF5FD5B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umoebn-my.sharepoint.com/personal/exam_section_smpapmasna_edu_moe_bn/Documents/EXAM%20SECTION%20SMPAPHM/MASTERMARK%20SHEETS/MMS%202025/END%20OF%20YEAR%20EXAMINATION/EOY%202025%20YEAR%209%20EXP%20&amp;%209/9EXP%20EOY%202025.xlsx" TargetMode="External"/><Relationship Id="rId1" Type="http://schemas.openxmlformats.org/officeDocument/2006/relationships/externalLinkPath" Target="/personal/exam_section_smpapmasna_edu_moe_bn/Documents/EXAM%20SECTION%20SMPAPHM/MASTERMARK%20SHEETS/MMS%202025/END%20OF%20YEAR%20EXAMINATION/EOY%202025%20YEAR%209%20EXP%20&amp;%209/9EXP%20EOY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umoebn-my.sharepoint.com/personal/exam_section_smpapmasna_edu_moe_bn/Documents/EXAM%20SECTION%20SMPAPHM/MASTERMARK%20SHEETS/MMS%202025/END%20OF%20YEAR%20EXAMINATION/EOY%202025%20YEAR%209%20EXP%20&amp;%209/9SCI2%20EOY%202025.xlsx" TargetMode="External"/><Relationship Id="rId1" Type="http://schemas.openxmlformats.org/officeDocument/2006/relationships/externalLinkPath" Target="/personal/exam_section_smpapmasna_edu_moe_bn/Documents/EXAM%20SECTION%20SMPAPHM/MASTERMARK%20SHEETS/MMS%202025/END%20OF%20YEAR%20EXAMINATION/EOY%202025%20YEAR%209%20EXP%20&amp;%209/9SCI2%20EOY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umoebn-my.sharepoint.com/personal/exam_section_smpapmasna_edu_moe_bn/Documents/EXAM%20SECTION%20SMPAPHM/MASTERMARK%20SHEETS/MMS%202025/END%20OF%20YEAR%20EXAMINATION/EOY%202025%20YEAR%209%20EXP%20&amp;%209/9SCI3%20EOY%202025.xlsx" TargetMode="External"/><Relationship Id="rId1" Type="http://schemas.openxmlformats.org/officeDocument/2006/relationships/externalLinkPath" Target="/personal/exam_section_smpapmasna_edu_moe_bn/Documents/EXAM%20SECTION%20SMPAPHM/MASTERMARK%20SHEETS/MMS%202025/END%20OF%20YEAR%20EXAMINATION/EOY%202025%20YEAR%209%20EXP%20&amp;%209/9SCI3%20EOY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umoebn-my.sharepoint.com/personal/exam_section_smpapmasna_edu_moe_bn/Documents/EXAM%20SECTION%20SMPAPHM/MASTERMARK%20SHEETS/MMS%202025/END%20OF%20YEAR%20EXAMINATION/EOY%202025%20YEAR%209%20EXP%20&amp;%209/9S%20EOY%202025.xlsx" TargetMode="External"/><Relationship Id="rId1" Type="http://schemas.openxmlformats.org/officeDocument/2006/relationships/externalLinkPath" Target="/personal/exam_section_smpapmasna_edu_moe_bn/Documents/EXAM%20SECTION%20SMPAPHM/MASTERMARK%20SHEETS/MMS%202025/END%20OF%20YEAR%20EXAMINATION/EOY%202025%20YEAR%209%20EXP%20&amp;%209/9S%20EOY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umoebn-my.sharepoint.com/personal/exam_section_smpapmasna_edu_moe_bn/Documents/EXAM%20SECTION%20SMPAPHM/MASTERMARK%20SHEETS/MMS%202025/END%20OF%20YEAR%20EXAMINATION/EOY%202025%20YEAR%209%20EXP%20&amp;%209/9H%20EOY%202025.xlsx" TargetMode="External"/><Relationship Id="rId1" Type="http://schemas.openxmlformats.org/officeDocument/2006/relationships/externalLinkPath" Target="/personal/exam_section_smpapmasna_edu_moe_bn/Documents/EXAM%20SECTION%20SMPAPHM/MASTERMARK%20SHEETS/MMS%202025/END%20OF%20YEAR%20EXAMINATION/EOY%202025%20YEAR%209%20EXP%20&amp;%209/9H%20EOY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umoebn-my.sharepoint.com/personal/exam_section_smpapmasna_edu_moe_bn/Documents/EXAM%20SECTION%20SMPAPHM/MASTERMARK%20SHEETS/MMS%202025/END%20OF%20YEAR%20EXAMINATION/EOY%202025%20YEAR%209%20EXP%20&amp;%209/9I%20EOY%202025.xlsx" TargetMode="External"/><Relationship Id="rId1" Type="http://schemas.openxmlformats.org/officeDocument/2006/relationships/externalLinkPath" Target="/personal/exam_section_smpapmasna_edu_moe_bn/Documents/EXAM%20SECTION%20SMPAPHM/MASTERMARK%20SHEETS/MMS%202025/END%20OF%20YEAR%20EXAMINATION/EOY%202025%20YEAR%209%20EXP%20&amp;%209/9I%20EOY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xam_section_smpapmasna_edu_moe_bn/Documents/EXAM%20SECTION%20SMPAPHM/MASTERMARK%20SHEETS/MMS%202025/END%20OF%20YEAR%20EXAMINATION/EOY%202025%20YEAR%209%20EXP%20&amp;%209/9N%20EOY%20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xam_section_smpapmasna_edu_moe_bn/Documents/EXAM%20SECTION%20SMPAPHM/MASTERMARK%20SHEETS/MMS%202025/END%20OF%20YEAR%20EXAMINATION/EOY%202025%20YEAR%209%20EXP%20&amp;%209/9E%20EO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KLOJNSYC3NAFBJ55M3HWA2MM5X">
      <xxl21:absoluteUrl r:id="rId2"/>
    </xxl21:alternateUrls>
    <sheetNames>
      <sheetName val="Master"/>
      <sheetName val="Comment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>
        <row r="47">
          <cell r="J47">
            <v>0</v>
          </cell>
          <cell r="M47">
            <v>0</v>
          </cell>
          <cell r="P47">
            <v>2</v>
          </cell>
          <cell r="S47">
            <v>8</v>
          </cell>
          <cell r="V47">
            <v>0</v>
          </cell>
          <cell r="Y47">
            <v>0</v>
          </cell>
          <cell r="AB47">
            <v>0</v>
          </cell>
          <cell r="AE47">
            <v>0</v>
          </cell>
          <cell r="AZ47">
            <v>2</v>
          </cell>
        </row>
        <row r="48">
          <cell r="J48">
            <v>0</v>
          </cell>
          <cell r="M48">
            <v>9</v>
          </cell>
          <cell r="P48">
            <v>6</v>
          </cell>
          <cell r="S48">
            <v>3</v>
          </cell>
          <cell r="V48">
            <v>1</v>
          </cell>
          <cell r="Y48">
            <v>0</v>
          </cell>
          <cell r="AB48">
            <v>3</v>
          </cell>
          <cell r="AE48">
            <v>0</v>
          </cell>
          <cell r="AZ48">
            <v>4</v>
          </cell>
        </row>
        <row r="49">
          <cell r="J49">
            <v>3</v>
          </cell>
          <cell r="M49">
            <v>4</v>
          </cell>
          <cell r="P49">
            <v>1</v>
          </cell>
          <cell r="S49">
            <v>1</v>
          </cell>
          <cell r="V49">
            <v>1</v>
          </cell>
          <cell r="Y49">
            <v>1</v>
          </cell>
          <cell r="AB49">
            <v>4</v>
          </cell>
          <cell r="AE49">
            <v>0</v>
          </cell>
          <cell r="AZ49">
            <v>3</v>
          </cell>
        </row>
        <row r="50">
          <cell r="J50">
            <v>9</v>
          </cell>
          <cell r="M50">
            <v>4</v>
          </cell>
          <cell r="P50">
            <v>5</v>
          </cell>
          <cell r="S50">
            <v>2</v>
          </cell>
          <cell r="V50">
            <v>3</v>
          </cell>
          <cell r="Y50">
            <v>3</v>
          </cell>
          <cell r="AB50">
            <v>3</v>
          </cell>
          <cell r="AE50">
            <v>2</v>
          </cell>
          <cell r="AZ50">
            <v>6</v>
          </cell>
        </row>
        <row r="51">
          <cell r="J51">
            <v>4</v>
          </cell>
          <cell r="M51">
            <v>1</v>
          </cell>
          <cell r="P51">
            <v>2</v>
          </cell>
          <cell r="S51">
            <v>2</v>
          </cell>
          <cell r="V51">
            <v>4</v>
          </cell>
          <cell r="Y51">
            <v>1</v>
          </cell>
          <cell r="AB51">
            <v>4</v>
          </cell>
          <cell r="AE51">
            <v>2</v>
          </cell>
          <cell r="AZ51">
            <v>1</v>
          </cell>
        </row>
        <row r="52">
          <cell r="J52">
            <v>2</v>
          </cell>
          <cell r="M52">
            <v>0</v>
          </cell>
          <cell r="P52">
            <v>0</v>
          </cell>
          <cell r="S52">
            <v>1</v>
          </cell>
          <cell r="V52">
            <v>5</v>
          </cell>
          <cell r="Y52">
            <v>1</v>
          </cell>
          <cell r="AB52">
            <v>2</v>
          </cell>
          <cell r="AE52">
            <v>5</v>
          </cell>
          <cell r="AZ52">
            <v>1</v>
          </cell>
        </row>
        <row r="53">
          <cell r="J53">
            <v>0</v>
          </cell>
          <cell r="M53">
            <v>0</v>
          </cell>
          <cell r="P53">
            <v>2</v>
          </cell>
          <cell r="S53">
            <v>0</v>
          </cell>
          <cell r="V53">
            <v>4</v>
          </cell>
          <cell r="Y53">
            <v>8</v>
          </cell>
          <cell r="AB53">
            <v>1</v>
          </cell>
          <cell r="AE53">
            <v>8</v>
          </cell>
          <cell r="AZ53">
            <v>1</v>
          </cell>
        </row>
        <row r="54">
          <cell r="J54">
            <v>0</v>
          </cell>
          <cell r="M54">
            <v>0</v>
          </cell>
          <cell r="P54">
            <v>0</v>
          </cell>
          <cell r="S54">
            <v>1</v>
          </cell>
          <cell r="V54">
            <v>0</v>
          </cell>
          <cell r="Y54">
            <v>3</v>
          </cell>
          <cell r="AB54">
            <v>1</v>
          </cell>
          <cell r="AE54">
            <v>0</v>
          </cell>
          <cell r="AZ54">
            <v>0</v>
          </cell>
        </row>
        <row r="55">
          <cell r="J55">
            <v>0</v>
          </cell>
          <cell r="M55">
            <v>0</v>
          </cell>
          <cell r="P55">
            <v>0</v>
          </cell>
          <cell r="S55">
            <v>0</v>
          </cell>
          <cell r="V55">
            <v>0</v>
          </cell>
          <cell r="Y55">
            <v>1</v>
          </cell>
          <cell r="AB55">
            <v>0</v>
          </cell>
          <cell r="AE55">
            <v>1</v>
          </cell>
          <cell r="AZ55">
            <v>0</v>
          </cell>
        </row>
        <row r="56">
          <cell r="AZ5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KE2IHHSZN3MBGZOKCDFMG5OOQN">
      <xxl21:absoluteUrl r:id="rId2"/>
    </xxl21:alternateUrls>
    <sheetNames>
      <sheetName val="Master"/>
      <sheetName val="Comment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>
        <row r="47">
          <cell r="J47">
            <v>0</v>
          </cell>
          <cell r="M47">
            <v>0</v>
          </cell>
          <cell r="P47">
            <v>1</v>
          </cell>
          <cell r="S47">
            <v>9</v>
          </cell>
          <cell r="V47">
            <v>0</v>
          </cell>
          <cell r="Y47">
            <v>0</v>
          </cell>
          <cell r="AB47">
            <v>0</v>
          </cell>
          <cell r="AE47">
            <v>0</v>
          </cell>
          <cell r="AH47">
            <v>0</v>
          </cell>
          <cell r="AK47">
            <v>0</v>
          </cell>
          <cell r="AZ47">
            <v>0</v>
          </cell>
        </row>
        <row r="48">
          <cell r="J48">
            <v>0</v>
          </cell>
          <cell r="M48">
            <v>3</v>
          </cell>
          <cell r="P48">
            <v>2</v>
          </cell>
          <cell r="S48">
            <v>1</v>
          </cell>
          <cell r="V48">
            <v>0</v>
          </cell>
          <cell r="Y48">
            <v>0</v>
          </cell>
          <cell r="AB48">
            <v>1</v>
          </cell>
          <cell r="AE48">
            <v>1</v>
          </cell>
          <cell r="AH48">
            <v>0</v>
          </cell>
          <cell r="AK48">
            <v>1</v>
          </cell>
          <cell r="AZ48">
            <v>1</v>
          </cell>
        </row>
        <row r="49">
          <cell r="J49">
            <v>1</v>
          </cell>
          <cell r="M49">
            <v>8</v>
          </cell>
          <cell r="P49">
            <v>1</v>
          </cell>
          <cell r="S49">
            <v>4</v>
          </cell>
          <cell r="V49">
            <v>0</v>
          </cell>
          <cell r="Y49">
            <v>0</v>
          </cell>
          <cell r="AB49">
            <v>1</v>
          </cell>
          <cell r="AE49">
            <v>0</v>
          </cell>
          <cell r="AH49">
            <v>0</v>
          </cell>
          <cell r="AK49">
            <v>0</v>
          </cell>
          <cell r="AZ49">
            <v>3</v>
          </cell>
        </row>
        <row r="50">
          <cell r="J50">
            <v>5</v>
          </cell>
          <cell r="M50">
            <v>5</v>
          </cell>
          <cell r="P50">
            <v>3</v>
          </cell>
          <cell r="S50">
            <v>1</v>
          </cell>
          <cell r="V50">
            <v>0</v>
          </cell>
          <cell r="Y50">
            <v>0</v>
          </cell>
          <cell r="AB50">
            <v>0</v>
          </cell>
          <cell r="AE50">
            <v>0</v>
          </cell>
          <cell r="AH50">
            <v>0</v>
          </cell>
          <cell r="AK50">
            <v>3</v>
          </cell>
          <cell r="AZ50">
            <v>3</v>
          </cell>
        </row>
        <row r="51">
          <cell r="J51">
            <v>8</v>
          </cell>
          <cell r="M51">
            <v>4</v>
          </cell>
          <cell r="P51">
            <v>4</v>
          </cell>
          <cell r="S51">
            <v>0</v>
          </cell>
          <cell r="V51">
            <v>3</v>
          </cell>
          <cell r="Y51">
            <v>0</v>
          </cell>
          <cell r="AB51">
            <v>5</v>
          </cell>
          <cell r="AE51">
            <v>0</v>
          </cell>
          <cell r="AH51">
            <v>1</v>
          </cell>
          <cell r="AK51">
            <v>0</v>
          </cell>
          <cell r="AZ51">
            <v>5</v>
          </cell>
        </row>
        <row r="52">
          <cell r="J52">
            <v>4</v>
          </cell>
          <cell r="M52">
            <v>0</v>
          </cell>
          <cell r="P52">
            <v>3</v>
          </cell>
          <cell r="S52">
            <v>1</v>
          </cell>
          <cell r="V52">
            <v>4</v>
          </cell>
          <cell r="Y52">
            <v>1</v>
          </cell>
          <cell r="AB52">
            <v>3</v>
          </cell>
          <cell r="AE52">
            <v>2</v>
          </cell>
          <cell r="AH52">
            <v>1</v>
          </cell>
          <cell r="AK52">
            <v>2</v>
          </cell>
          <cell r="AZ52">
            <v>2</v>
          </cell>
        </row>
        <row r="53">
          <cell r="J53">
            <v>2</v>
          </cell>
          <cell r="M53">
            <v>0</v>
          </cell>
          <cell r="P53">
            <v>3</v>
          </cell>
          <cell r="S53">
            <v>1</v>
          </cell>
          <cell r="V53">
            <v>7</v>
          </cell>
          <cell r="Y53">
            <v>5</v>
          </cell>
          <cell r="AB53">
            <v>7</v>
          </cell>
          <cell r="AE53">
            <v>3</v>
          </cell>
          <cell r="AH53">
            <v>4</v>
          </cell>
          <cell r="AK53">
            <v>1</v>
          </cell>
          <cell r="AZ53">
            <v>0</v>
          </cell>
        </row>
        <row r="54">
          <cell r="J54">
            <v>0</v>
          </cell>
          <cell r="M54">
            <v>0</v>
          </cell>
          <cell r="P54">
            <v>3</v>
          </cell>
          <cell r="S54">
            <v>0</v>
          </cell>
          <cell r="V54">
            <v>4</v>
          </cell>
          <cell r="Y54">
            <v>9</v>
          </cell>
          <cell r="AB54">
            <v>2</v>
          </cell>
          <cell r="AE54">
            <v>4</v>
          </cell>
          <cell r="AH54">
            <v>3</v>
          </cell>
          <cell r="AK54">
            <v>1</v>
          </cell>
          <cell r="AZ54">
            <v>1</v>
          </cell>
        </row>
        <row r="55">
          <cell r="J55">
            <v>0</v>
          </cell>
          <cell r="M55">
            <v>0</v>
          </cell>
          <cell r="P55">
            <v>0</v>
          </cell>
          <cell r="S55">
            <v>3</v>
          </cell>
          <cell r="V55">
            <v>2</v>
          </cell>
          <cell r="Y55">
            <v>5</v>
          </cell>
          <cell r="AB55">
            <v>1</v>
          </cell>
          <cell r="AE55">
            <v>10</v>
          </cell>
          <cell r="AH55">
            <v>11</v>
          </cell>
          <cell r="AK55">
            <v>12</v>
          </cell>
          <cell r="AZ55">
            <v>0</v>
          </cell>
        </row>
        <row r="56">
          <cell r="AZ5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LPQKMA4RXPF5C3QAZ2OJN3DWEL">
      <xxl21:absoluteUrl r:id="rId2"/>
    </xxl21:alternateUrls>
    <sheetNames>
      <sheetName val="Master"/>
      <sheetName val="Comment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>
        <row r="47">
          <cell r="J47">
            <v>0</v>
          </cell>
          <cell r="M47">
            <v>0</v>
          </cell>
          <cell r="P47">
            <v>0</v>
          </cell>
          <cell r="S47">
            <v>2</v>
          </cell>
          <cell r="V47">
            <v>0</v>
          </cell>
          <cell r="Y47">
            <v>0</v>
          </cell>
          <cell r="AB47">
            <v>0</v>
          </cell>
          <cell r="AE47">
            <v>0</v>
          </cell>
          <cell r="AH47">
            <v>0</v>
          </cell>
        </row>
        <row r="48">
          <cell r="J48">
            <v>0</v>
          </cell>
          <cell r="M48">
            <v>3</v>
          </cell>
          <cell r="P48">
            <v>1</v>
          </cell>
          <cell r="S48">
            <v>2</v>
          </cell>
          <cell r="V48">
            <v>0</v>
          </cell>
          <cell r="Y48">
            <v>0</v>
          </cell>
          <cell r="AB48">
            <v>2</v>
          </cell>
          <cell r="AE48">
            <v>0</v>
          </cell>
          <cell r="AH48">
            <v>0</v>
          </cell>
        </row>
        <row r="49">
          <cell r="J49">
            <v>0</v>
          </cell>
          <cell r="M49">
            <v>2</v>
          </cell>
          <cell r="P49">
            <v>0</v>
          </cell>
          <cell r="S49">
            <v>2</v>
          </cell>
          <cell r="V49">
            <v>0</v>
          </cell>
          <cell r="Y49">
            <v>0</v>
          </cell>
          <cell r="AB49">
            <v>1</v>
          </cell>
          <cell r="AE49">
            <v>0</v>
          </cell>
          <cell r="AH49">
            <v>0</v>
          </cell>
        </row>
        <row r="50">
          <cell r="J50">
            <v>2</v>
          </cell>
          <cell r="M50">
            <v>6</v>
          </cell>
          <cell r="P50">
            <v>3</v>
          </cell>
          <cell r="S50">
            <v>3</v>
          </cell>
          <cell r="V50">
            <v>1</v>
          </cell>
          <cell r="Y50">
            <v>1</v>
          </cell>
          <cell r="AB50">
            <v>1</v>
          </cell>
          <cell r="AE50">
            <v>0</v>
          </cell>
          <cell r="AH50">
            <v>1</v>
          </cell>
        </row>
        <row r="51">
          <cell r="J51">
            <v>4</v>
          </cell>
          <cell r="M51">
            <v>3</v>
          </cell>
          <cell r="P51">
            <v>0</v>
          </cell>
          <cell r="S51">
            <v>2</v>
          </cell>
          <cell r="V51">
            <v>1</v>
          </cell>
          <cell r="Y51">
            <v>2</v>
          </cell>
          <cell r="AB51">
            <v>1</v>
          </cell>
          <cell r="AE51">
            <v>0</v>
          </cell>
          <cell r="AH51">
            <v>1</v>
          </cell>
        </row>
        <row r="52">
          <cell r="J52">
            <v>6</v>
          </cell>
          <cell r="M52">
            <v>4</v>
          </cell>
          <cell r="P52">
            <v>0</v>
          </cell>
          <cell r="S52">
            <v>1</v>
          </cell>
          <cell r="V52">
            <v>1</v>
          </cell>
          <cell r="Y52">
            <v>1</v>
          </cell>
          <cell r="AB52">
            <v>1</v>
          </cell>
          <cell r="AE52">
            <v>2</v>
          </cell>
          <cell r="AH52">
            <v>3</v>
          </cell>
        </row>
        <row r="53">
          <cell r="J53">
            <v>7</v>
          </cell>
          <cell r="M53">
            <v>1</v>
          </cell>
          <cell r="P53">
            <v>3</v>
          </cell>
          <cell r="S53">
            <v>5</v>
          </cell>
          <cell r="V53">
            <v>5</v>
          </cell>
          <cell r="Y53">
            <v>5</v>
          </cell>
          <cell r="AB53">
            <v>5</v>
          </cell>
          <cell r="AE53">
            <v>5</v>
          </cell>
          <cell r="AH53">
            <v>5</v>
          </cell>
        </row>
        <row r="54">
          <cell r="J54">
            <v>0</v>
          </cell>
          <cell r="M54">
            <v>0</v>
          </cell>
          <cell r="P54">
            <v>5</v>
          </cell>
          <cell r="S54">
            <v>2</v>
          </cell>
          <cell r="V54">
            <v>10</v>
          </cell>
          <cell r="Y54">
            <v>6</v>
          </cell>
          <cell r="AB54">
            <v>8</v>
          </cell>
          <cell r="AE54">
            <v>5</v>
          </cell>
          <cell r="AH54">
            <v>6</v>
          </cell>
        </row>
        <row r="55">
          <cell r="J55">
            <v>0</v>
          </cell>
          <cell r="M55">
            <v>0</v>
          </cell>
          <cell r="P55">
            <v>7</v>
          </cell>
          <cell r="S55">
            <v>0</v>
          </cell>
          <cell r="V55">
            <v>1</v>
          </cell>
          <cell r="Y55">
            <v>4</v>
          </cell>
          <cell r="AB55">
            <v>0</v>
          </cell>
          <cell r="AE55">
            <v>7</v>
          </cell>
          <cell r="AH55">
            <v>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IUJDR2CF5TYNFIIUFY7XMDXZIC">
      <xxl21:absoluteUrl r:id="rId2"/>
    </xxl21:alternateUrls>
    <sheetNames>
      <sheetName val="Comments"/>
      <sheetName val="Mast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/>
      <sheetData sheetId="1">
        <row r="47">
          <cell r="J47">
            <v>0</v>
          </cell>
          <cell r="M47">
            <v>0</v>
          </cell>
          <cell r="P47">
            <v>0</v>
          </cell>
          <cell r="S47">
            <v>1</v>
          </cell>
          <cell r="Y47">
            <v>0</v>
          </cell>
          <cell r="AB47">
            <v>6</v>
          </cell>
          <cell r="AE47">
            <v>0</v>
          </cell>
          <cell r="AH47">
            <v>0</v>
          </cell>
          <cell r="AK47">
            <v>2</v>
          </cell>
        </row>
        <row r="48">
          <cell r="J48">
            <v>1</v>
          </cell>
          <cell r="M48">
            <v>0</v>
          </cell>
          <cell r="P48">
            <v>0</v>
          </cell>
          <cell r="S48">
            <v>3</v>
          </cell>
          <cell r="Y48">
            <v>1</v>
          </cell>
          <cell r="AB48">
            <v>7</v>
          </cell>
          <cell r="AE48">
            <v>0</v>
          </cell>
          <cell r="AH48">
            <v>3</v>
          </cell>
          <cell r="AK48">
            <v>1</v>
          </cell>
        </row>
        <row r="49">
          <cell r="J49">
            <v>5</v>
          </cell>
          <cell r="M49">
            <v>3</v>
          </cell>
          <cell r="P49">
            <v>1</v>
          </cell>
          <cell r="S49">
            <v>4</v>
          </cell>
          <cell r="Y49">
            <v>0</v>
          </cell>
          <cell r="AB49">
            <v>3</v>
          </cell>
          <cell r="AE49">
            <v>0</v>
          </cell>
          <cell r="AH49">
            <v>1</v>
          </cell>
          <cell r="AK49">
            <v>0</v>
          </cell>
        </row>
        <row r="50">
          <cell r="J50">
            <v>7</v>
          </cell>
          <cell r="M50">
            <v>7</v>
          </cell>
          <cell r="P50">
            <v>0</v>
          </cell>
          <cell r="S50">
            <v>2</v>
          </cell>
          <cell r="Y50">
            <v>1</v>
          </cell>
          <cell r="AB50">
            <v>0</v>
          </cell>
          <cell r="AE50">
            <v>0</v>
          </cell>
          <cell r="AH50">
            <v>0</v>
          </cell>
          <cell r="AK50">
            <v>4</v>
          </cell>
        </row>
        <row r="51">
          <cell r="J51">
            <v>1</v>
          </cell>
          <cell r="M51">
            <v>7</v>
          </cell>
          <cell r="P51">
            <v>0</v>
          </cell>
          <cell r="S51">
            <v>2</v>
          </cell>
          <cell r="Y51">
            <v>1</v>
          </cell>
          <cell r="AB51">
            <v>0</v>
          </cell>
          <cell r="AE51">
            <v>0</v>
          </cell>
          <cell r="AH51">
            <v>1</v>
          </cell>
          <cell r="AK51">
            <v>0</v>
          </cell>
        </row>
        <row r="52">
          <cell r="J52">
            <v>3</v>
          </cell>
          <cell r="M52">
            <v>5</v>
          </cell>
          <cell r="P52">
            <v>0</v>
          </cell>
          <cell r="S52">
            <v>3</v>
          </cell>
          <cell r="Y52">
            <v>4</v>
          </cell>
          <cell r="AB52">
            <v>8</v>
          </cell>
          <cell r="AE52">
            <v>1</v>
          </cell>
          <cell r="AH52">
            <v>1</v>
          </cell>
          <cell r="AK52">
            <v>3</v>
          </cell>
        </row>
        <row r="53">
          <cell r="J53">
            <v>7</v>
          </cell>
          <cell r="M53">
            <v>2</v>
          </cell>
          <cell r="P53">
            <v>3</v>
          </cell>
          <cell r="S53">
            <v>3</v>
          </cell>
          <cell r="Y53">
            <v>9</v>
          </cell>
          <cell r="AE53">
            <v>4</v>
          </cell>
          <cell r="AH53">
            <v>2</v>
          </cell>
          <cell r="AK53">
            <v>4</v>
          </cell>
        </row>
        <row r="54">
          <cell r="J54">
            <v>0</v>
          </cell>
          <cell r="M54">
            <v>0</v>
          </cell>
          <cell r="P54">
            <v>8</v>
          </cell>
          <cell r="S54">
            <v>1</v>
          </cell>
          <cell r="Y54">
            <v>3</v>
          </cell>
          <cell r="AE54">
            <v>1</v>
          </cell>
          <cell r="AH54">
            <v>1</v>
          </cell>
          <cell r="AK54">
            <v>1</v>
          </cell>
        </row>
        <row r="55">
          <cell r="J55">
            <v>0</v>
          </cell>
          <cell r="M55">
            <v>0</v>
          </cell>
          <cell r="P55">
            <v>12</v>
          </cell>
          <cell r="S55">
            <v>5</v>
          </cell>
          <cell r="Y55">
            <v>5</v>
          </cell>
          <cell r="AE55">
            <v>18</v>
          </cell>
          <cell r="AH55">
            <v>15</v>
          </cell>
          <cell r="AK55">
            <v>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IRSI5HJYNHQ5G2HKW56LBH5JRV">
      <xxl21:absoluteUrl r:id="rId2"/>
    </xxl21:alternateUrls>
    <sheetNames>
      <sheetName val="Master"/>
      <sheetName val="Comment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>
        <row r="47">
          <cell r="J47">
            <v>0</v>
          </cell>
          <cell r="M47">
            <v>0</v>
          </cell>
          <cell r="P47">
            <v>0</v>
          </cell>
          <cell r="S47">
            <v>4</v>
          </cell>
          <cell r="V47">
            <v>0</v>
          </cell>
          <cell r="Y47">
            <v>0</v>
          </cell>
          <cell r="AB47">
            <v>1</v>
          </cell>
          <cell r="AE47">
            <v>0</v>
          </cell>
          <cell r="AH47">
            <v>4</v>
          </cell>
        </row>
        <row r="48">
          <cell r="J48">
            <v>0</v>
          </cell>
          <cell r="M48">
            <v>0</v>
          </cell>
          <cell r="P48">
            <v>0</v>
          </cell>
          <cell r="S48">
            <v>3</v>
          </cell>
          <cell r="V48">
            <v>0</v>
          </cell>
          <cell r="Y48">
            <v>0</v>
          </cell>
          <cell r="AB48">
            <v>0</v>
          </cell>
          <cell r="AE48">
            <v>0</v>
          </cell>
          <cell r="AH48">
            <v>3</v>
          </cell>
        </row>
        <row r="49">
          <cell r="J49">
            <v>0</v>
          </cell>
          <cell r="M49">
            <v>2</v>
          </cell>
          <cell r="P49">
            <v>4</v>
          </cell>
          <cell r="S49">
            <v>0</v>
          </cell>
          <cell r="V49">
            <v>0</v>
          </cell>
          <cell r="Y49">
            <v>1</v>
          </cell>
          <cell r="AB49">
            <v>0</v>
          </cell>
          <cell r="AE49">
            <v>0</v>
          </cell>
          <cell r="AH49">
            <v>3</v>
          </cell>
        </row>
        <row r="50">
          <cell r="J50">
            <v>1</v>
          </cell>
          <cell r="M50">
            <v>3</v>
          </cell>
          <cell r="P50">
            <v>2</v>
          </cell>
          <cell r="S50">
            <v>1</v>
          </cell>
          <cell r="V50">
            <v>0</v>
          </cell>
          <cell r="Y50">
            <v>0</v>
          </cell>
          <cell r="AB50">
            <v>5</v>
          </cell>
          <cell r="AE50">
            <v>0</v>
          </cell>
          <cell r="AH50">
            <v>0</v>
          </cell>
        </row>
        <row r="51">
          <cell r="J51">
            <v>3</v>
          </cell>
          <cell r="M51">
            <v>5</v>
          </cell>
          <cell r="P51">
            <v>2</v>
          </cell>
          <cell r="S51">
            <v>3</v>
          </cell>
          <cell r="V51">
            <v>0</v>
          </cell>
          <cell r="Y51">
            <v>1</v>
          </cell>
          <cell r="AB51">
            <v>0</v>
          </cell>
          <cell r="AE51">
            <v>0</v>
          </cell>
          <cell r="AH51">
            <v>1</v>
          </cell>
        </row>
        <row r="52">
          <cell r="J52">
            <v>3</v>
          </cell>
          <cell r="M52">
            <v>5</v>
          </cell>
          <cell r="P52">
            <v>0</v>
          </cell>
          <cell r="S52">
            <v>3</v>
          </cell>
          <cell r="V52">
            <v>1</v>
          </cell>
          <cell r="Y52">
            <v>1</v>
          </cell>
          <cell r="AB52">
            <v>9</v>
          </cell>
          <cell r="AE52">
            <v>2</v>
          </cell>
          <cell r="AH52">
            <v>8</v>
          </cell>
        </row>
        <row r="53">
          <cell r="J53">
            <v>10</v>
          </cell>
          <cell r="M53">
            <v>4</v>
          </cell>
          <cell r="P53">
            <v>1</v>
          </cell>
          <cell r="S53">
            <v>3</v>
          </cell>
          <cell r="V53">
            <v>2</v>
          </cell>
          <cell r="Y53">
            <v>7</v>
          </cell>
          <cell r="AB53">
            <v>2</v>
          </cell>
          <cell r="AE53">
            <v>1</v>
          </cell>
        </row>
        <row r="54">
          <cell r="J54">
            <v>2</v>
          </cell>
          <cell r="M54">
            <v>0</v>
          </cell>
          <cell r="P54">
            <v>4</v>
          </cell>
          <cell r="S54">
            <v>0</v>
          </cell>
          <cell r="V54">
            <v>6</v>
          </cell>
          <cell r="Y54">
            <v>4</v>
          </cell>
          <cell r="AB54">
            <v>1</v>
          </cell>
          <cell r="AE54">
            <v>4</v>
          </cell>
        </row>
        <row r="55">
          <cell r="J55">
            <v>0</v>
          </cell>
          <cell r="M55">
            <v>0</v>
          </cell>
          <cell r="P55">
            <v>6</v>
          </cell>
          <cell r="S55">
            <v>2</v>
          </cell>
          <cell r="V55">
            <v>10</v>
          </cell>
          <cell r="Y55">
            <v>5</v>
          </cell>
          <cell r="AB55">
            <v>1</v>
          </cell>
          <cell r="AE55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KSXA4ZDC6O4JCJ2LZYRCTPQE4U">
      <xxl21:absoluteUrl r:id="rId2"/>
    </xxl21:alternateUrls>
    <sheetNames>
      <sheetName val="Master"/>
      <sheetName val="Comment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>
        <row r="45">
          <cell r="J45">
            <v>0</v>
          </cell>
          <cell r="M45">
            <v>0</v>
          </cell>
          <cell r="P45">
            <v>0</v>
          </cell>
          <cell r="S45">
            <v>0</v>
          </cell>
          <cell r="V45">
            <v>0</v>
          </cell>
          <cell r="Y45">
            <v>0</v>
          </cell>
          <cell r="AB45">
            <v>0</v>
          </cell>
          <cell r="AE45">
            <v>3</v>
          </cell>
          <cell r="AH45">
            <v>0</v>
          </cell>
        </row>
        <row r="46">
          <cell r="J46">
            <v>0</v>
          </cell>
          <cell r="M46">
            <v>0</v>
          </cell>
          <cell r="P46">
            <v>0</v>
          </cell>
          <cell r="S46">
            <v>4</v>
          </cell>
          <cell r="V46">
            <v>0</v>
          </cell>
          <cell r="Y46">
            <v>0</v>
          </cell>
          <cell r="AB46">
            <v>1</v>
          </cell>
          <cell r="AE46">
            <v>4</v>
          </cell>
          <cell r="AH46">
            <v>0</v>
          </cell>
        </row>
        <row r="47">
          <cell r="J47">
            <v>1</v>
          </cell>
          <cell r="M47">
            <v>2</v>
          </cell>
          <cell r="P47">
            <v>0</v>
          </cell>
          <cell r="S47">
            <v>0</v>
          </cell>
          <cell r="V47">
            <v>0</v>
          </cell>
          <cell r="Y47">
            <v>1</v>
          </cell>
          <cell r="AB47">
            <v>0</v>
          </cell>
          <cell r="AE47">
            <v>6</v>
          </cell>
          <cell r="AH47">
            <v>0</v>
          </cell>
        </row>
        <row r="48">
          <cell r="J48">
            <v>1</v>
          </cell>
          <cell r="M48">
            <v>3</v>
          </cell>
          <cell r="P48">
            <v>1</v>
          </cell>
          <cell r="S48">
            <v>3</v>
          </cell>
          <cell r="V48">
            <v>0</v>
          </cell>
          <cell r="Y48">
            <v>3</v>
          </cell>
          <cell r="AB48">
            <v>5</v>
          </cell>
          <cell r="AE48">
            <v>0</v>
          </cell>
          <cell r="AH48">
            <v>0</v>
          </cell>
        </row>
        <row r="49">
          <cell r="J49">
            <v>4</v>
          </cell>
          <cell r="M49">
            <v>3</v>
          </cell>
          <cell r="P49">
            <v>0</v>
          </cell>
          <cell r="S49">
            <v>3</v>
          </cell>
          <cell r="V49">
            <v>0</v>
          </cell>
          <cell r="Y49">
            <v>3</v>
          </cell>
          <cell r="AB49">
            <v>4</v>
          </cell>
          <cell r="AH49">
            <v>0</v>
          </cell>
        </row>
        <row r="50">
          <cell r="J50">
            <v>6</v>
          </cell>
          <cell r="M50">
            <v>2</v>
          </cell>
          <cell r="P50">
            <v>1</v>
          </cell>
          <cell r="S50">
            <v>1</v>
          </cell>
          <cell r="V50">
            <v>0</v>
          </cell>
          <cell r="Y50">
            <v>5</v>
          </cell>
          <cell r="AB50">
            <v>6</v>
          </cell>
          <cell r="AE50">
            <v>11</v>
          </cell>
          <cell r="AH50">
            <v>0</v>
          </cell>
        </row>
        <row r="51">
          <cell r="J51">
            <v>7</v>
          </cell>
          <cell r="M51">
            <v>12</v>
          </cell>
          <cell r="P51">
            <v>4</v>
          </cell>
          <cell r="S51">
            <v>4</v>
          </cell>
          <cell r="V51">
            <v>5</v>
          </cell>
          <cell r="Y51">
            <v>9</v>
          </cell>
          <cell r="AB51">
            <v>4</v>
          </cell>
          <cell r="AH51">
            <v>1</v>
          </cell>
        </row>
        <row r="52">
          <cell r="J52">
            <v>5</v>
          </cell>
          <cell r="M52">
            <v>2</v>
          </cell>
          <cell r="P52">
            <v>8</v>
          </cell>
          <cell r="S52">
            <v>3</v>
          </cell>
          <cell r="V52">
            <v>5</v>
          </cell>
          <cell r="Y52">
            <v>2</v>
          </cell>
          <cell r="AB52">
            <v>2</v>
          </cell>
          <cell r="AH52">
            <v>2</v>
          </cell>
        </row>
        <row r="53">
          <cell r="J53">
            <v>0</v>
          </cell>
          <cell r="M53">
            <v>0</v>
          </cell>
          <cell r="P53">
            <v>10</v>
          </cell>
          <cell r="S53">
            <v>6</v>
          </cell>
          <cell r="V53">
            <v>14</v>
          </cell>
          <cell r="Y53">
            <v>1</v>
          </cell>
          <cell r="AB53">
            <v>2</v>
          </cell>
          <cell r="AH53">
            <v>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J27RIUYVBZERAIG4OBWBXJZWXD"/>
    <sheetNames>
      <sheetName val="Master"/>
      <sheetName val="Comment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>
        <row r="45">
          <cell r="J45">
            <v>0</v>
          </cell>
          <cell r="M45">
            <v>0</v>
          </cell>
          <cell r="P45">
            <v>6</v>
          </cell>
          <cell r="S45">
            <v>0</v>
          </cell>
          <cell r="V45">
            <v>0</v>
          </cell>
          <cell r="Y45">
            <v>1</v>
          </cell>
          <cell r="AB45">
            <v>0</v>
          </cell>
          <cell r="AE45">
            <v>0</v>
          </cell>
        </row>
        <row r="46">
          <cell r="J46">
            <v>0</v>
          </cell>
          <cell r="M46">
            <v>0</v>
          </cell>
          <cell r="P46">
            <v>6</v>
          </cell>
          <cell r="S46">
            <v>2</v>
          </cell>
          <cell r="V46">
            <v>0</v>
          </cell>
          <cell r="Y46">
            <v>1</v>
          </cell>
          <cell r="AB46">
            <v>0</v>
          </cell>
          <cell r="AE46">
            <v>0</v>
          </cell>
        </row>
        <row r="47">
          <cell r="J47">
            <v>0</v>
          </cell>
          <cell r="M47">
            <v>0</v>
          </cell>
          <cell r="P47">
            <v>4</v>
          </cell>
          <cell r="S47">
            <v>2</v>
          </cell>
          <cell r="V47">
            <v>0</v>
          </cell>
          <cell r="Y47">
            <v>3</v>
          </cell>
          <cell r="AB47">
            <v>0</v>
          </cell>
          <cell r="AE47">
            <v>0</v>
          </cell>
        </row>
        <row r="48">
          <cell r="J48">
            <v>0</v>
          </cell>
          <cell r="M48">
            <v>0</v>
          </cell>
          <cell r="P48">
            <v>3</v>
          </cell>
          <cell r="S48">
            <v>2</v>
          </cell>
          <cell r="V48">
            <v>0</v>
          </cell>
          <cell r="Y48">
            <v>1</v>
          </cell>
          <cell r="AB48">
            <v>0</v>
          </cell>
          <cell r="AE48">
            <v>1</v>
          </cell>
        </row>
        <row r="49">
          <cell r="J49">
            <v>4</v>
          </cell>
          <cell r="M49">
            <v>1</v>
          </cell>
          <cell r="P49">
            <v>0</v>
          </cell>
          <cell r="S49">
            <v>3</v>
          </cell>
          <cell r="V49">
            <v>0</v>
          </cell>
          <cell r="Y49">
            <v>2</v>
          </cell>
          <cell r="AB49">
            <v>4</v>
          </cell>
          <cell r="AE49">
            <v>0</v>
          </cell>
        </row>
        <row r="50">
          <cell r="J50">
            <v>4</v>
          </cell>
          <cell r="M50">
            <v>1</v>
          </cell>
          <cell r="P50">
            <v>0</v>
          </cell>
          <cell r="S50">
            <v>3</v>
          </cell>
          <cell r="V50">
            <v>0</v>
          </cell>
          <cell r="Y50">
            <v>3</v>
          </cell>
          <cell r="AB50">
            <v>2</v>
          </cell>
          <cell r="AE50">
            <v>2</v>
          </cell>
        </row>
        <row r="51">
          <cell r="J51">
            <v>10</v>
          </cell>
          <cell r="M51">
            <v>7</v>
          </cell>
          <cell r="P51">
            <v>0</v>
          </cell>
          <cell r="S51">
            <v>1</v>
          </cell>
          <cell r="V51">
            <v>2</v>
          </cell>
          <cell r="Y51">
            <v>5</v>
          </cell>
          <cell r="AB51">
            <v>4</v>
          </cell>
          <cell r="AE51">
            <v>3</v>
          </cell>
        </row>
        <row r="52">
          <cell r="J52">
            <v>1</v>
          </cell>
          <cell r="M52">
            <v>8</v>
          </cell>
          <cell r="S52">
            <v>2</v>
          </cell>
          <cell r="V52">
            <v>7</v>
          </cell>
          <cell r="Y52">
            <v>2</v>
          </cell>
          <cell r="AB52">
            <v>0</v>
          </cell>
          <cell r="AE52">
            <v>3</v>
          </cell>
        </row>
        <row r="53">
          <cell r="J53">
            <v>0</v>
          </cell>
          <cell r="M53">
            <v>2</v>
          </cell>
          <cell r="S53">
            <v>4</v>
          </cell>
          <cell r="V53">
            <v>10</v>
          </cell>
          <cell r="Y53">
            <v>1</v>
          </cell>
          <cell r="AB53">
            <v>9</v>
          </cell>
          <cell r="AE53">
            <v>10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JTXE4DFMJJ7VGJQG5P6TL2N5IP"/>
    <sheetNames>
      <sheetName val="Master"/>
      <sheetName val="Comment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>
        <row r="47">
          <cell r="J47">
            <v>0</v>
          </cell>
          <cell r="M47">
            <v>0</v>
          </cell>
          <cell r="P47">
            <v>10</v>
          </cell>
          <cell r="S47">
            <v>2</v>
          </cell>
          <cell r="AB47">
            <v>0</v>
          </cell>
          <cell r="AE47">
            <v>0</v>
          </cell>
        </row>
        <row r="48">
          <cell r="J48">
            <v>0</v>
          </cell>
          <cell r="M48">
            <v>5</v>
          </cell>
          <cell r="P48">
            <v>5</v>
          </cell>
          <cell r="S48">
            <v>1</v>
          </cell>
          <cell r="AB48">
            <v>0</v>
          </cell>
          <cell r="AE48">
            <v>0</v>
          </cell>
        </row>
        <row r="49">
          <cell r="J49">
            <v>0</v>
          </cell>
          <cell r="M49">
            <v>2</v>
          </cell>
          <cell r="P49">
            <v>3</v>
          </cell>
          <cell r="S49">
            <v>1</v>
          </cell>
          <cell r="AB49">
            <v>0</v>
          </cell>
          <cell r="AE49">
            <v>0</v>
          </cell>
        </row>
        <row r="50">
          <cell r="J50">
            <v>0</v>
          </cell>
          <cell r="M50">
            <v>0</v>
          </cell>
          <cell r="P50">
            <v>0</v>
          </cell>
          <cell r="S50">
            <v>1</v>
          </cell>
          <cell r="AB50">
            <v>3</v>
          </cell>
          <cell r="AE50">
            <v>1</v>
          </cell>
        </row>
        <row r="51">
          <cell r="J51">
            <v>1</v>
          </cell>
          <cell r="M51">
            <v>1</v>
          </cell>
          <cell r="P51">
            <v>1</v>
          </cell>
          <cell r="S51">
            <v>1</v>
          </cell>
          <cell r="AB51">
            <v>3</v>
          </cell>
          <cell r="AE51">
            <v>0</v>
          </cell>
        </row>
        <row r="52">
          <cell r="J52">
            <v>4</v>
          </cell>
          <cell r="M52">
            <v>2</v>
          </cell>
          <cell r="P52">
            <v>0</v>
          </cell>
          <cell r="S52">
            <v>0</v>
          </cell>
          <cell r="AB52">
            <v>2</v>
          </cell>
          <cell r="AE52">
            <v>2</v>
          </cell>
        </row>
        <row r="53">
          <cell r="J53">
            <v>9</v>
          </cell>
          <cell r="M53">
            <v>2</v>
          </cell>
          <cell r="S53">
            <v>3</v>
          </cell>
          <cell r="AB53">
            <v>1</v>
          </cell>
          <cell r="AE53">
            <v>4</v>
          </cell>
        </row>
        <row r="54">
          <cell r="J54">
            <v>4</v>
          </cell>
          <cell r="M54">
            <v>4</v>
          </cell>
          <cell r="S54">
            <v>5</v>
          </cell>
          <cell r="AB54">
            <v>0</v>
          </cell>
          <cell r="AE54">
            <v>2</v>
          </cell>
        </row>
        <row r="55">
          <cell r="J55">
            <v>1</v>
          </cell>
          <cell r="M55">
            <v>3</v>
          </cell>
          <cell r="S55">
            <v>5</v>
          </cell>
          <cell r="AB55">
            <v>9</v>
          </cell>
          <cell r="AE55">
            <v>10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2"/>
  <sheetViews>
    <sheetView view="pageLayout" topLeftCell="A202" zoomScale="70" zoomScaleNormal="100" zoomScalePageLayoutView="70" workbookViewId="0">
      <selection activeCell="E181" sqref="D181:L181"/>
    </sheetView>
  </sheetViews>
  <sheetFormatPr defaultRowHeight="12.75"/>
  <cols>
    <col min="1" max="1" width="8.7109375" customWidth="1"/>
    <col min="2" max="2" width="20.5703125" customWidth="1"/>
    <col min="3" max="3" width="9" customWidth="1"/>
    <col min="4" max="4" width="8.140625" customWidth="1"/>
    <col min="5" max="6" width="6.85546875" customWidth="1"/>
    <col min="7" max="7" width="6.5703125" customWidth="1"/>
    <col min="8" max="12" width="6.85546875" customWidth="1"/>
    <col min="13" max="13" width="7.85546875" customWidth="1"/>
    <col min="14" max="14" width="10.7109375" customWidth="1"/>
    <col min="15" max="15" width="7.85546875" customWidth="1"/>
    <col min="16" max="16" width="9.7109375" style="105" bestFit="1" customWidth="1"/>
  </cols>
  <sheetData>
    <row r="1" spans="1:16" ht="18">
      <c r="A1" s="152" t="s">
        <v>0</v>
      </c>
    </row>
    <row r="2" spans="1:16" s="5" customFormat="1">
      <c r="A2"/>
      <c r="B2"/>
      <c r="C2"/>
      <c r="D2" s="229" t="s">
        <v>1</v>
      </c>
      <c r="E2" s="230"/>
      <c r="F2" s="229" t="s">
        <v>2</v>
      </c>
      <c r="G2" s="239"/>
      <c r="H2" s="239"/>
      <c r="I2" s="230"/>
      <c r="J2" s="229" t="s">
        <v>3</v>
      </c>
      <c r="K2" s="230"/>
      <c r="L2" s="165" t="s">
        <v>4</v>
      </c>
      <c r="M2"/>
      <c r="N2"/>
      <c r="O2"/>
      <c r="P2" s="105"/>
    </row>
    <row r="3" spans="1:16" ht="25.5">
      <c r="A3" s="57" t="s">
        <v>5</v>
      </c>
      <c r="B3" s="57" t="s">
        <v>6</v>
      </c>
      <c r="C3" s="57" t="s">
        <v>7</v>
      </c>
      <c r="D3" s="57" t="s">
        <v>8</v>
      </c>
      <c r="E3" s="57" t="s">
        <v>9</v>
      </c>
      <c r="F3" s="57" t="s">
        <v>10</v>
      </c>
      <c r="G3" s="57" t="s">
        <v>11</v>
      </c>
      <c r="H3" s="57" t="s">
        <v>12</v>
      </c>
      <c r="I3" s="57" t="s">
        <v>13</v>
      </c>
      <c r="J3" s="57" t="s">
        <v>14</v>
      </c>
      <c r="K3" s="57" t="s">
        <v>15</v>
      </c>
      <c r="L3" s="57" t="s">
        <v>16</v>
      </c>
      <c r="M3" s="48" t="s">
        <v>17</v>
      </c>
      <c r="N3" s="48" t="s">
        <v>18</v>
      </c>
      <c r="O3" s="48" t="s">
        <v>19</v>
      </c>
      <c r="P3" s="106" t="s">
        <v>20</v>
      </c>
    </row>
    <row r="4" spans="1:16">
      <c r="A4" s="165" t="s">
        <v>21</v>
      </c>
      <c r="B4" s="140" t="s">
        <v>22</v>
      </c>
      <c r="C4" s="7">
        <v>18</v>
      </c>
      <c r="D4" s="7">
        <f>[1]Master!$J$47</f>
        <v>0</v>
      </c>
      <c r="E4" s="7">
        <f>[1]Master!$J$48</f>
        <v>0</v>
      </c>
      <c r="F4" s="7">
        <f>[1]Master!$J$49</f>
        <v>3</v>
      </c>
      <c r="G4" s="7">
        <f>[1]Master!$J$50</f>
        <v>9</v>
      </c>
      <c r="H4" s="7">
        <f>[1]Master!$J$51</f>
        <v>4</v>
      </c>
      <c r="I4" s="7">
        <f>[1]Master!$J$52</f>
        <v>2</v>
      </c>
      <c r="J4" s="140">
        <f>[1]Master!$J$53</f>
        <v>0</v>
      </c>
      <c r="K4" s="140">
        <f>[1]Master!$J$54</f>
        <v>0</v>
      </c>
      <c r="L4" s="140">
        <f>[1]Master!$J$55</f>
        <v>0</v>
      </c>
      <c r="M4" s="7">
        <f>SUM(D4:I4)</f>
        <v>18</v>
      </c>
      <c r="N4" s="8">
        <f t="shared" ref="N4:N12" si="0">((M4/C4)*100)</f>
        <v>100</v>
      </c>
      <c r="O4" s="7">
        <f t="shared" ref="O4:O9" si="1">SUM(D4:K4)</f>
        <v>18</v>
      </c>
      <c r="P4" s="8">
        <f t="shared" ref="P4:P12" si="2">((O4/C4)*100)</f>
        <v>100</v>
      </c>
    </row>
    <row r="5" spans="1:16">
      <c r="A5" s="201" t="s">
        <v>23</v>
      </c>
      <c r="B5" s="140" t="s">
        <v>24</v>
      </c>
      <c r="C5" s="7">
        <v>20</v>
      </c>
      <c r="D5" s="7" cm="1">
        <f t="array" ref="D5:L5">TRANSPOSE([2]Master!$J$47:$J$55)</f>
        <v>0</v>
      </c>
      <c r="E5" s="7">
        <v>0</v>
      </c>
      <c r="F5" s="7">
        <v>1</v>
      </c>
      <c r="G5" s="7">
        <v>5</v>
      </c>
      <c r="H5" s="7">
        <v>8</v>
      </c>
      <c r="I5" s="7">
        <v>4</v>
      </c>
      <c r="J5" s="140">
        <v>2</v>
      </c>
      <c r="K5" s="140">
        <v>0</v>
      </c>
      <c r="L5" s="140">
        <v>0</v>
      </c>
      <c r="M5" s="7">
        <f>SUM(D5:I5)</f>
        <v>18</v>
      </c>
      <c r="N5" s="8">
        <f t="shared" si="0"/>
        <v>90</v>
      </c>
      <c r="O5" s="7">
        <f t="shared" si="1"/>
        <v>20</v>
      </c>
      <c r="P5" s="8">
        <f t="shared" si="2"/>
        <v>100</v>
      </c>
    </row>
    <row r="6" spans="1:16">
      <c r="A6" s="201" t="s">
        <v>25</v>
      </c>
      <c r="B6" s="140" t="s">
        <v>26</v>
      </c>
      <c r="C6" s="7">
        <v>19</v>
      </c>
      <c r="D6" s="7" cm="1">
        <f t="array" ref="D6:L6">TRANSPOSE([3]Master!$J$47:$J$55)</f>
        <v>0</v>
      </c>
      <c r="E6" s="7">
        <v>0</v>
      </c>
      <c r="F6" s="7">
        <v>0</v>
      </c>
      <c r="G6" s="7">
        <v>2</v>
      </c>
      <c r="H6" s="7">
        <v>4</v>
      </c>
      <c r="I6" s="7">
        <v>6</v>
      </c>
      <c r="J6" s="140">
        <v>7</v>
      </c>
      <c r="K6" s="140">
        <v>0</v>
      </c>
      <c r="L6" s="140">
        <v>0</v>
      </c>
      <c r="M6" s="7">
        <f>SUM(D6:I6)</f>
        <v>12</v>
      </c>
      <c r="N6" s="8">
        <f t="shared" si="0"/>
        <v>63.157894736842103</v>
      </c>
      <c r="O6" s="7">
        <f t="shared" si="1"/>
        <v>19</v>
      </c>
      <c r="P6" s="8">
        <f t="shared" si="2"/>
        <v>100</v>
      </c>
    </row>
    <row r="7" spans="1:16">
      <c r="A7" s="201" t="s">
        <v>27</v>
      </c>
      <c r="B7" s="140" t="s">
        <v>28</v>
      </c>
      <c r="C7" s="7">
        <v>24</v>
      </c>
      <c r="D7" s="7" cm="1">
        <f t="array" ref="D7:L7">TRANSPOSE([4]Master!$J$47:$J$55)</f>
        <v>0</v>
      </c>
      <c r="E7" s="7">
        <v>1</v>
      </c>
      <c r="F7" s="7">
        <v>5</v>
      </c>
      <c r="G7" s="7">
        <v>7</v>
      </c>
      <c r="H7" s="7">
        <v>1</v>
      </c>
      <c r="I7" s="7">
        <v>3</v>
      </c>
      <c r="J7" s="140">
        <v>7</v>
      </c>
      <c r="K7" s="140">
        <v>0</v>
      </c>
      <c r="L7" s="140">
        <v>0</v>
      </c>
      <c r="M7" s="7">
        <f t="shared" ref="M7" si="3">SUM(D7:I7)</f>
        <v>17</v>
      </c>
      <c r="N7" s="8">
        <f t="shared" si="0"/>
        <v>70.833333333333343</v>
      </c>
      <c r="O7" s="7">
        <f t="shared" si="1"/>
        <v>24</v>
      </c>
      <c r="P7" s="8">
        <f t="shared" si="2"/>
        <v>100</v>
      </c>
    </row>
    <row r="8" spans="1:16">
      <c r="A8" s="165" t="s">
        <v>29</v>
      </c>
      <c r="B8" s="140" t="s">
        <v>24</v>
      </c>
      <c r="C8" s="7">
        <v>19</v>
      </c>
      <c r="D8" s="7" cm="1">
        <f t="array" ref="D8:L8">TRANSPOSE([5]Master!$J$47:$J$55)</f>
        <v>0</v>
      </c>
      <c r="E8" s="7">
        <v>0</v>
      </c>
      <c r="F8" s="7">
        <v>0</v>
      </c>
      <c r="G8" s="7">
        <v>1</v>
      </c>
      <c r="H8" s="7">
        <v>3</v>
      </c>
      <c r="I8" s="7">
        <v>3</v>
      </c>
      <c r="J8" s="140">
        <v>10</v>
      </c>
      <c r="K8" s="140">
        <v>2</v>
      </c>
      <c r="L8" s="140">
        <v>0</v>
      </c>
      <c r="M8" s="7">
        <f>SUM(D8:I8)</f>
        <v>7</v>
      </c>
      <c r="N8" s="8">
        <f t="shared" si="0"/>
        <v>36.84210526315789</v>
      </c>
      <c r="O8" s="7">
        <f t="shared" si="1"/>
        <v>19</v>
      </c>
      <c r="P8" s="8">
        <f t="shared" si="2"/>
        <v>100</v>
      </c>
    </row>
    <row r="9" spans="1:16">
      <c r="A9" s="165" t="s">
        <v>30</v>
      </c>
      <c r="B9" s="140" t="s">
        <v>24</v>
      </c>
      <c r="C9" s="7">
        <v>26</v>
      </c>
      <c r="D9" s="7" cm="1">
        <f t="array" ref="D9:L9">TRANSPOSE([6]Master!$J$45:$J$53)</f>
        <v>0</v>
      </c>
      <c r="E9" s="7">
        <v>0</v>
      </c>
      <c r="F9" s="7">
        <v>1</v>
      </c>
      <c r="G9" s="7">
        <v>1</v>
      </c>
      <c r="H9" s="7">
        <v>4</v>
      </c>
      <c r="I9" s="7">
        <v>6</v>
      </c>
      <c r="J9" s="140">
        <v>7</v>
      </c>
      <c r="K9" s="140">
        <v>5</v>
      </c>
      <c r="L9" s="140">
        <v>0</v>
      </c>
      <c r="M9" s="7">
        <f>SUM(D9:I9)</f>
        <v>12</v>
      </c>
      <c r="N9" s="8">
        <f t="shared" si="0"/>
        <v>46.153846153846153</v>
      </c>
      <c r="O9" s="7">
        <f t="shared" si="1"/>
        <v>24</v>
      </c>
      <c r="P9" s="8">
        <f t="shared" si="2"/>
        <v>92.307692307692307</v>
      </c>
    </row>
    <row r="10" spans="1:16">
      <c r="A10" s="165" t="s">
        <v>31</v>
      </c>
      <c r="B10" s="140" t="s">
        <v>26</v>
      </c>
      <c r="C10" s="7">
        <v>21</v>
      </c>
      <c r="D10" s="7" cm="1">
        <f t="array" ref="D10:L10">TRANSPOSE([7]Master!$J$45:$J$53)</f>
        <v>0</v>
      </c>
      <c r="E10" s="7">
        <v>0</v>
      </c>
      <c r="F10" s="7">
        <v>0</v>
      </c>
      <c r="G10" s="7">
        <v>0</v>
      </c>
      <c r="H10" s="7">
        <v>4</v>
      </c>
      <c r="I10" s="7">
        <v>4</v>
      </c>
      <c r="J10" s="140">
        <v>10</v>
      </c>
      <c r="K10" s="140">
        <v>1</v>
      </c>
      <c r="L10" s="140">
        <v>0</v>
      </c>
      <c r="M10" s="7">
        <f>SUM(D10:I10)</f>
        <v>8</v>
      </c>
      <c r="N10" s="8">
        <f t="shared" si="0"/>
        <v>38.095238095238095</v>
      </c>
      <c r="O10" s="7">
        <f t="shared" ref="O10" si="4">SUM(D10:K10)</f>
        <v>19</v>
      </c>
      <c r="P10" s="8">
        <f t="shared" si="2"/>
        <v>90.476190476190482</v>
      </c>
    </row>
    <row r="11" spans="1:16">
      <c r="A11" s="165" t="s">
        <v>32</v>
      </c>
      <c r="B11" s="140" t="s">
        <v>24</v>
      </c>
      <c r="C11" s="7">
        <v>18</v>
      </c>
      <c r="D11" s="7" cm="1">
        <f t="array" ref="D11:L11">TRANSPOSE([8]Master!$J$47:$J$55)</f>
        <v>0</v>
      </c>
      <c r="E11" s="7">
        <v>0</v>
      </c>
      <c r="F11" s="7">
        <v>0</v>
      </c>
      <c r="G11" s="7">
        <v>0</v>
      </c>
      <c r="H11" s="7">
        <v>1</v>
      </c>
      <c r="I11" s="7">
        <v>4</v>
      </c>
      <c r="J11" s="140">
        <v>9</v>
      </c>
      <c r="K11" s="140">
        <v>4</v>
      </c>
      <c r="L11" s="140">
        <v>1</v>
      </c>
      <c r="M11" s="7">
        <f>SUM(D11:I11)</f>
        <v>5</v>
      </c>
      <c r="N11" s="8">
        <f t="shared" si="0"/>
        <v>27.777777777777779</v>
      </c>
      <c r="O11" s="7">
        <f t="shared" ref="O11" si="5">SUM(D11:K11)</f>
        <v>18</v>
      </c>
      <c r="P11" s="8">
        <f t="shared" si="2"/>
        <v>100</v>
      </c>
    </row>
    <row r="12" spans="1:16">
      <c r="A12" s="160"/>
      <c r="B12" s="161" t="s">
        <v>33</v>
      </c>
      <c r="C12" s="165">
        <f>SUM(C4:C11)</f>
        <v>165</v>
      </c>
      <c r="D12" s="165">
        <f t="shared" ref="D12:L12" si="6">SUM(D4:D11)</f>
        <v>0</v>
      </c>
      <c r="E12" s="165">
        <f t="shared" si="6"/>
        <v>1</v>
      </c>
      <c r="F12" s="165">
        <f t="shared" si="6"/>
        <v>10</v>
      </c>
      <c r="G12" s="165">
        <f t="shared" si="6"/>
        <v>25</v>
      </c>
      <c r="H12" s="165">
        <f t="shared" si="6"/>
        <v>29</v>
      </c>
      <c r="I12" s="165">
        <f t="shared" si="6"/>
        <v>32</v>
      </c>
      <c r="J12" s="165">
        <f t="shared" si="6"/>
        <v>52</v>
      </c>
      <c r="K12" s="165">
        <f t="shared" si="6"/>
        <v>12</v>
      </c>
      <c r="L12" s="165">
        <f t="shared" si="6"/>
        <v>1</v>
      </c>
      <c r="M12" s="165">
        <f>SUM(M4:M11)</f>
        <v>97</v>
      </c>
      <c r="N12" s="9">
        <f t="shared" si="0"/>
        <v>58.787878787878789</v>
      </c>
      <c r="O12" s="165">
        <f>SUM(O4:O11)</f>
        <v>161</v>
      </c>
      <c r="P12" s="9">
        <f t="shared" si="2"/>
        <v>97.575757575757578</v>
      </c>
    </row>
    <row r="13" spans="1:16" ht="23.2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1"/>
      <c r="O13" s="10"/>
      <c r="P13" s="11"/>
    </row>
    <row r="14" spans="1:16" s="5" customFormat="1" ht="18">
      <c r="A14" s="152" t="s">
        <v>34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 s="105"/>
    </row>
    <row r="15" spans="1:16" ht="12.75" customHeight="1">
      <c r="D15" s="229" t="s">
        <v>1</v>
      </c>
      <c r="E15" s="230"/>
      <c r="F15" s="160"/>
      <c r="G15" s="162" t="s">
        <v>2</v>
      </c>
      <c r="H15" s="162"/>
      <c r="I15" s="161"/>
      <c r="J15" s="229" t="s">
        <v>3</v>
      </c>
      <c r="K15" s="230"/>
      <c r="L15" s="165" t="s">
        <v>4</v>
      </c>
    </row>
    <row r="16" spans="1:16" ht="25.5">
      <c r="A16" s="57" t="s">
        <v>5</v>
      </c>
      <c r="B16" s="57" t="s">
        <v>6</v>
      </c>
      <c r="C16" s="57" t="s">
        <v>7</v>
      </c>
      <c r="D16" s="57" t="s">
        <v>8</v>
      </c>
      <c r="E16" s="57" t="s">
        <v>9</v>
      </c>
      <c r="F16" s="57" t="s">
        <v>10</v>
      </c>
      <c r="G16" s="57" t="s">
        <v>11</v>
      </c>
      <c r="H16" s="57" t="s">
        <v>12</v>
      </c>
      <c r="I16" s="57" t="s">
        <v>13</v>
      </c>
      <c r="J16" s="57" t="s">
        <v>14</v>
      </c>
      <c r="K16" s="57" t="s">
        <v>15</v>
      </c>
      <c r="L16" s="57" t="s">
        <v>16</v>
      </c>
      <c r="M16" s="48" t="s">
        <v>17</v>
      </c>
      <c r="N16" s="48" t="s">
        <v>18</v>
      </c>
      <c r="O16" s="48" t="s">
        <v>19</v>
      </c>
      <c r="P16" s="106" t="s">
        <v>20</v>
      </c>
    </row>
    <row r="17" spans="1:16" ht="12.75" customHeight="1">
      <c r="A17" s="165" t="s">
        <v>31</v>
      </c>
      <c r="B17" s="140" t="s">
        <v>35</v>
      </c>
      <c r="C17" s="7">
        <v>20</v>
      </c>
      <c r="D17" s="140" cm="1">
        <f t="array" ref="D17:L17">TRANSPOSE([7]Master!$Y$45:$Y$53)</f>
        <v>1</v>
      </c>
      <c r="E17" s="140">
        <v>1</v>
      </c>
      <c r="F17" s="7">
        <v>3</v>
      </c>
      <c r="G17" s="7">
        <v>1</v>
      </c>
      <c r="H17" s="7">
        <v>2</v>
      </c>
      <c r="I17" s="7">
        <v>3</v>
      </c>
      <c r="J17" s="7">
        <v>5</v>
      </c>
      <c r="K17" s="7">
        <v>2</v>
      </c>
      <c r="L17" s="7">
        <v>1</v>
      </c>
      <c r="M17" s="7">
        <f>SUM(D17:I17)</f>
        <v>11</v>
      </c>
      <c r="N17" s="8">
        <f>((M17/C17)*100)</f>
        <v>55.000000000000007</v>
      </c>
      <c r="O17" s="7">
        <f>SUM(D17:K17)</f>
        <v>18</v>
      </c>
      <c r="P17" s="8">
        <f>((O17/C17)*100)</f>
        <v>90</v>
      </c>
    </row>
    <row r="18" spans="1:16" ht="12.75" customHeight="1">
      <c r="A18" s="160" t="s">
        <v>32</v>
      </c>
      <c r="B18" s="140" t="s">
        <v>35</v>
      </c>
      <c r="C18" s="7">
        <v>18</v>
      </c>
      <c r="D18" s="140">
        <v>0</v>
      </c>
      <c r="E18" s="140">
        <v>7</v>
      </c>
      <c r="F18" s="7">
        <v>2</v>
      </c>
      <c r="G18" s="7">
        <v>1</v>
      </c>
      <c r="H18" s="7">
        <v>2</v>
      </c>
      <c r="I18" s="7"/>
      <c r="J18" s="7">
        <v>1</v>
      </c>
      <c r="K18" s="7">
        <v>1</v>
      </c>
      <c r="L18" s="7">
        <v>0</v>
      </c>
      <c r="M18" s="7">
        <f>SUM(D18:I18)</f>
        <v>12</v>
      </c>
      <c r="N18" s="8">
        <f>((M18/C18)*100)</f>
        <v>66.666666666666657</v>
      </c>
      <c r="O18" s="7">
        <f>SUM(D18:K18)</f>
        <v>14</v>
      </c>
      <c r="P18" s="8">
        <f>((O18/C18)*100)</f>
        <v>77.777777777777786</v>
      </c>
    </row>
    <row r="19" spans="1:16" ht="13.5" customHeight="1">
      <c r="A19" s="160"/>
      <c r="B19" s="161" t="s">
        <v>33</v>
      </c>
      <c r="C19" s="165">
        <f t="shared" ref="C19:K19" si="7">SUM(C17:C18)</f>
        <v>38</v>
      </c>
      <c r="D19" s="165">
        <f>SUM(D17:D18)</f>
        <v>1</v>
      </c>
      <c r="E19" s="165">
        <f t="shared" si="7"/>
        <v>8</v>
      </c>
      <c r="F19" s="165">
        <f t="shared" si="7"/>
        <v>5</v>
      </c>
      <c r="G19" s="165">
        <f t="shared" si="7"/>
        <v>2</v>
      </c>
      <c r="H19" s="165">
        <f t="shared" si="7"/>
        <v>4</v>
      </c>
      <c r="I19" s="165">
        <f t="shared" si="7"/>
        <v>3</v>
      </c>
      <c r="J19" s="165">
        <f t="shared" si="7"/>
        <v>6</v>
      </c>
      <c r="K19" s="165">
        <f t="shared" si="7"/>
        <v>3</v>
      </c>
      <c r="L19" s="165">
        <v>3</v>
      </c>
      <c r="M19" s="165">
        <f>SUM(M17:M18)</f>
        <v>23</v>
      </c>
      <c r="N19" s="9">
        <f>((M19/C19)*100)</f>
        <v>60.526315789473685</v>
      </c>
      <c r="O19" s="165">
        <f>SUM(O17:O18)</f>
        <v>32</v>
      </c>
      <c r="P19" s="9">
        <f>((O19/C19)*100)</f>
        <v>84.210526315789465</v>
      </c>
    </row>
    <row r="20" spans="1:16" ht="27" customHeight="1"/>
    <row r="21" spans="1:16" s="5" customFormat="1" ht="18">
      <c r="A21" s="152" t="s">
        <v>36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 s="105"/>
    </row>
    <row r="22" spans="1:16">
      <c r="D22" s="229" t="s">
        <v>1</v>
      </c>
      <c r="E22" s="230"/>
      <c r="F22" s="160"/>
      <c r="G22" s="162" t="s">
        <v>2</v>
      </c>
      <c r="H22" s="162"/>
      <c r="I22" s="161"/>
      <c r="J22" s="4" t="s">
        <v>3</v>
      </c>
      <c r="K22" s="3"/>
      <c r="L22" s="165" t="s">
        <v>4</v>
      </c>
    </row>
    <row r="23" spans="1:16" ht="25.5">
      <c r="A23" s="57" t="s">
        <v>5</v>
      </c>
      <c r="B23" s="57" t="s">
        <v>6</v>
      </c>
      <c r="C23" s="57" t="s">
        <v>7</v>
      </c>
      <c r="D23" s="57" t="s">
        <v>8</v>
      </c>
      <c r="E23" s="57" t="s">
        <v>9</v>
      </c>
      <c r="F23" s="57" t="s">
        <v>10</v>
      </c>
      <c r="G23" s="57" t="s">
        <v>11</v>
      </c>
      <c r="H23" s="57" t="s">
        <v>12</v>
      </c>
      <c r="I23" s="57" t="s">
        <v>13</v>
      </c>
      <c r="J23" s="57" t="s">
        <v>14</v>
      </c>
      <c r="K23" s="57" t="s">
        <v>15</v>
      </c>
      <c r="L23" s="57" t="s">
        <v>16</v>
      </c>
      <c r="M23" s="6" t="s">
        <v>17</v>
      </c>
      <c r="N23" s="6" t="s">
        <v>18</v>
      </c>
      <c r="O23" s="6" t="s">
        <v>19</v>
      </c>
      <c r="P23" s="107" t="s">
        <v>20</v>
      </c>
    </row>
    <row r="24" spans="1:16">
      <c r="A24" s="165" t="s">
        <v>21</v>
      </c>
      <c r="B24" s="145" t="s">
        <v>37</v>
      </c>
      <c r="C24" s="178">
        <v>18</v>
      </c>
      <c r="D24" s="178" cm="1">
        <f t="array" ref="D24:L24">TRANSPOSE([1]Master!$M$47:$M$55)</f>
        <v>0</v>
      </c>
      <c r="E24" s="178">
        <v>9</v>
      </c>
      <c r="F24" s="178">
        <v>4</v>
      </c>
      <c r="G24" s="178">
        <v>4</v>
      </c>
      <c r="H24" s="178">
        <v>1</v>
      </c>
      <c r="I24" s="178">
        <v>0</v>
      </c>
      <c r="J24" s="178">
        <v>0</v>
      </c>
      <c r="K24" s="178">
        <v>0</v>
      </c>
      <c r="L24" s="178">
        <v>0</v>
      </c>
      <c r="M24" s="7">
        <f t="shared" ref="M24:M30" si="8">SUM(D24:I24)</f>
        <v>18</v>
      </c>
      <c r="N24" s="8">
        <f t="shared" ref="N24:N30" si="9">((M24/C24)*100)</f>
        <v>100</v>
      </c>
      <c r="O24" s="7">
        <f t="shared" ref="O24:O30" si="10">SUM(D24:K24)</f>
        <v>18</v>
      </c>
      <c r="P24" s="8">
        <f t="shared" ref="P24:P30" si="11">((O24/C24)*100)</f>
        <v>100</v>
      </c>
    </row>
    <row r="25" spans="1:16">
      <c r="A25" s="201" t="s">
        <v>23</v>
      </c>
      <c r="B25" s="169" t="s">
        <v>38</v>
      </c>
      <c r="C25" s="197">
        <v>20</v>
      </c>
      <c r="D25" s="197" cm="1">
        <f t="array" ref="D25:L25">TRANSPOSE([2]Master!$M$47:$M$55)</f>
        <v>0</v>
      </c>
      <c r="E25" s="197">
        <v>3</v>
      </c>
      <c r="F25" s="197">
        <v>8</v>
      </c>
      <c r="G25" s="197">
        <v>5</v>
      </c>
      <c r="H25" s="197">
        <v>4</v>
      </c>
      <c r="I25" s="197">
        <v>0</v>
      </c>
      <c r="J25" s="197">
        <v>0</v>
      </c>
      <c r="K25" s="197">
        <v>0</v>
      </c>
      <c r="L25" s="197">
        <v>0</v>
      </c>
      <c r="M25" s="7">
        <f t="shared" si="8"/>
        <v>20</v>
      </c>
      <c r="N25" s="8">
        <f t="shared" si="9"/>
        <v>100</v>
      </c>
      <c r="O25" s="7">
        <f t="shared" si="10"/>
        <v>20</v>
      </c>
      <c r="P25" s="8">
        <f t="shared" si="11"/>
        <v>100</v>
      </c>
    </row>
    <row r="26" spans="1:16">
      <c r="A26" s="201" t="s">
        <v>25</v>
      </c>
      <c r="B26" s="169" t="s">
        <v>37</v>
      </c>
      <c r="C26" s="197">
        <v>19</v>
      </c>
      <c r="D26" s="197" cm="1">
        <f t="array" ref="D26:L26">TRANSPOSE([3]Master!$M$47:$M$55)</f>
        <v>0</v>
      </c>
      <c r="E26" s="197">
        <v>3</v>
      </c>
      <c r="F26" s="197">
        <v>2</v>
      </c>
      <c r="G26" s="197">
        <v>6</v>
      </c>
      <c r="H26" s="197">
        <v>3</v>
      </c>
      <c r="I26" s="197">
        <v>4</v>
      </c>
      <c r="J26" s="197">
        <v>1</v>
      </c>
      <c r="K26" s="197">
        <v>0</v>
      </c>
      <c r="L26" s="197">
        <v>0</v>
      </c>
      <c r="M26" s="7">
        <f t="shared" si="8"/>
        <v>18</v>
      </c>
      <c r="N26" s="8">
        <f t="shared" si="9"/>
        <v>94.73684210526315</v>
      </c>
      <c r="O26" s="7">
        <f t="shared" si="10"/>
        <v>19</v>
      </c>
      <c r="P26" s="8">
        <f t="shared" si="11"/>
        <v>100</v>
      </c>
    </row>
    <row r="27" spans="1:16">
      <c r="A27" s="201" t="s">
        <v>27</v>
      </c>
      <c r="B27" s="145" t="s">
        <v>38</v>
      </c>
      <c r="C27" s="197">
        <v>24</v>
      </c>
      <c r="D27" s="197" cm="1">
        <f t="array" ref="D27:L27">TRANSPOSE([4]Master!$M$47:$M$55)</f>
        <v>0</v>
      </c>
      <c r="E27" s="197">
        <v>0</v>
      </c>
      <c r="F27" s="197">
        <v>3</v>
      </c>
      <c r="G27" s="197">
        <v>7</v>
      </c>
      <c r="H27" s="197">
        <v>7</v>
      </c>
      <c r="I27" s="197">
        <v>5</v>
      </c>
      <c r="J27" s="197">
        <v>2</v>
      </c>
      <c r="K27" s="197">
        <v>0</v>
      </c>
      <c r="L27" s="197">
        <v>0</v>
      </c>
      <c r="M27" s="7">
        <f t="shared" si="8"/>
        <v>22</v>
      </c>
      <c r="N27" s="8">
        <f t="shared" si="9"/>
        <v>91.666666666666657</v>
      </c>
      <c r="O27" s="7">
        <f t="shared" si="10"/>
        <v>24</v>
      </c>
      <c r="P27" s="8">
        <f t="shared" si="11"/>
        <v>100</v>
      </c>
    </row>
    <row r="28" spans="1:16">
      <c r="A28" s="165" t="s">
        <v>29</v>
      </c>
      <c r="B28" s="145" t="s">
        <v>38</v>
      </c>
      <c r="C28" s="197">
        <v>19</v>
      </c>
      <c r="D28" s="197" cm="1">
        <f t="array" ref="D28:L28">TRANSPOSE([5]Master!$M$47:$M$55)</f>
        <v>0</v>
      </c>
      <c r="E28" s="197">
        <v>0</v>
      </c>
      <c r="F28" s="197">
        <v>2</v>
      </c>
      <c r="G28" s="197">
        <v>3</v>
      </c>
      <c r="H28" s="197">
        <v>5</v>
      </c>
      <c r="I28" s="197">
        <v>5</v>
      </c>
      <c r="J28" s="197">
        <v>4</v>
      </c>
      <c r="K28" s="197">
        <v>0</v>
      </c>
      <c r="L28" s="197">
        <v>0</v>
      </c>
      <c r="M28" s="7">
        <f t="shared" si="8"/>
        <v>15</v>
      </c>
      <c r="N28" s="8">
        <f t="shared" si="9"/>
        <v>78.94736842105263</v>
      </c>
      <c r="O28" s="7">
        <f t="shared" si="10"/>
        <v>19</v>
      </c>
      <c r="P28" s="8">
        <f t="shared" si="11"/>
        <v>100</v>
      </c>
    </row>
    <row r="29" spans="1:16" ht="24">
      <c r="A29" s="57" t="s">
        <v>30</v>
      </c>
      <c r="B29" s="204" t="s">
        <v>39</v>
      </c>
      <c r="C29" s="197">
        <v>25</v>
      </c>
      <c r="D29" s="197" cm="1">
        <f t="array" ref="D29:L29">TRANSPOSE([7]Master!$M$45:$M$53)</f>
        <v>0</v>
      </c>
      <c r="E29" s="197">
        <v>0</v>
      </c>
      <c r="F29" s="197">
        <v>0</v>
      </c>
      <c r="G29" s="197">
        <v>0</v>
      </c>
      <c r="H29" s="197">
        <v>1</v>
      </c>
      <c r="I29" s="197">
        <v>1</v>
      </c>
      <c r="J29" s="197">
        <v>7</v>
      </c>
      <c r="K29" s="197">
        <v>8</v>
      </c>
      <c r="L29" s="197">
        <v>2</v>
      </c>
      <c r="M29" s="7">
        <f t="shared" si="8"/>
        <v>2</v>
      </c>
      <c r="N29" s="8">
        <f t="shared" si="9"/>
        <v>8</v>
      </c>
      <c r="O29" s="7">
        <f t="shared" si="10"/>
        <v>17</v>
      </c>
      <c r="P29" s="8">
        <f t="shared" si="11"/>
        <v>68</v>
      </c>
    </row>
    <row r="30" spans="1:16">
      <c r="A30" s="165" t="s">
        <v>31</v>
      </c>
      <c r="B30" s="169" t="s">
        <v>40</v>
      </c>
      <c r="C30" s="197">
        <v>20</v>
      </c>
      <c r="D30" s="197">
        <v>0</v>
      </c>
      <c r="E30" s="197">
        <v>0</v>
      </c>
      <c r="F30" s="197">
        <v>0</v>
      </c>
      <c r="G30" s="197">
        <v>0</v>
      </c>
      <c r="H30" s="197">
        <v>0</v>
      </c>
      <c r="I30" s="197">
        <v>1</v>
      </c>
      <c r="J30" s="197">
        <v>4</v>
      </c>
      <c r="K30" s="197">
        <v>8</v>
      </c>
      <c r="L30" s="197">
        <v>7</v>
      </c>
      <c r="M30" s="7">
        <f t="shared" si="8"/>
        <v>1</v>
      </c>
      <c r="N30" s="8">
        <f t="shared" si="9"/>
        <v>5</v>
      </c>
      <c r="O30" s="7">
        <f t="shared" si="10"/>
        <v>13</v>
      </c>
      <c r="P30" s="8">
        <f t="shared" si="11"/>
        <v>65</v>
      </c>
    </row>
    <row r="31" spans="1:16">
      <c r="A31" s="160"/>
      <c r="B31" s="161" t="s">
        <v>33</v>
      </c>
      <c r="C31" s="165">
        <f t="shared" ref="C31:M31" si="12">SUM(C24:C30)</f>
        <v>145</v>
      </c>
      <c r="D31" s="165">
        <f t="shared" si="12"/>
        <v>0</v>
      </c>
      <c r="E31" s="165">
        <f t="shared" si="12"/>
        <v>15</v>
      </c>
      <c r="F31" s="165">
        <f t="shared" si="12"/>
        <v>19</v>
      </c>
      <c r="G31" s="165">
        <f t="shared" si="12"/>
        <v>25</v>
      </c>
      <c r="H31" s="165">
        <f t="shared" si="12"/>
        <v>21</v>
      </c>
      <c r="I31" s="165">
        <f t="shared" si="12"/>
        <v>16</v>
      </c>
      <c r="J31" s="165">
        <f t="shared" si="12"/>
        <v>18</v>
      </c>
      <c r="K31" s="165">
        <f t="shared" si="12"/>
        <v>16</v>
      </c>
      <c r="L31" s="165">
        <f t="shared" si="12"/>
        <v>9</v>
      </c>
      <c r="M31" s="165">
        <f t="shared" si="12"/>
        <v>96</v>
      </c>
      <c r="N31" s="9">
        <f>((M31/C31)*100)</f>
        <v>66.206896551724142</v>
      </c>
      <c r="O31" s="165">
        <f>SUM(O24:O30)</f>
        <v>130</v>
      </c>
      <c r="P31" s="9">
        <f>((O31/C31)*100)</f>
        <v>89.65517241379311</v>
      </c>
    </row>
    <row r="32" spans="1:1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1"/>
      <c r="O32" s="10"/>
      <c r="P32" s="11"/>
    </row>
    <row r="33" spans="1:16" s="5" customFormat="1" ht="18">
      <c r="A33" s="153" t="s">
        <v>41</v>
      </c>
      <c r="B33" s="144"/>
      <c r="N33" s="49"/>
      <c r="P33" s="49"/>
    </row>
    <row r="34" spans="1:16" s="36" customFormat="1">
      <c r="D34" s="240" t="s">
        <v>1</v>
      </c>
      <c r="E34" s="241"/>
      <c r="F34" s="242" t="s">
        <v>2</v>
      </c>
      <c r="G34" s="243"/>
      <c r="H34" s="244" t="s">
        <v>3</v>
      </c>
      <c r="I34" s="244"/>
      <c r="J34" s="244"/>
      <c r="K34" s="241"/>
      <c r="L34" s="57" t="s">
        <v>4</v>
      </c>
      <c r="P34" s="108"/>
    </row>
    <row r="35" spans="1:16" s="5" customFormat="1" ht="23.25">
      <c r="A35" s="57" t="s">
        <v>5</v>
      </c>
      <c r="B35" s="57" t="s">
        <v>6</v>
      </c>
      <c r="C35" s="57" t="s">
        <v>7</v>
      </c>
      <c r="D35" s="57" t="s">
        <v>8</v>
      </c>
      <c r="E35" s="57" t="s">
        <v>42</v>
      </c>
      <c r="F35" s="57" t="s">
        <v>43</v>
      </c>
      <c r="G35" s="57" t="s">
        <v>44</v>
      </c>
      <c r="H35" s="57" t="s">
        <v>45</v>
      </c>
      <c r="I35" s="57" t="s">
        <v>46</v>
      </c>
      <c r="J35" s="57" t="s">
        <v>47</v>
      </c>
      <c r="K35" s="57" t="s">
        <v>48</v>
      </c>
      <c r="L35" s="57" t="s">
        <v>16</v>
      </c>
      <c r="M35" s="48" t="s">
        <v>17</v>
      </c>
      <c r="N35" s="48" t="s">
        <v>18</v>
      </c>
      <c r="O35" s="48" t="s">
        <v>19</v>
      </c>
      <c r="P35" s="106" t="s">
        <v>20</v>
      </c>
    </row>
    <row r="36" spans="1:16" s="5" customFormat="1">
      <c r="A36" s="57" t="s">
        <v>32</v>
      </c>
      <c r="B36" s="190" t="s">
        <v>49</v>
      </c>
      <c r="C36" s="191">
        <v>16</v>
      </c>
      <c r="D36" s="191" cm="1">
        <f t="array" ref="D36:L36">TRANSPOSE([8]Master!$M$47:$M$55)</f>
        <v>0</v>
      </c>
      <c r="E36" s="191">
        <v>5</v>
      </c>
      <c r="F36" s="191">
        <v>2</v>
      </c>
      <c r="G36" s="191">
        <v>0</v>
      </c>
      <c r="H36" s="191">
        <v>1</v>
      </c>
      <c r="I36" s="191">
        <v>2</v>
      </c>
      <c r="J36" s="191">
        <v>2</v>
      </c>
      <c r="K36" s="191">
        <v>4</v>
      </c>
      <c r="L36" s="191">
        <v>3</v>
      </c>
      <c r="M36" s="7">
        <f>SUM(D36:I36)</f>
        <v>10</v>
      </c>
      <c r="N36" s="8">
        <f>((M36/C36)*100)</f>
        <v>62.5</v>
      </c>
      <c r="O36" s="7">
        <f>SUM(D36:K36)</f>
        <v>16</v>
      </c>
      <c r="P36" s="8">
        <f>((O36/C36)*100)</f>
        <v>100</v>
      </c>
    </row>
    <row r="37" spans="1:16">
      <c r="A37" s="160"/>
      <c r="B37" s="161" t="s">
        <v>33</v>
      </c>
      <c r="C37" s="165">
        <f>SUM(C36:C36)</f>
        <v>16</v>
      </c>
      <c r="D37" s="165">
        <f>SUM(D36:D36)</f>
        <v>0</v>
      </c>
      <c r="E37" s="165">
        <f t="shared" ref="E37:L37" si="13">SUM(E36:E36)</f>
        <v>5</v>
      </c>
      <c r="F37" s="165">
        <f t="shared" si="13"/>
        <v>2</v>
      </c>
      <c r="G37" s="165">
        <f t="shared" si="13"/>
        <v>0</v>
      </c>
      <c r="H37" s="165">
        <f t="shared" si="13"/>
        <v>1</v>
      </c>
      <c r="I37" s="165">
        <f t="shared" si="13"/>
        <v>2</v>
      </c>
      <c r="J37" s="165">
        <f t="shared" si="13"/>
        <v>2</v>
      </c>
      <c r="K37" s="165">
        <f t="shared" si="13"/>
        <v>4</v>
      </c>
      <c r="L37" s="165">
        <f t="shared" si="13"/>
        <v>3</v>
      </c>
      <c r="M37" s="165">
        <f>SUM(M36:M36)</f>
        <v>10</v>
      </c>
      <c r="N37" s="9">
        <f>((M37/C37)*100)</f>
        <v>62.5</v>
      </c>
      <c r="O37" s="165">
        <f>SUM(O36:O36)</f>
        <v>16</v>
      </c>
      <c r="P37" s="9">
        <f>((O37/C37)*100)</f>
        <v>100</v>
      </c>
    </row>
    <row r="38" spans="1:16" ht="5.2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1"/>
      <c r="O38" s="10"/>
      <c r="P38" s="11"/>
    </row>
    <row r="39" spans="1:16" ht="17.25" hidden="1" customHeight="1">
      <c r="A39" s="152" t="s">
        <v>50</v>
      </c>
    </row>
    <row r="40" spans="1:16" hidden="1">
      <c r="D40" s="229" t="s">
        <v>51</v>
      </c>
      <c r="E40" s="239"/>
      <c r="F40" s="239"/>
      <c r="G40" s="239"/>
      <c r="H40" s="239"/>
      <c r="I40" s="230"/>
      <c r="J40" s="1"/>
      <c r="K40" s="1"/>
      <c r="L40" s="10"/>
    </row>
    <row r="41" spans="1:16" ht="23.25" hidden="1" customHeight="1">
      <c r="A41" s="57" t="s">
        <v>5</v>
      </c>
      <c r="B41" s="57" t="s">
        <v>6</v>
      </c>
      <c r="C41" s="57" t="s">
        <v>7</v>
      </c>
      <c r="D41" s="57" t="s">
        <v>44</v>
      </c>
      <c r="E41" s="57" t="s">
        <v>45</v>
      </c>
      <c r="F41" s="57" t="s">
        <v>46</v>
      </c>
      <c r="G41" s="57" t="s">
        <v>47</v>
      </c>
      <c r="H41" s="57" t="s">
        <v>48</v>
      </c>
      <c r="I41" s="57" t="s">
        <v>16</v>
      </c>
      <c r="J41" s="58"/>
      <c r="K41" s="58"/>
      <c r="L41" s="58"/>
      <c r="M41" s="48" t="s">
        <v>52</v>
      </c>
      <c r="N41" s="48" t="s">
        <v>53</v>
      </c>
      <c r="O41" s="48" t="s">
        <v>54</v>
      </c>
      <c r="P41" s="106" t="s">
        <v>55</v>
      </c>
    </row>
    <row r="42" spans="1:16" hidden="1">
      <c r="A42" s="51" t="s">
        <v>56</v>
      </c>
      <c r="B42" s="140"/>
      <c r="C42" s="140"/>
      <c r="D42" s="140"/>
      <c r="E42" s="140"/>
      <c r="F42" s="140"/>
      <c r="G42" s="140"/>
      <c r="H42" s="140"/>
      <c r="I42" s="140"/>
      <c r="J42" s="141"/>
      <c r="K42" s="141"/>
      <c r="L42" s="141"/>
      <c r="M42" s="142">
        <f>D42</f>
        <v>0</v>
      </c>
      <c r="N42" s="143" t="e">
        <f>((M42/C42)*100)</f>
        <v>#DIV/0!</v>
      </c>
      <c r="O42" s="142">
        <f>SUM(D42:H42)</f>
        <v>0</v>
      </c>
      <c r="P42" s="143" t="e">
        <f>((O42/C42)*100)</f>
        <v>#DIV/0!</v>
      </c>
    </row>
    <row r="43" spans="1:16" hidden="1">
      <c r="A43" s="51" t="s">
        <v>57</v>
      </c>
      <c r="B43" s="140"/>
      <c r="C43" s="140"/>
      <c r="D43" s="140"/>
      <c r="E43" s="140"/>
      <c r="F43" s="140"/>
      <c r="G43" s="140"/>
      <c r="H43" s="140"/>
      <c r="I43" s="140"/>
      <c r="J43" s="141"/>
      <c r="K43" s="141"/>
      <c r="L43" s="141"/>
      <c r="M43" s="142">
        <f>D43</f>
        <v>0</v>
      </c>
      <c r="N43" s="143" t="e">
        <f>((M43/C43)*100)</f>
        <v>#DIV/0!</v>
      </c>
      <c r="O43" s="142">
        <f>SUM(D43:H43)</f>
        <v>0</v>
      </c>
      <c r="P43" s="143" t="e">
        <f>((O43/C43)*100)</f>
        <v>#DIV/0!</v>
      </c>
    </row>
    <row r="44" spans="1:16" hidden="1">
      <c r="A44" s="165" t="s">
        <v>58</v>
      </c>
      <c r="B44" s="140"/>
      <c r="C44" s="140"/>
      <c r="D44" s="140"/>
      <c r="E44" s="140"/>
      <c r="F44" s="140"/>
      <c r="G44" s="140"/>
      <c r="H44" s="140"/>
      <c r="I44" s="140"/>
      <c r="J44" s="141"/>
      <c r="K44" s="141"/>
      <c r="L44" s="141"/>
      <c r="M44" s="142">
        <f>D44</f>
        <v>0</v>
      </c>
      <c r="N44" s="143" t="e">
        <f>((M44/C44)*100)</f>
        <v>#DIV/0!</v>
      </c>
      <c r="O44" s="142">
        <f>SUM(D44:H44)</f>
        <v>0</v>
      </c>
      <c r="P44" s="143" t="e">
        <f>((O44/C44)*100)</f>
        <v>#DIV/0!</v>
      </c>
    </row>
    <row r="45" spans="1:16" hidden="1">
      <c r="A45" s="160"/>
      <c r="B45" s="161" t="s">
        <v>33</v>
      </c>
      <c r="C45" s="165">
        <f t="shared" ref="C45:H45" si="14">SUM(C42:C44)</f>
        <v>0</v>
      </c>
      <c r="D45" s="165">
        <f t="shared" si="14"/>
        <v>0</v>
      </c>
      <c r="E45" s="165">
        <f t="shared" si="14"/>
        <v>0</v>
      </c>
      <c r="F45" s="165">
        <f t="shared" si="14"/>
        <v>0</v>
      </c>
      <c r="G45" s="165">
        <f t="shared" si="14"/>
        <v>0</v>
      </c>
      <c r="H45" s="165">
        <f t="shared" si="14"/>
        <v>0</v>
      </c>
      <c r="I45" s="165">
        <f>SUM(I44:I44)</f>
        <v>0</v>
      </c>
      <c r="J45" s="59"/>
      <c r="K45" s="59"/>
      <c r="L45" s="59"/>
      <c r="M45" s="165">
        <f>SUM(M39:M44)</f>
        <v>0</v>
      </c>
      <c r="N45" s="9" t="e">
        <f>((M45/C45)*100)</f>
        <v>#DIV/0!</v>
      </c>
      <c r="O45" s="165">
        <f>SUM(O39:O44)</f>
        <v>0</v>
      </c>
      <c r="P45" s="9" t="e">
        <f>((O45/C45)*100)</f>
        <v>#DIV/0!</v>
      </c>
    </row>
    <row r="46" spans="1:16" ht="46.5" customHeight="1">
      <c r="A46" s="10"/>
      <c r="B46" s="10"/>
      <c r="C46" s="10"/>
      <c r="D46" s="10"/>
      <c r="E46" s="10"/>
      <c r="F46" s="10"/>
      <c r="G46" s="10"/>
      <c r="H46" s="10"/>
      <c r="I46" s="10"/>
      <c r="J46" s="206"/>
      <c r="K46" s="206"/>
      <c r="L46" s="206"/>
      <c r="M46" s="10"/>
      <c r="N46" s="11"/>
      <c r="O46" s="10"/>
      <c r="P46" s="11"/>
    </row>
    <row r="47" spans="1:16" ht="18">
      <c r="A47" s="152" t="s">
        <v>59</v>
      </c>
    </row>
    <row r="48" spans="1:16">
      <c r="D48" s="229" t="s">
        <v>1</v>
      </c>
      <c r="E48" s="230"/>
      <c r="F48" s="229" t="s">
        <v>2</v>
      </c>
      <c r="G48" s="239"/>
      <c r="H48" s="239"/>
      <c r="I48" s="230"/>
      <c r="J48" s="229" t="s">
        <v>3</v>
      </c>
      <c r="K48" s="230"/>
      <c r="L48" s="165" t="s">
        <v>4</v>
      </c>
    </row>
    <row r="49" spans="1:16" ht="25.5">
      <c r="A49" s="57" t="s">
        <v>5</v>
      </c>
      <c r="B49" s="57" t="s">
        <v>6</v>
      </c>
      <c r="C49" s="57" t="s">
        <v>7</v>
      </c>
      <c r="D49" s="57" t="s">
        <v>8</v>
      </c>
      <c r="E49" s="57" t="s">
        <v>9</v>
      </c>
      <c r="F49" s="57" t="s">
        <v>10</v>
      </c>
      <c r="G49" s="57" t="s">
        <v>11</v>
      </c>
      <c r="H49" s="57" t="s">
        <v>12</v>
      </c>
      <c r="I49" s="57" t="s">
        <v>13</v>
      </c>
      <c r="J49" s="57" t="s">
        <v>14</v>
      </c>
      <c r="K49" s="57" t="s">
        <v>15</v>
      </c>
      <c r="L49" s="57" t="s">
        <v>16</v>
      </c>
      <c r="M49" s="48" t="s">
        <v>17</v>
      </c>
      <c r="N49" s="48" t="s">
        <v>18</v>
      </c>
      <c r="O49" s="48" t="s">
        <v>19</v>
      </c>
      <c r="P49" s="106" t="s">
        <v>20</v>
      </c>
    </row>
    <row r="50" spans="1:16" ht="12.75" customHeight="1">
      <c r="A50" s="165" t="s">
        <v>21</v>
      </c>
      <c r="B50" s="194" t="s">
        <v>60</v>
      </c>
      <c r="C50" s="191">
        <v>18</v>
      </c>
      <c r="D50" s="191" cm="1">
        <f t="array" ref="D50:L50">TRANSPOSE([1]Master!$P$47:$P$55)</f>
        <v>2</v>
      </c>
      <c r="E50" s="191">
        <v>6</v>
      </c>
      <c r="F50" s="191">
        <v>1</v>
      </c>
      <c r="G50" s="191">
        <v>5</v>
      </c>
      <c r="H50" s="191">
        <v>2</v>
      </c>
      <c r="I50" s="191">
        <v>0</v>
      </c>
      <c r="J50" s="191">
        <v>2</v>
      </c>
      <c r="K50" s="191">
        <v>0</v>
      </c>
      <c r="L50" s="191">
        <v>0</v>
      </c>
      <c r="M50" s="7">
        <f t="shared" ref="M50:M55" si="15">SUM(D50:I50)</f>
        <v>16</v>
      </c>
      <c r="N50" s="8">
        <f t="shared" ref="N50:N56" si="16">((M50/C50)*100)</f>
        <v>88.888888888888886</v>
      </c>
      <c r="O50" s="7">
        <f t="shared" ref="O50:O55" si="17">SUM(D50:K50)</f>
        <v>18</v>
      </c>
      <c r="P50" s="8">
        <f t="shared" ref="P50:P56" si="18">((O50/C50)*100)</f>
        <v>100</v>
      </c>
    </row>
    <row r="51" spans="1:16">
      <c r="A51" s="201" t="s">
        <v>23</v>
      </c>
      <c r="B51" s="195" t="s">
        <v>61</v>
      </c>
      <c r="C51" s="192">
        <v>20</v>
      </c>
      <c r="D51" s="192" cm="1">
        <f t="array" ref="D51:L51">TRANSPOSE([2]Master!$P$47:$P$55)</f>
        <v>1</v>
      </c>
      <c r="E51" s="192">
        <v>2</v>
      </c>
      <c r="F51" s="192">
        <v>1</v>
      </c>
      <c r="G51" s="192">
        <v>3</v>
      </c>
      <c r="H51" s="192">
        <v>4</v>
      </c>
      <c r="I51" s="192">
        <v>3</v>
      </c>
      <c r="J51" s="192">
        <v>3</v>
      </c>
      <c r="K51" s="192">
        <v>3</v>
      </c>
      <c r="L51" s="192">
        <v>0</v>
      </c>
      <c r="M51" s="7">
        <f t="shared" si="15"/>
        <v>14</v>
      </c>
      <c r="N51" s="8">
        <f t="shared" si="16"/>
        <v>70</v>
      </c>
      <c r="O51" s="7">
        <f t="shared" si="17"/>
        <v>20</v>
      </c>
      <c r="P51" s="8">
        <f t="shared" si="18"/>
        <v>100</v>
      </c>
    </row>
    <row r="52" spans="1:16">
      <c r="A52" s="201" t="s">
        <v>25</v>
      </c>
      <c r="B52" s="196" t="s">
        <v>62</v>
      </c>
      <c r="C52" s="192">
        <v>19</v>
      </c>
      <c r="D52" s="192" cm="1">
        <f t="array" ref="D52:L52">TRANSPOSE([3]Master!$P$47:$P$55)</f>
        <v>0</v>
      </c>
      <c r="E52" s="192">
        <v>1</v>
      </c>
      <c r="F52" s="192">
        <v>0</v>
      </c>
      <c r="G52" s="192">
        <v>3</v>
      </c>
      <c r="H52" s="192">
        <v>0</v>
      </c>
      <c r="I52" s="192">
        <v>0</v>
      </c>
      <c r="J52" s="192">
        <v>3</v>
      </c>
      <c r="K52" s="192">
        <v>5</v>
      </c>
      <c r="L52" s="192">
        <v>7</v>
      </c>
      <c r="M52" s="7">
        <f t="shared" si="15"/>
        <v>4</v>
      </c>
      <c r="N52" s="8">
        <f t="shared" si="16"/>
        <v>21.052631578947366</v>
      </c>
      <c r="O52" s="7">
        <f t="shared" si="17"/>
        <v>12</v>
      </c>
      <c r="P52" s="8">
        <f t="shared" si="18"/>
        <v>63.157894736842103</v>
      </c>
    </row>
    <row r="53" spans="1:16">
      <c r="A53" s="201" t="s">
        <v>27</v>
      </c>
      <c r="B53" s="196" t="s">
        <v>62</v>
      </c>
      <c r="C53" s="192">
        <v>24</v>
      </c>
      <c r="D53" s="192" cm="1">
        <f t="array" ref="D53:L53">TRANSPOSE([4]Master!$P$47:$P$55)</f>
        <v>0</v>
      </c>
      <c r="E53" s="192">
        <v>0</v>
      </c>
      <c r="F53" s="192">
        <v>1</v>
      </c>
      <c r="G53" s="192">
        <v>0</v>
      </c>
      <c r="H53" s="192">
        <v>0</v>
      </c>
      <c r="I53" s="192">
        <v>0</v>
      </c>
      <c r="J53" s="192">
        <v>3</v>
      </c>
      <c r="K53" s="192">
        <v>8</v>
      </c>
      <c r="L53" s="192">
        <v>12</v>
      </c>
      <c r="M53" s="7">
        <f t="shared" si="15"/>
        <v>1</v>
      </c>
      <c r="N53" s="8">
        <f t="shared" si="16"/>
        <v>4.1666666666666661</v>
      </c>
      <c r="O53" s="7">
        <f t="shared" si="17"/>
        <v>12</v>
      </c>
      <c r="P53" s="8">
        <f t="shared" si="18"/>
        <v>50</v>
      </c>
    </row>
    <row r="54" spans="1:16">
      <c r="A54" s="165" t="s">
        <v>29</v>
      </c>
      <c r="B54" s="196" t="s">
        <v>62</v>
      </c>
      <c r="C54" s="192">
        <v>19</v>
      </c>
      <c r="D54" s="192" cm="1">
        <f t="array" ref="D54:L54">TRANSPOSE([5]Master!$P$47:$P$55)</f>
        <v>0</v>
      </c>
      <c r="E54" s="192">
        <v>0</v>
      </c>
      <c r="F54" s="192">
        <v>4</v>
      </c>
      <c r="G54" s="192">
        <v>2</v>
      </c>
      <c r="H54" s="192">
        <v>2</v>
      </c>
      <c r="I54" s="192">
        <v>0</v>
      </c>
      <c r="J54" s="192">
        <v>1</v>
      </c>
      <c r="K54" s="192">
        <v>4</v>
      </c>
      <c r="L54" s="192">
        <v>6</v>
      </c>
      <c r="M54" s="7">
        <f t="shared" si="15"/>
        <v>8</v>
      </c>
      <c r="N54" s="8">
        <f t="shared" si="16"/>
        <v>42.105263157894733</v>
      </c>
      <c r="O54" s="7">
        <f t="shared" si="17"/>
        <v>13</v>
      </c>
      <c r="P54" s="8">
        <f t="shared" si="18"/>
        <v>68.421052631578945</v>
      </c>
    </row>
    <row r="55" spans="1:16">
      <c r="A55" s="165" t="s">
        <v>30</v>
      </c>
      <c r="B55" s="196" t="s">
        <v>61</v>
      </c>
      <c r="C55" s="192">
        <v>26</v>
      </c>
      <c r="D55" s="192" cm="1">
        <f t="array" ref="D55:L55">TRANSPOSE([6]Master!$P$45:$P$53)</f>
        <v>0</v>
      </c>
      <c r="E55" s="192">
        <v>0</v>
      </c>
      <c r="F55" s="192">
        <v>0</v>
      </c>
      <c r="G55" s="192">
        <v>1</v>
      </c>
      <c r="H55" s="192">
        <v>0</v>
      </c>
      <c r="I55" s="192">
        <v>1</v>
      </c>
      <c r="J55" s="192">
        <v>4</v>
      </c>
      <c r="K55" s="192">
        <v>8</v>
      </c>
      <c r="L55" s="192">
        <v>10</v>
      </c>
      <c r="M55" s="7">
        <f t="shared" si="15"/>
        <v>2</v>
      </c>
      <c r="N55" s="8">
        <f t="shared" si="16"/>
        <v>7.6923076923076925</v>
      </c>
      <c r="O55" s="7">
        <f t="shared" si="17"/>
        <v>14</v>
      </c>
      <c r="P55" s="8">
        <f t="shared" si="18"/>
        <v>53.846153846153847</v>
      </c>
    </row>
    <row r="56" spans="1:16">
      <c r="A56" s="160"/>
      <c r="B56" s="165" t="s">
        <v>33</v>
      </c>
      <c r="C56" s="165">
        <f>SUM(C50:C55)</f>
        <v>126</v>
      </c>
      <c r="D56" s="165">
        <f t="shared" ref="D56:L56" si="19">SUM(D50:D55)</f>
        <v>3</v>
      </c>
      <c r="E56" s="165">
        <f t="shared" si="19"/>
        <v>9</v>
      </c>
      <c r="F56" s="165">
        <f t="shared" si="19"/>
        <v>7</v>
      </c>
      <c r="G56" s="165">
        <f t="shared" si="19"/>
        <v>14</v>
      </c>
      <c r="H56" s="165">
        <f t="shared" si="19"/>
        <v>8</v>
      </c>
      <c r="I56" s="165">
        <f t="shared" si="19"/>
        <v>4</v>
      </c>
      <c r="J56" s="165">
        <f t="shared" si="19"/>
        <v>16</v>
      </c>
      <c r="K56" s="165">
        <f t="shared" si="19"/>
        <v>28</v>
      </c>
      <c r="L56" s="165">
        <f t="shared" si="19"/>
        <v>35</v>
      </c>
      <c r="M56" s="165">
        <f>SUM(M50:M55)</f>
        <v>45</v>
      </c>
      <c r="N56" s="9">
        <f t="shared" si="16"/>
        <v>35.714285714285715</v>
      </c>
      <c r="O56" s="165">
        <f>SUM(O50:O55)</f>
        <v>89</v>
      </c>
      <c r="P56" s="9">
        <f t="shared" si="18"/>
        <v>70.634920634920633</v>
      </c>
    </row>
    <row r="57" spans="1:16" ht="24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1"/>
      <c r="O57" s="10"/>
      <c r="P57" s="11"/>
    </row>
    <row r="58" spans="1:16" ht="18">
      <c r="A58" s="152" t="s">
        <v>63</v>
      </c>
      <c r="B58" s="20"/>
      <c r="C58" s="2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1"/>
      <c r="O58" s="10"/>
      <c r="P58" s="11"/>
    </row>
    <row r="59" spans="1:16">
      <c r="A59" s="50"/>
      <c r="B59" s="50"/>
      <c r="C59" s="50"/>
      <c r="D59" s="246" t="s">
        <v>51</v>
      </c>
      <c r="E59" s="246"/>
      <c r="F59" s="246"/>
      <c r="G59" s="246"/>
      <c r="H59" s="246"/>
      <c r="I59" s="246"/>
      <c r="J59" s="1"/>
      <c r="K59" s="1"/>
      <c r="L59" s="10"/>
      <c r="M59" s="10"/>
      <c r="N59" s="11"/>
      <c r="O59" s="10"/>
      <c r="P59" s="11"/>
    </row>
    <row r="60" spans="1:16" ht="25.5">
      <c r="A60" s="57" t="s">
        <v>5</v>
      </c>
      <c r="B60" s="57" t="s">
        <v>6</v>
      </c>
      <c r="C60" s="57" t="s">
        <v>7</v>
      </c>
      <c r="D60" s="57" t="s">
        <v>44</v>
      </c>
      <c r="E60" s="57" t="s">
        <v>45</v>
      </c>
      <c r="F60" s="57" t="s">
        <v>46</v>
      </c>
      <c r="G60" s="57" t="s">
        <v>47</v>
      </c>
      <c r="H60" s="57" t="s">
        <v>48</v>
      </c>
      <c r="I60" s="57" t="s">
        <v>16</v>
      </c>
      <c r="J60" s="58"/>
      <c r="K60" s="58"/>
      <c r="L60" s="58"/>
      <c r="M60" s="48" t="s">
        <v>64</v>
      </c>
      <c r="N60" s="48" t="s">
        <v>65</v>
      </c>
      <c r="O60" s="48" t="s">
        <v>66</v>
      </c>
      <c r="P60" s="106" t="s">
        <v>67</v>
      </c>
    </row>
    <row r="61" spans="1:16">
      <c r="A61" s="51" t="s">
        <v>31</v>
      </c>
      <c r="B61" s="193" t="s">
        <v>68</v>
      </c>
      <c r="C61" s="191">
        <v>21</v>
      </c>
      <c r="D61" s="191" cm="1">
        <f t="array" ref="D61:I61">TRANSPOSE([7]Master!$P$45:$P$50)</f>
        <v>6</v>
      </c>
      <c r="E61" s="191">
        <v>6</v>
      </c>
      <c r="F61" s="191">
        <v>4</v>
      </c>
      <c r="G61" s="191">
        <v>3</v>
      </c>
      <c r="H61" s="191">
        <v>0</v>
      </c>
      <c r="I61" s="191">
        <v>0</v>
      </c>
      <c r="J61" s="60"/>
      <c r="K61" s="60"/>
      <c r="L61" s="60"/>
      <c r="M61" s="142">
        <f>D61</f>
        <v>6</v>
      </c>
      <c r="N61" s="143">
        <f>((M61/C61)*100)</f>
        <v>28.571428571428569</v>
      </c>
      <c r="O61" s="142">
        <f>SUM(D61:H61)</f>
        <v>19</v>
      </c>
      <c r="P61" s="143">
        <f>((O61/C61)*100)</f>
        <v>90.476190476190482</v>
      </c>
    </row>
    <row r="62" spans="1:16">
      <c r="A62" s="51" t="s">
        <v>32</v>
      </c>
      <c r="B62" s="190" t="s">
        <v>68</v>
      </c>
      <c r="C62" s="191">
        <v>18</v>
      </c>
      <c r="D62" s="191" cm="1">
        <f t="array" ref="D62:I62">TRANSPOSE([8]Master!$P$47:$P$52)</f>
        <v>10</v>
      </c>
      <c r="E62" s="191">
        <v>5</v>
      </c>
      <c r="F62" s="191">
        <v>3</v>
      </c>
      <c r="G62" s="191">
        <v>0</v>
      </c>
      <c r="H62" s="191">
        <v>1</v>
      </c>
      <c r="I62" s="191">
        <v>0</v>
      </c>
      <c r="J62" s="60"/>
      <c r="K62" s="60"/>
      <c r="L62" s="60"/>
      <c r="M62" s="142">
        <f>D62</f>
        <v>10</v>
      </c>
      <c r="N62" s="143">
        <f>((M62/C62)*100)</f>
        <v>55.555555555555557</v>
      </c>
      <c r="O62" s="142">
        <f>SUM(D62:H62)</f>
        <v>19</v>
      </c>
      <c r="P62" s="143">
        <f>((O62/C62)*100)</f>
        <v>105.55555555555556</v>
      </c>
    </row>
    <row r="63" spans="1:16" s="5" customFormat="1">
      <c r="A63" s="165"/>
      <c r="B63" s="165" t="s">
        <v>33</v>
      </c>
      <c r="C63" s="165">
        <f>SUM(C61:C62)</f>
        <v>39</v>
      </c>
      <c r="D63" s="165">
        <f t="shared" ref="D63:I63" si="20">SUM(D61:D62)</f>
        <v>16</v>
      </c>
      <c r="E63" s="165">
        <f t="shared" si="20"/>
        <v>11</v>
      </c>
      <c r="F63" s="165">
        <f t="shared" si="20"/>
        <v>7</v>
      </c>
      <c r="G63" s="165">
        <f t="shared" si="20"/>
        <v>3</v>
      </c>
      <c r="H63" s="165">
        <f t="shared" si="20"/>
        <v>1</v>
      </c>
      <c r="I63" s="165">
        <f t="shared" si="20"/>
        <v>0</v>
      </c>
      <c r="J63" s="59"/>
      <c r="K63" s="59"/>
      <c r="L63" s="59"/>
      <c r="M63" s="165">
        <f>SUM(M61:M62)</f>
        <v>16</v>
      </c>
      <c r="N63" s="9">
        <f>((M63/C63)*100)</f>
        <v>41.025641025641022</v>
      </c>
      <c r="O63" s="165">
        <f>SUM(O61:O62)</f>
        <v>38</v>
      </c>
      <c r="P63" s="9">
        <f>((O63/C63)*100)</f>
        <v>97.435897435897431</v>
      </c>
    </row>
    <row r="64" spans="1:16" s="5" customFormat="1" ht="21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1"/>
      <c r="O64" s="10"/>
      <c r="P64" s="11"/>
    </row>
    <row r="65" spans="1:16" s="5" customFormat="1" ht="18">
      <c r="A65" s="153" t="s">
        <v>69</v>
      </c>
      <c r="B65" s="144"/>
      <c r="N65" s="49"/>
      <c r="P65" s="49"/>
    </row>
    <row r="66" spans="1:16" s="36" customFormat="1">
      <c r="D66" s="240" t="s">
        <v>1</v>
      </c>
      <c r="E66" s="241"/>
      <c r="F66" s="240" t="s">
        <v>2</v>
      </c>
      <c r="G66" s="244"/>
      <c r="H66" s="244"/>
      <c r="I66" s="241"/>
      <c r="J66" s="240" t="s">
        <v>3</v>
      </c>
      <c r="K66" s="241"/>
      <c r="L66" s="57" t="s">
        <v>4</v>
      </c>
      <c r="P66" s="108"/>
    </row>
    <row r="67" spans="1:16" s="5" customFormat="1" ht="25.5">
      <c r="A67" s="57" t="s">
        <v>5</v>
      </c>
      <c r="B67" s="57" t="s">
        <v>6</v>
      </c>
      <c r="C67" s="57" t="s">
        <v>7</v>
      </c>
      <c r="D67" s="57" t="s">
        <v>8</v>
      </c>
      <c r="E67" s="57" t="s">
        <v>9</v>
      </c>
      <c r="F67" s="57" t="s">
        <v>10</v>
      </c>
      <c r="G67" s="57" t="s">
        <v>11</v>
      </c>
      <c r="H67" s="57" t="s">
        <v>12</v>
      </c>
      <c r="I67" s="57" t="s">
        <v>13</v>
      </c>
      <c r="J67" s="57" t="s">
        <v>14</v>
      </c>
      <c r="K67" s="57" t="s">
        <v>15</v>
      </c>
      <c r="L67" s="57" t="s">
        <v>16</v>
      </c>
      <c r="M67" s="48" t="s">
        <v>17</v>
      </c>
      <c r="N67" s="48" t="s">
        <v>18</v>
      </c>
      <c r="O67" s="48" t="s">
        <v>19</v>
      </c>
      <c r="P67" s="106" t="s">
        <v>20</v>
      </c>
    </row>
    <row r="68" spans="1:16" s="5" customFormat="1">
      <c r="A68" s="57" t="s">
        <v>21</v>
      </c>
      <c r="B68" s="190" t="s">
        <v>70</v>
      </c>
      <c r="C68" s="191">
        <v>18</v>
      </c>
      <c r="D68" s="191">
        <v>0</v>
      </c>
      <c r="E68" s="62">
        <v>0</v>
      </c>
      <c r="F68" s="62">
        <v>0</v>
      </c>
      <c r="G68" s="62">
        <v>2</v>
      </c>
      <c r="H68" s="62">
        <v>0</v>
      </c>
      <c r="I68" s="62">
        <v>1</v>
      </c>
      <c r="J68" s="191">
        <v>2</v>
      </c>
      <c r="K68" s="191">
        <v>4</v>
      </c>
      <c r="L68" s="191">
        <v>9</v>
      </c>
      <c r="M68" s="7">
        <f>SUM(D68:I68)</f>
        <v>3</v>
      </c>
      <c r="N68" s="8">
        <f>((M68/C68)*100)</f>
        <v>16.666666666666664</v>
      </c>
      <c r="O68" s="7">
        <f>SUM(D68:K68)</f>
        <v>9</v>
      </c>
      <c r="P68" s="8">
        <f>((O68/C68)*100)</f>
        <v>50</v>
      </c>
    </row>
    <row r="69" spans="1:16">
      <c r="A69" s="160"/>
      <c r="B69" s="161" t="s">
        <v>33</v>
      </c>
      <c r="C69" s="165">
        <f t="shared" ref="C69:L69" si="21">SUM(C68:C68)</f>
        <v>18</v>
      </c>
      <c r="D69" s="165">
        <f>SUM(D68:D68)</f>
        <v>0</v>
      </c>
      <c r="E69" s="165">
        <f t="shared" si="21"/>
        <v>0</v>
      </c>
      <c r="F69" s="165">
        <f t="shared" si="21"/>
        <v>0</v>
      </c>
      <c r="G69" s="165">
        <f t="shared" si="21"/>
        <v>2</v>
      </c>
      <c r="H69" s="165">
        <f t="shared" si="21"/>
        <v>0</v>
      </c>
      <c r="I69" s="165">
        <f t="shared" si="21"/>
        <v>1</v>
      </c>
      <c r="J69" s="165">
        <f t="shared" si="21"/>
        <v>2</v>
      </c>
      <c r="K69" s="165">
        <f t="shared" si="21"/>
        <v>4</v>
      </c>
      <c r="L69" s="165">
        <f t="shared" si="21"/>
        <v>9</v>
      </c>
      <c r="M69" s="165">
        <f>SUM(M68:M68)</f>
        <v>3</v>
      </c>
      <c r="N69" s="9">
        <f>((M69/C69)*100)</f>
        <v>16.666666666666664</v>
      </c>
      <c r="O69" s="165">
        <f>SUM(O68:O68)</f>
        <v>9</v>
      </c>
      <c r="P69" s="9">
        <f>((O69/C69)*100)</f>
        <v>50</v>
      </c>
    </row>
    <row r="70" spans="1:16" ht="18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1"/>
      <c r="O70" s="10"/>
      <c r="P70" s="11"/>
    </row>
    <row r="71" spans="1:16" s="61" customFormat="1" ht="18">
      <c r="A71" s="152" t="s">
        <v>71</v>
      </c>
      <c r="P71" s="109"/>
    </row>
    <row r="72" spans="1:16">
      <c r="D72" s="229" t="s">
        <v>1</v>
      </c>
      <c r="E72" s="230"/>
      <c r="F72" s="229" t="s">
        <v>2</v>
      </c>
      <c r="G72" s="239"/>
      <c r="H72" s="239"/>
      <c r="I72" s="230"/>
      <c r="J72" s="229" t="s">
        <v>3</v>
      </c>
      <c r="K72" s="230"/>
      <c r="L72" s="165" t="s">
        <v>4</v>
      </c>
    </row>
    <row r="73" spans="1:16" ht="22.5" customHeight="1">
      <c r="A73" s="57" t="s">
        <v>5</v>
      </c>
      <c r="B73" s="57" t="s">
        <v>6</v>
      </c>
      <c r="C73" s="57" t="s">
        <v>7</v>
      </c>
      <c r="D73" s="57" t="s">
        <v>8</v>
      </c>
      <c r="E73" s="57" t="s">
        <v>9</v>
      </c>
      <c r="F73" s="57" t="s">
        <v>10</v>
      </c>
      <c r="G73" s="57" t="s">
        <v>11</v>
      </c>
      <c r="H73" s="57" t="s">
        <v>12</v>
      </c>
      <c r="I73" s="57" t="s">
        <v>13</v>
      </c>
      <c r="J73" s="57" t="s">
        <v>14</v>
      </c>
      <c r="K73" s="57" t="s">
        <v>15</v>
      </c>
      <c r="L73" s="57" t="s">
        <v>16</v>
      </c>
      <c r="M73" s="48" t="s">
        <v>17</v>
      </c>
      <c r="N73" s="48" t="s">
        <v>18</v>
      </c>
      <c r="O73" s="48" t="s">
        <v>19</v>
      </c>
      <c r="P73" s="106" t="s">
        <v>20</v>
      </c>
    </row>
    <row r="74" spans="1:16" s="5" customFormat="1">
      <c r="A74" s="165" t="s">
        <v>21</v>
      </c>
      <c r="B74" s="62" t="s">
        <v>72</v>
      </c>
      <c r="C74" s="62">
        <v>18</v>
      </c>
      <c r="D74" s="62" cm="1">
        <f t="array" ref="D74:L74">TRANSPOSE([1]Master!$V$47:$V$55)</f>
        <v>0</v>
      </c>
      <c r="E74" s="62">
        <v>1</v>
      </c>
      <c r="F74" s="62">
        <v>1</v>
      </c>
      <c r="G74" s="62">
        <v>3</v>
      </c>
      <c r="H74" s="62">
        <v>4</v>
      </c>
      <c r="I74" s="62">
        <v>5</v>
      </c>
      <c r="J74" s="62">
        <v>4</v>
      </c>
      <c r="K74" s="62">
        <v>0</v>
      </c>
      <c r="L74" s="62">
        <v>0</v>
      </c>
      <c r="M74" s="7">
        <f>SUM(D74:I74)</f>
        <v>14</v>
      </c>
      <c r="N74" s="8">
        <f t="shared" ref="N74:N79" si="22">((M74/C74)*100)</f>
        <v>77.777777777777786</v>
      </c>
      <c r="O74" s="7">
        <f>SUM(D74:K74)</f>
        <v>18</v>
      </c>
      <c r="P74" s="8">
        <f t="shared" ref="P74:P79" si="23">((O74/C74)*100)</f>
        <v>100</v>
      </c>
    </row>
    <row r="75" spans="1:16" s="5" customFormat="1">
      <c r="A75" s="201" t="s">
        <v>23</v>
      </c>
      <c r="B75" s="62" t="s">
        <v>72</v>
      </c>
      <c r="C75" s="62">
        <v>20</v>
      </c>
      <c r="D75" s="62" cm="1">
        <f t="array" ref="D75:L75">TRANSPOSE([2]Master!$V$47:$V$55)</f>
        <v>0</v>
      </c>
      <c r="E75" s="62">
        <v>0</v>
      </c>
      <c r="F75" s="62">
        <v>0</v>
      </c>
      <c r="G75" s="62">
        <v>0</v>
      </c>
      <c r="H75" s="62">
        <v>3</v>
      </c>
      <c r="I75" s="62">
        <v>4</v>
      </c>
      <c r="J75" s="62">
        <v>7</v>
      </c>
      <c r="K75" s="62">
        <v>4</v>
      </c>
      <c r="L75" s="62">
        <v>2</v>
      </c>
      <c r="M75" s="7">
        <f>SUM(D75:I75)</f>
        <v>7</v>
      </c>
      <c r="N75" s="8">
        <f t="shared" si="22"/>
        <v>35</v>
      </c>
      <c r="O75" s="7">
        <f>SUM(D75:K75)</f>
        <v>18</v>
      </c>
      <c r="P75" s="8">
        <f t="shared" si="23"/>
        <v>90</v>
      </c>
    </row>
    <row r="76" spans="1:16" s="5" customFormat="1">
      <c r="A76" s="201" t="s">
        <v>25</v>
      </c>
      <c r="B76" s="62" t="s">
        <v>72</v>
      </c>
      <c r="C76" s="62">
        <v>19</v>
      </c>
      <c r="D76" s="62" cm="1">
        <f t="array" ref="D76:L76">TRANSPOSE([3]Master!$V$47:$V$55)</f>
        <v>0</v>
      </c>
      <c r="E76" s="62">
        <v>0</v>
      </c>
      <c r="F76" s="62">
        <v>0</v>
      </c>
      <c r="G76" s="62">
        <v>1</v>
      </c>
      <c r="H76" s="62">
        <v>1</v>
      </c>
      <c r="I76" s="62">
        <v>1</v>
      </c>
      <c r="J76" s="62">
        <v>5</v>
      </c>
      <c r="K76" s="62">
        <v>10</v>
      </c>
      <c r="L76" s="62">
        <v>1</v>
      </c>
      <c r="M76" s="7">
        <f>SUM(D76:I76)</f>
        <v>3</v>
      </c>
      <c r="N76" s="8">
        <f t="shared" si="22"/>
        <v>15.789473684210526</v>
      </c>
      <c r="O76" s="7">
        <f>SUM(D76:K76)</f>
        <v>18</v>
      </c>
      <c r="P76" s="8">
        <f t="shared" si="23"/>
        <v>94.73684210526315</v>
      </c>
    </row>
    <row r="77" spans="1:16" s="5" customFormat="1">
      <c r="A77" s="165" t="s">
        <v>29</v>
      </c>
      <c r="B77" s="200" t="s">
        <v>73</v>
      </c>
      <c r="C77" s="62">
        <v>19</v>
      </c>
      <c r="D77" s="62" cm="1">
        <f t="array" ref="D77:L77">TRANSPOSE([5]Master!$V$47:$V$55)</f>
        <v>0</v>
      </c>
      <c r="E77" s="62">
        <v>0</v>
      </c>
      <c r="F77" s="62">
        <v>0</v>
      </c>
      <c r="G77" s="62">
        <v>0</v>
      </c>
      <c r="H77" s="62">
        <v>0</v>
      </c>
      <c r="I77" s="62">
        <v>1</v>
      </c>
      <c r="J77" s="62">
        <v>2</v>
      </c>
      <c r="K77" s="62">
        <v>6</v>
      </c>
      <c r="L77" s="62">
        <v>10</v>
      </c>
      <c r="M77" s="7">
        <f>SUM(D77:I77)</f>
        <v>1</v>
      </c>
      <c r="N77" s="8">
        <f t="shared" si="22"/>
        <v>5.2631578947368416</v>
      </c>
      <c r="O77" s="7">
        <f>SUM(D77:K77)</f>
        <v>9</v>
      </c>
      <c r="P77" s="8">
        <f t="shared" si="23"/>
        <v>47.368421052631575</v>
      </c>
    </row>
    <row r="78" spans="1:16" s="5" customFormat="1">
      <c r="A78" s="165" t="s">
        <v>30</v>
      </c>
      <c r="B78" s="200" t="s">
        <v>73</v>
      </c>
      <c r="C78" s="62">
        <v>25</v>
      </c>
      <c r="D78" s="62" cm="1">
        <f t="array" ref="D78:L78">TRANSPOSE([6]Master!$V$45:$V$53)</f>
        <v>0</v>
      </c>
      <c r="E78" s="62">
        <v>0</v>
      </c>
      <c r="F78" s="62">
        <v>0</v>
      </c>
      <c r="G78" s="62">
        <v>0</v>
      </c>
      <c r="H78" s="62">
        <v>0</v>
      </c>
      <c r="I78" s="62">
        <v>0</v>
      </c>
      <c r="J78" s="62">
        <v>5</v>
      </c>
      <c r="K78" s="62">
        <v>5</v>
      </c>
      <c r="L78" s="62">
        <v>14</v>
      </c>
      <c r="M78" s="7">
        <f>SUM(D78:I78)</f>
        <v>0</v>
      </c>
      <c r="N78" s="8">
        <f t="shared" si="22"/>
        <v>0</v>
      </c>
      <c r="O78" s="7">
        <f>SUM(D78:K78)</f>
        <v>10</v>
      </c>
      <c r="P78" s="8">
        <f t="shared" si="23"/>
        <v>40</v>
      </c>
    </row>
    <row r="79" spans="1:16">
      <c r="A79" s="160"/>
      <c r="B79" s="161" t="s">
        <v>33</v>
      </c>
      <c r="C79" s="165">
        <f>SUM(C74:C78)</f>
        <v>101</v>
      </c>
      <c r="D79" s="165">
        <f>SUM(D74:D78)</f>
        <v>0</v>
      </c>
      <c r="E79" s="165">
        <f t="shared" ref="E79:L79" si="24">SUM(E74:E78)</f>
        <v>1</v>
      </c>
      <c r="F79" s="165">
        <f t="shared" si="24"/>
        <v>1</v>
      </c>
      <c r="G79" s="165">
        <f t="shared" si="24"/>
        <v>4</v>
      </c>
      <c r="H79" s="165">
        <f t="shared" si="24"/>
        <v>8</v>
      </c>
      <c r="I79" s="165">
        <f t="shared" si="24"/>
        <v>11</v>
      </c>
      <c r="J79" s="165">
        <f t="shared" si="24"/>
        <v>23</v>
      </c>
      <c r="K79" s="165">
        <f t="shared" si="24"/>
        <v>25</v>
      </c>
      <c r="L79" s="165">
        <f t="shared" si="24"/>
        <v>27</v>
      </c>
      <c r="M79" s="165">
        <f>SUM(M74:M78)</f>
        <v>25</v>
      </c>
      <c r="N79" s="9">
        <f t="shared" si="22"/>
        <v>24.752475247524753</v>
      </c>
      <c r="O79" s="165">
        <f>SUM(O74:O78)</f>
        <v>73</v>
      </c>
      <c r="P79" s="9">
        <f t="shared" si="23"/>
        <v>72.277227722772281</v>
      </c>
    </row>
    <row r="80" spans="1:16" ht="5.2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1"/>
      <c r="O80" s="10"/>
      <c r="P80" s="11"/>
    </row>
    <row r="81" spans="1:16" ht="5.2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1"/>
      <c r="O81" s="10"/>
      <c r="P81" s="11"/>
    </row>
    <row r="82" spans="1:16" ht="22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1"/>
      <c r="O82" s="10"/>
      <c r="P82" s="11"/>
    </row>
    <row r="83" spans="1:16" ht="14.25" customHeight="1">
      <c r="A83" s="152" t="s">
        <v>74</v>
      </c>
    </row>
    <row r="84" spans="1:16">
      <c r="D84" s="229" t="s">
        <v>1</v>
      </c>
      <c r="E84" s="230"/>
      <c r="F84" s="229" t="s">
        <v>2</v>
      </c>
      <c r="G84" s="239"/>
      <c r="H84" s="239"/>
      <c r="I84" s="230"/>
      <c r="J84" s="229" t="s">
        <v>3</v>
      </c>
      <c r="K84" s="230"/>
      <c r="L84" s="165" t="s">
        <v>4</v>
      </c>
    </row>
    <row r="85" spans="1:16" ht="22.5" customHeight="1">
      <c r="A85" s="57" t="s">
        <v>5</v>
      </c>
      <c r="B85" s="57" t="s">
        <v>6</v>
      </c>
      <c r="C85" s="57" t="s">
        <v>7</v>
      </c>
      <c r="D85" s="57" t="s">
        <v>8</v>
      </c>
      <c r="E85" s="57" t="s">
        <v>9</v>
      </c>
      <c r="F85" s="57" t="s">
        <v>10</v>
      </c>
      <c r="G85" s="57" t="s">
        <v>11</v>
      </c>
      <c r="H85" s="57" t="s">
        <v>12</v>
      </c>
      <c r="I85" s="57" t="s">
        <v>13</v>
      </c>
      <c r="J85" s="57" t="s">
        <v>14</v>
      </c>
      <c r="K85" s="57" t="s">
        <v>15</v>
      </c>
      <c r="L85" s="57" t="s">
        <v>16</v>
      </c>
      <c r="M85" s="48" t="s">
        <v>17</v>
      </c>
      <c r="N85" s="48" t="s">
        <v>18</v>
      </c>
      <c r="O85" s="48" t="s">
        <v>19</v>
      </c>
      <c r="P85" s="106" t="s">
        <v>20</v>
      </c>
    </row>
    <row r="86" spans="1:16" s="5" customFormat="1">
      <c r="A86" s="165" t="s">
        <v>21</v>
      </c>
      <c r="B86" s="62" t="s">
        <v>75</v>
      </c>
      <c r="C86" s="62">
        <v>18</v>
      </c>
      <c r="D86" s="62" cm="1">
        <f t="array" ref="D86:L86">TRANSPOSE([1]Master!$Y$47:$Y$55)</f>
        <v>0</v>
      </c>
      <c r="E86" s="62">
        <v>0</v>
      </c>
      <c r="F86" s="62">
        <v>1</v>
      </c>
      <c r="G86" s="62">
        <v>3</v>
      </c>
      <c r="H86" s="62">
        <v>1</v>
      </c>
      <c r="I86" s="62">
        <v>1</v>
      </c>
      <c r="J86" s="62">
        <v>8</v>
      </c>
      <c r="K86" s="62">
        <v>3</v>
      </c>
      <c r="L86" s="62">
        <v>1</v>
      </c>
      <c r="M86" s="7">
        <f>SUM(D86:I86)</f>
        <v>6</v>
      </c>
      <c r="N86" s="8">
        <f>((M86/C86)*100)</f>
        <v>33.333333333333329</v>
      </c>
      <c r="O86" s="7">
        <f>SUM(D86:K86)</f>
        <v>17</v>
      </c>
      <c r="P86" s="8">
        <f>((O86/C86)*100)</f>
        <v>94.444444444444443</v>
      </c>
    </row>
    <row r="87" spans="1:16" s="5" customFormat="1">
      <c r="A87" s="201" t="s">
        <v>23</v>
      </c>
      <c r="B87" s="62" t="s">
        <v>76</v>
      </c>
      <c r="C87" s="62">
        <v>20</v>
      </c>
      <c r="D87" s="62" cm="1">
        <f t="array" ref="D87:L87">TRANSPOSE([2]Master!$Y$47:$Y$55)</f>
        <v>0</v>
      </c>
      <c r="E87" s="62">
        <v>0</v>
      </c>
      <c r="F87" s="62">
        <v>0</v>
      </c>
      <c r="G87" s="62">
        <v>0</v>
      </c>
      <c r="H87" s="62">
        <v>0</v>
      </c>
      <c r="I87" s="62">
        <v>1</v>
      </c>
      <c r="J87" s="62">
        <v>5</v>
      </c>
      <c r="K87" s="62">
        <v>9</v>
      </c>
      <c r="L87" s="62">
        <v>5</v>
      </c>
      <c r="M87" s="7">
        <f>SUM(D87:I87)</f>
        <v>1</v>
      </c>
      <c r="N87" s="8">
        <f>((M87/C87)*100)</f>
        <v>5</v>
      </c>
      <c r="O87" s="7">
        <f>SUM(D87:K87)</f>
        <v>15</v>
      </c>
      <c r="P87" s="8">
        <f>((O87/C87)*100)</f>
        <v>75</v>
      </c>
    </row>
    <row r="88" spans="1:16" s="5" customFormat="1">
      <c r="A88" s="201" t="s">
        <v>25</v>
      </c>
      <c r="B88" s="62" t="s">
        <v>76</v>
      </c>
      <c r="C88" s="62">
        <v>19</v>
      </c>
      <c r="D88" s="62" cm="1">
        <f t="array" ref="D88:L88">TRANSPOSE([3]Master!$Y$47:$Y$55)</f>
        <v>0</v>
      </c>
      <c r="E88" s="62">
        <v>0</v>
      </c>
      <c r="F88" s="62">
        <v>0</v>
      </c>
      <c r="G88" s="62">
        <v>1</v>
      </c>
      <c r="H88" s="62">
        <v>2</v>
      </c>
      <c r="I88" s="62">
        <v>1</v>
      </c>
      <c r="J88" s="62">
        <v>5</v>
      </c>
      <c r="K88" s="62">
        <v>6</v>
      </c>
      <c r="L88" s="62">
        <v>4</v>
      </c>
      <c r="M88" s="7">
        <f>SUM(D88:I88)</f>
        <v>4</v>
      </c>
      <c r="N88" s="8">
        <f>((M88/C88)*100)</f>
        <v>21.052631578947366</v>
      </c>
      <c r="O88" s="7">
        <f>SUM(D88:K88)</f>
        <v>15</v>
      </c>
      <c r="P88" s="8">
        <f>((O88/C88)*100)</f>
        <v>78.94736842105263</v>
      </c>
    </row>
    <row r="89" spans="1:16" s="5" customFormat="1">
      <c r="A89" s="201" t="s">
        <v>27</v>
      </c>
      <c r="B89" s="200" t="s">
        <v>77</v>
      </c>
      <c r="C89" s="62">
        <v>24</v>
      </c>
      <c r="D89" s="62">
        <v>0</v>
      </c>
      <c r="E89" s="62">
        <v>0</v>
      </c>
      <c r="F89" s="62">
        <v>0</v>
      </c>
      <c r="G89" s="62">
        <v>0</v>
      </c>
      <c r="H89" s="62">
        <v>1</v>
      </c>
      <c r="I89" s="62">
        <v>2</v>
      </c>
      <c r="J89" s="62">
        <v>6</v>
      </c>
      <c r="K89" s="62">
        <v>5</v>
      </c>
      <c r="L89" s="62">
        <v>10</v>
      </c>
      <c r="M89" s="7">
        <f>SUM(D89:I89)</f>
        <v>3</v>
      </c>
      <c r="N89" s="8">
        <f>((M89/C89)*100)</f>
        <v>12.5</v>
      </c>
      <c r="O89" s="7">
        <f>SUM(D89:K89)</f>
        <v>14</v>
      </c>
      <c r="P89" s="8">
        <f>((O89/C89)*100)</f>
        <v>58.333333333333336</v>
      </c>
    </row>
    <row r="90" spans="1:16" ht="13.5" customHeight="1">
      <c r="A90" s="160"/>
      <c r="B90" s="161" t="s">
        <v>33</v>
      </c>
      <c r="C90" s="165">
        <f>SUM(C86:C89)</f>
        <v>81</v>
      </c>
      <c r="D90" s="165">
        <f>SUM(D86:D89)</f>
        <v>0</v>
      </c>
      <c r="E90" s="165">
        <f t="shared" ref="E90:L90" si="25">SUM(E86:E89)</f>
        <v>0</v>
      </c>
      <c r="F90" s="165">
        <f t="shared" si="25"/>
        <v>1</v>
      </c>
      <c r="G90" s="165">
        <f t="shared" si="25"/>
        <v>4</v>
      </c>
      <c r="H90" s="165">
        <f t="shared" si="25"/>
        <v>4</v>
      </c>
      <c r="I90" s="165">
        <f t="shared" si="25"/>
        <v>5</v>
      </c>
      <c r="J90" s="165">
        <f t="shared" si="25"/>
        <v>24</v>
      </c>
      <c r="K90" s="165">
        <f t="shared" si="25"/>
        <v>23</v>
      </c>
      <c r="L90" s="165">
        <f t="shared" si="25"/>
        <v>20</v>
      </c>
      <c r="M90" s="165">
        <f>SUM(M86:M89)</f>
        <v>14</v>
      </c>
      <c r="N90" s="9">
        <f>((M90/C90)*100)</f>
        <v>17.283950617283949</v>
      </c>
      <c r="O90" s="165">
        <f>SUM(O86:O89)</f>
        <v>61</v>
      </c>
      <c r="P90" s="9">
        <f>((O90/C90)*100)</f>
        <v>75.308641975308646</v>
      </c>
    </row>
    <row r="91" spans="1:16" ht="4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1"/>
      <c r="O91" s="10"/>
      <c r="P91" s="11"/>
    </row>
    <row r="92" spans="1:16" ht="18">
      <c r="A92" s="152" t="s">
        <v>78</v>
      </c>
    </row>
    <row r="93" spans="1:16">
      <c r="D93" s="229" t="s">
        <v>1</v>
      </c>
      <c r="E93" s="230"/>
      <c r="F93" s="229" t="s">
        <v>2</v>
      </c>
      <c r="G93" s="239"/>
      <c r="H93" s="239"/>
      <c r="I93" s="230"/>
      <c r="J93" s="229" t="s">
        <v>3</v>
      </c>
      <c r="K93" s="230"/>
      <c r="L93" s="165" t="s">
        <v>4</v>
      </c>
    </row>
    <row r="94" spans="1:16" s="5" customFormat="1" ht="23.25" customHeight="1">
      <c r="A94" s="57" t="s">
        <v>5</v>
      </c>
      <c r="B94" s="57" t="s">
        <v>6</v>
      </c>
      <c r="C94" s="57" t="s">
        <v>7</v>
      </c>
      <c r="D94" s="57" t="s">
        <v>8</v>
      </c>
      <c r="E94" s="57" t="s">
        <v>9</v>
      </c>
      <c r="F94" s="57" t="s">
        <v>10</v>
      </c>
      <c r="G94" s="57" t="s">
        <v>11</v>
      </c>
      <c r="H94" s="57" t="s">
        <v>12</v>
      </c>
      <c r="I94" s="57" t="s">
        <v>13</v>
      </c>
      <c r="J94" s="57" t="s">
        <v>14</v>
      </c>
      <c r="K94" s="57" t="s">
        <v>15</v>
      </c>
      <c r="L94" s="57" t="s">
        <v>16</v>
      </c>
      <c r="M94" s="48" t="s">
        <v>17</v>
      </c>
      <c r="N94" s="48" t="s">
        <v>18</v>
      </c>
      <c r="O94" s="48" t="s">
        <v>19</v>
      </c>
      <c r="P94" s="106" t="s">
        <v>20</v>
      </c>
    </row>
    <row r="95" spans="1:16">
      <c r="A95" s="165" t="s">
        <v>21</v>
      </c>
      <c r="B95" s="159" t="s">
        <v>79</v>
      </c>
      <c r="C95" s="62">
        <v>18</v>
      </c>
      <c r="D95" s="62" cm="1">
        <f t="array" ref="D95:L95">TRANSPOSE([1]Master!$AB$47:$AB$55)</f>
        <v>0</v>
      </c>
      <c r="E95" s="62">
        <v>3</v>
      </c>
      <c r="F95" s="62">
        <v>4</v>
      </c>
      <c r="G95" s="62">
        <v>3</v>
      </c>
      <c r="H95" s="62">
        <v>4</v>
      </c>
      <c r="I95" s="62">
        <v>2</v>
      </c>
      <c r="J95" s="62">
        <v>1</v>
      </c>
      <c r="K95" s="62">
        <v>1</v>
      </c>
      <c r="L95" s="62">
        <v>0</v>
      </c>
      <c r="M95" s="7">
        <f>SUM(D95:I95)</f>
        <v>16</v>
      </c>
      <c r="N95" s="8">
        <f>((M95/C95)*100)</f>
        <v>88.888888888888886</v>
      </c>
      <c r="O95" s="7">
        <f>SUM(D95:K95)</f>
        <v>18</v>
      </c>
      <c r="P95" s="8">
        <f>((O95/C95)*100)</f>
        <v>100</v>
      </c>
    </row>
    <row r="96" spans="1:16">
      <c r="A96" s="201" t="s">
        <v>23</v>
      </c>
      <c r="B96" s="159" t="s">
        <v>80</v>
      </c>
      <c r="C96" s="62">
        <v>20</v>
      </c>
      <c r="D96" s="62" cm="1">
        <f t="array" ref="D96:L96">TRANSPOSE([2]Master!$AB$47:$AB$55)</f>
        <v>0</v>
      </c>
      <c r="E96" s="62">
        <v>1</v>
      </c>
      <c r="F96" s="62">
        <v>1</v>
      </c>
      <c r="G96" s="62">
        <v>0</v>
      </c>
      <c r="H96" s="62">
        <v>5</v>
      </c>
      <c r="I96" s="62">
        <v>3</v>
      </c>
      <c r="J96" s="62">
        <v>7</v>
      </c>
      <c r="K96" s="62">
        <v>2</v>
      </c>
      <c r="L96" s="62">
        <v>1</v>
      </c>
      <c r="M96" s="7">
        <f>SUM(D96:I96)</f>
        <v>10</v>
      </c>
      <c r="N96" s="8">
        <f>((M96/C96)*100)</f>
        <v>50</v>
      </c>
      <c r="O96" s="7">
        <f>SUM(D96:K96)</f>
        <v>19</v>
      </c>
      <c r="P96" s="8">
        <f>((O96/C96)*100)</f>
        <v>95</v>
      </c>
    </row>
    <row r="97" spans="1:16">
      <c r="A97" s="201" t="s">
        <v>25</v>
      </c>
      <c r="B97" s="159" t="s">
        <v>80</v>
      </c>
      <c r="C97" s="62">
        <v>19</v>
      </c>
      <c r="D97" s="62" cm="1">
        <f t="array" ref="D97:L97">TRANSPOSE([3]Master!$AB$47:$AB$55)</f>
        <v>0</v>
      </c>
      <c r="E97" s="62">
        <v>2</v>
      </c>
      <c r="F97" s="62">
        <v>1</v>
      </c>
      <c r="G97" s="62">
        <v>1</v>
      </c>
      <c r="H97" s="62">
        <v>1</v>
      </c>
      <c r="I97" s="62">
        <v>1</v>
      </c>
      <c r="J97" s="62">
        <v>5</v>
      </c>
      <c r="K97" s="62">
        <v>8</v>
      </c>
      <c r="L97" s="62">
        <v>0</v>
      </c>
      <c r="M97" s="7">
        <f>SUM(D97:I97)</f>
        <v>6</v>
      </c>
      <c r="N97" s="8">
        <f>((M97/C97)*100)</f>
        <v>31.578947368421051</v>
      </c>
      <c r="O97" s="7">
        <f>SUM(D97:K97)</f>
        <v>19</v>
      </c>
      <c r="P97" s="8">
        <f>((O97/C97)*100)</f>
        <v>100</v>
      </c>
    </row>
    <row r="98" spans="1:16">
      <c r="A98" s="163"/>
      <c r="B98" s="164" t="s">
        <v>33</v>
      </c>
      <c r="C98" s="57">
        <f>SUM(C95:C97)</f>
        <v>57</v>
      </c>
      <c r="D98" s="57">
        <f t="shared" ref="D98:L98" si="26">SUM(D95:D97)</f>
        <v>0</v>
      </c>
      <c r="E98" s="57">
        <f t="shared" si="26"/>
        <v>6</v>
      </c>
      <c r="F98" s="57">
        <f t="shared" si="26"/>
        <v>6</v>
      </c>
      <c r="G98" s="57">
        <f t="shared" si="26"/>
        <v>4</v>
      </c>
      <c r="H98" s="57">
        <f t="shared" si="26"/>
        <v>10</v>
      </c>
      <c r="I98" s="57">
        <f t="shared" si="26"/>
        <v>6</v>
      </c>
      <c r="J98" s="57">
        <f t="shared" si="26"/>
        <v>13</v>
      </c>
      <c r="K98" s="57">
        <f t="shared" si="26"/>
        <v>11</v>
      </c>
      <c r="L98" s="57">
        <f t="shared" si="26"/>
        <v>1</v>
      </c>
      <c r="M98" s="165">
        <f>SUM(M95:M97)</f>
        <v>32</v>
      </c>
      <c r="N98" s="9">
        <f>((M98/C98)*100)</f>
        <v>56.140350877192979</v>
      </c>
      <c r="O98" s="165">
        <f>SUM(O95:O97)</f>
        <v>56</v>
      </c>
      <c r="P98" s="9">
        <f>((O98/C98)*100)</f>
        <v>98.245614035087712</v>
      </c>
    </row>
    <row r="99" spans="1:16" ht="3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1"/>
      <c r="O99" s="10"/>
      <c r="P99" s="11"/>
    </row>
    <row r="100" spans="1:16" ht="18">
      <c r="A100" s="152" t="s">
        <v>81</v>
      </c>
    </row>
    <row r="101" spans="1:16">
      <c r="D101" s="229" t="s">
        <v>1</v>
      </c>
      <c r="E101" s="230"/>
      <c r="F101" s="229" t="s">
        <v>2</v>
      </c>
      <c r="G101" s="239"/>
      <c r="H101" s="239"/>
      <c r="I101" s="230"/>
      <c r="J101" s="229" t="s">
        <v>3</v>
      </c>
      <c r="K101" s="230"/>
      <c r="L101" s="165" t="s">
        <v>4</v>
      </c>
    </row>
    <row r="102" spans="1:16" ht="22.5" customHeight="1">
      <c r="A102" s="57" t="s">
        <v>5</v>
      </c>
      <c r="B102" s="57" t="s">
        <v>6</v>
      </c>
      <c r="C102" s="57" t="s">
        <v>7</v>
      </c>
      <c r="D102" s="57" t="s">
        <v>8</v>
      </c>
      <c r="E102" s="57" t="s">
        <v>9</v>
      </c>
      <c r="F102" s="57" t="s">
        <v>10</v>
      </c>
      <c r="G102" s="57" t="s">
        <v>11</v>
      </c>
      <c r="H102" s="57" t="s">
        <v>12</v>
      </c>
      <c r="I102" s="57" t="s">
        <v>13</v>
      </c>
      <c r="J102" s="57" t="s">
        <v>14</v>
      </c>
      <c r="K102" s="57" t="s">
        <v>15</v>
      </c>
      <c r="L102" s="57" t="s">
        <v>16</v>
      </c>
      <c r="M102" s="48" t="s">
        <v>17</v>
      </c>
      <c r="N102" s="48" t="s">
        <v>18</v>
      </c>
      <c r="O102" s="48" t="s">
        <v>19</v>
      </c>
      <c r="P102" s="106" t="s">
        <v>20</v>
      </c>
    </row>
    <row r="103" spans="1:16" ht="13.5" customHeight="1">
      <c r="A103" s="165" t="s">
        <v>31</v>
      </c>
      <c r="B103" s="159" t="s">
        <v>82</v>
      </c>
      <c r="C103" s="62">
        <f>SUM(D103:L103)</f>
        <v>19</v>
      </c>
      <c r="D103" s="62" cm="1">
        <f t="array" ref="D103:L103">TRANSPOSE([7]Master!$V$45:$V$53)</f>
        <v>0</v>
      </c>
      <c r="E103" s="62">
        <v>0</v>
      </c>
      <c r="F103" s="62">
        <v>0</v>
      </c>
      <c r="G103" s="62">
        <v>0</v>
      </c>
      <c r="H103" s="62">
        <v>0</v>
      </c>
      <c r="I103" s="62">
        <v>0</v>
      </c>
      <c r="J103" s="62">
        <v>2</v>
      </c>
      <c r="K103" s="62">
        <v>7</v>
      </c>
      <c r="L103" s="62">
        <v>10</v>
      </c>
      <c r="M103" s="7">
        <f t="shared" ref="M103" si="27">SUM(D103:I103)</f>
        <v>0</v>
      </c>
      <c r="N103" s="8">
        <f>((M103/C103)*100)</f>
        <v>0</v>
      </c>
      <c r="O103" s="7">
        <f>SUM(D103:K103)</f>
        <v>9</v>
      </c>
      <c r="P103" s="8">
        <f>((O103/C103)*100)</f>
        <v>47.368421052631575</v>
      </c>
    </row>
    <row r="104" spans="1:16" ht="13.5" customHeight="1">
      <c r="A104" s="165" t="s">
        <v>32</v>
      </c>
      <c r="B104" s="159" t="s">
        <v>82</v>
      </c>
      <c r="C104" s="62">
        <f>SUM(D104:L104)</f>
        <v>19</v>
      </c>
      <c r="D104" s="62">
        <v>0</v>
      </c>
      <c r="E104" s="62">
        <v>0</v>
      </c>
      <c r="F104" s="62">
        <v>0</v>
      </c>
      <c r="G104" s="62">
        <v>0</v>
      </c>
      <c r="H104" s="62">
        <v>0</v>
      </c>
      <c r="I104" s="62">
        <v>2</v>
      </c>
      <c r="J104" s="62">
        <v>4</v>
      </c>
      <c r="K104" s="62">
        <v>5</v>
      </c>
      <c r="L104" s="62">
        <v>8</v>
      </c>
      <c r="M104" s="7">
        <f t="shared" ref="M104" si="28">SUM(D104:I104)</f>
        <v>2</v>
      </c>
      <c r="N104" s="8">
        <f>((M104/C104)*100)</f>
        <v>10.526315789473683</v>
      </c>
      <c r="O104" s="7">
        <f>SUM(D104:K104)</f>
        <v>11</v>
      </c>
      <c r="P104" s="8">
        <f>((O104/C104)*100)</f>
        <v>57.894736842105267</v>
      </c>
    </row>
    <row r="105" spans="1:16">
      <c r="A105" s="160"/>
      <c r="B105" s="161" t="s">
        <v>33</v>
      </c>
      <c r="C105" s="165">
        <f>SUM(C103:C104)</f>
        <v>38</v>
      </c>
      <c r="D105" s="165">
        <f t="shared" ref="D105:L105" si="29">SUM(D103:D104)</f>
        <v>0</v>
      </c>
      <c r="E105" s="165">
        <f t="shared" si="29"/>
        <v>0</v>
      </c>
      <c r="F105" s="165">
        <f t="shared" si="29"/>
        <v>0</v>
      </c>
      <c r="G105" s="165">
        <f t="shared" si="29"/>
        <v>0</v>
      </c>
      <c r="H105" s="165">
        <f t="shared" si="29"/>
        <v>0</v>
      </c>
      <c r="I105" s="165">
        <f t="shared" si="29"/>
        <v>2</v>
      </c>
      <c r="J105" s="165">
        <f t="shared" si="29"/>
        <v>6</v>
      </c>
      <c r="K105" s="165">
        <f t="shared" si="29"/>
        <v>12</v>
      </c>
      <c r="L105" s="165">
        <f t="shared" si="29"/>
        <v>18</v>
      </c>
      <c r="M105" s="165">
        <f>SUM(M103:M104)</f>
        <v>2</v>
      </c>
      <c r="N105" s="9">
        <f>((M105/C105)*100)</f>
        <v>5.2631578947368416</v>
      </c>
      <c r="O105" s="165">
        <f>SUM(O103:O104)</f>
        <v>20</v>
      </c>
      <c r="P105" s="9">
        <f>((O105/C105)*100)</f>
        <v>52.631578947368418</v>
      </c>
    </row>
    <row r="106" spans="1:16" ht="4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1"/>
      <c r="O106" s="10"/>
      <c r="P106" s="11"/>
    </row>
    <row r="107" spans="1:16" ht="18">
      <c r="A107" s="152" t="s">
        <v>83</v>
      </c>
    </row>
    <row r="108" spans="1:16">
      <c r="D108" s="229" t="s">
        <v>1</v>
      </c>
      <c r="E108" s="230"/>
      <c r="F108" s="229" t="s">
        <v>2</v>
      </c>
      <c r="G108" s="239"/>
      <c r="H108" s="239"/>
      <c r="I108" s="230"/>
      <c r="J108" s="229" t="s">
        <v>3</v>
      </c>
      <c r="K108" s="230"/>
      <c r="L108" s="165" t="s">
        <v>4</v>
      </c>
    </row>
    <row r="109" spans="1:16" ht="21" customHeight="1">
      <c r="A109" s="57" t="s">
        <v>5</v>
      </c>
      <c r="B109" s="57" t="s">
        <v>6</v>
      </c>
      <c r="C109" s="57" t="s">
        <v>7</v>
      </c>
      <c r="D109" s="57" t="s">
        <v>8</v>
      </c>
      <c r="E109" s="57" t="s">
        <v>9</v>
      </c>
      <c r="F109" s="57" t="s">
        <v>10</v>
      </c>
      <c r="G109" s="57" t="s">
        <v>11</v>
      </c>
      <c r="H109" s="57" t="s">
        <v>12</v>
      </c>
      <c r="I109" s="57" t="s">
        <v>13</v>
      </c>
      <c r="J109" s="57" t="s">
        <v>14</v>
      </c>
      <c r="K109" s="57" t="s">
        <v>15</v>
      </c>
      <c r="L109" s="57" t="s">
        <v>16</v>
      </c>
      <c r="M109" s="48" t="s">
        <v>17</v>
      </c>
      <c r="N109" s="48" t="s">
        <v>18</v>
      </c>
      <c r="O109" s="48" t="s">
        <v>19</v>
      </c>
      <c r="P109" s="106" t="s">
        <v>20</v>
      </c>
    </row>
    <row r="110" spans="1:16" ht="13.5" customHeight="1">
      <c r="A110" s="165" t="s">
        <v>21</v>
      </c>
      <c r="B110" s="140" t="s">
        <v>84</v>
      </c>
      <c r="C110" s="7">
        <v>18</v>
      </c>
      <c r="D110" s="7" cm="1">
        <f t="array" ref="D110:L110">TRANSPOSE([1]Master!$S$47:$S$55)</f>
        <v>8</v>
      </c>
      <c r="E110" s="7">
        <v>3</v>
      </c>
      <c r="F110" s="7">
        <v>1</v>
      </c>
      <c r="G110" s="7">
        <v>2</v>
      </c>
      <c r="H110" s="7">
        <v>2</v>
      </c>
      <c r="I110" s="7">
        <v>1</v>
      </c>
      <c r="J110" s="7">
        <v>0</v>
      </c>
      <c r="K110" s="7">
        <v>1</v>
      </c>
      <c r="L110" s="7">
        <v>0</v>
      </c>
      <c r="M110" s="7">
        <f t="shared" ref="M110:M117" si="30">SUM(D110:I110)</f>
        <v>17</v>
      </c>
      <c r="N110" s="8">
        <f>((M110/C110)*100)</f>
        <v>94.444444444444443</v>
      </c>
      <c r="O110" s="7">
        <f t="shared" ref="O110:O117" si="31">SUM(D110:K110)</f>
        <v>18</v>
      </c>
      <c r="P110" s="8">
        <f t="shared" ref="P110:P118" si="32">((O110/C110)*100)</f>
        <v>100</v>
      </c>
    </row>
    <row r="111" spans="1:16" ht="13.5" customHeight="1">
      <c r="A111" s="201" t="s">
        <v>23</v>
      </c>
      <c r="B111" s="140" t="s">
        <v>84</v>
      </c>
      <c r="C111" s="7">
        <v>20</v>
      </c>
      <c r="D111" s="7" cm="1">
        <f t="array" ref="D111:L111">TRANSPOSE([2]Master!$S$47:$S$55)</f>
        <v>9</v>
      </c>
      <c r="E111" s="7">
        <v>1</v>
      </c>
      <c r="F111" s="7">
        <v>4</v>
      </c>
      <c r="G111" s="7">
        <v>1</v>
      </c>
      <c r="H111" s="7">
        <v>0</v>
      </c>
      <c r="I111" s="7">
        <v>1</v>
      </c>
      <c r="J111" s="7">
        <v>1</v>
      </c>
      <c r="K111" s="7">
        <v>0</v>
      </c>
      <c r="L111" s="7">
        <v>3</v>
      </c>
      <c r="M111" s="7">
        <f t="shared" si="30"/>
        <v>16</v>
      </c>
      <c r="N111" s="8">
        <f>((M111/C111)*100)</f>
        <v>80</v>
      </c>
      <c r="O111" s="7">
        <f t="shared" si="31"/>
        <v>17</v>
      </c>
      <c r="P111" s="8">
        <f t="shared" si="32"/>
        <v>85</v>
      </c>
    </row>
    <row r="112" spans="1:16" ht="13.5" customHeight="1">
      <c r="A112" s="201" t="s">
        <v>25</v>
      </c>
      <c r="B112" s="140" t="s">
        <v>85</v>
      </c>
      <c r="C112" s="7">
        <v>19</v>
      </c>
      <c r="D112" s="7" cm="1">
        <f t="array" ref="D112:L112">TRANSPOSE([3]Master!$S$47:$S$55)</f>
        <v>2</v>
      </c>
      <c r="E112" s="7">
        <v>2</v>
      </c>
      <c r="F112" s="7">
        <v>2</v>
      </c>
      <c r="G112" s="7">
        <v>3</v>
      </c>
      <c r="H112" s="7">
        <v>2</v>
      </c>
      <c r="I112" s="7">
        <v>1</v>
      </c>
      <c r="J112" s="7">
        <v>5</v>
      </c>
      <c r="K112" s="7">
        <v>2</v>
      </c>
      <c r="L112" s="7">
        <v>0</v>
      </c>
      <c r="M112" s="7">
        <f t="shared" si="30"/>
        <v>12</v>
      </c>
      <c r="N112" s="8">
        <f>((M112/C112)*100)</f>
        <v>63.157894736842103</v>
      </c>
      <c r="O112" s="7">
        <f t="shared" si="31"/>
        <v>19</v>
      </c>
      <c r="P112" s="8">
        <f t="shared" si="32"/>
        <v>100</v>
      </c>
    </row>
    <row r="113" spans="1:16" ht="13.5" customHeight="1">
      <c r="A113" s="201" t="s">
        <v>27</v>
      </c>
      <c r="B113" s="140" t="s">
        <v>85</v>
      </c>
      <c r="C113" s="7">
        <v>24</v>
      </c>
      <c r="D113" s="7" cm="1">
        <f t="array" ref="D113:L113">TRANSPOSE([4]Master!$S$47:$S$55)</f>
        <v>1</v>
      </c>
      <c r="E113" s="7">
        <v>3</v>
      </c>
      <c r="F113" s="7">
        <v>4</v>
      </c>
      <c r="G113" s="7">
        <v>2</v>
      </c>
      <c r="H113" s="7">
        <v>2</v>
      </c>
      <c r="I113" s="7">
        <v>3</v>
      </c>
      <c r="J113" s="7">
        <v>3</v>
      </c>
      <c r="K113" s="7">
        <v>1</v>
      </c>
      <c r="L113" s="7">
        <v>5</v>
      </c>
      <c r="M113" s="7">
        <f t="shared" si="30"/>
        <v>15</v>
      </c>
      <c r="N113" s="8">
        <f t="shared" ref="N113" si="33">((M113/C113)*100)</f>
        <v>62.5</v>
      </c>
      <c r="O113" s="7">
        <f t="shared" si="31"/>
        <v>19</v>
      </c>
      <c r="P113" s="8">
        <f t="shared" si="32"/>
        <v>79.166666666666657</v>
      </c>
    </row>
    <row r="114" spans="1:16" ht="13.5" customHeight="1">
      <c r="A114" s="165" t="s">
        <v>29</v>
      </c>
      <c r="B114" s="140" t="s">
        <v>84</v>
      </c>
      <c r="C114" s="7">
        <v>19</v>
      </c>
      <c r="D114" s="7" cm="1">
        <f t="array" ref="D114:L114">TRANSPOSE([5]Master!$S$47:$S$55)</f>
        <v>4</v>
      </c>
      <c r="E114" s="7">
        <v>3</v>
      </c>
      <c r="F114" s="7">
        <v>0</v>
      </c>
      <c r="G114" s="7">
        <v>1</v>
      </c>
      <c r="H114" s="7">
        <v>3</v>
      </c>
      <c r="I114" s="7">
        <v>3</v>
      </c>
      <c r="J114" s="7">
        <v>3</v>
      </c>
      <c r="K114" s="7">
        <v>0</v>
      </c>
      <c r="L114" s="7">
        <v>2</v>
      </c>
      <c r="M114" s="7">
        <f t="shared" si="30"/>
        <v>14</v>
      </c>
      <c r="N114" s="8">
        <f>((M114/C114)*100)</f>
        <v>73.68421052631578</v>
      </c>
      <c r="O114" s="7">
        <f t="shared" si="31"/>
        <v>17</v>
      </c>
      <c r="P114" s="8">
        <f t="shared" si="32"/>
        <v>89.473684210526315</v>
      </c>
    </row>
    <row r="115" spans="1:16" ht="13.5" customHeight="1">
      <c r="A115" s="165" t="s">
        <v>30</v>
      </c>
      <c r="B115" s="140" t="s">
        <v>85</v>
      </c>
      <c r="C115" s="7">
        <v>26</v>
      </c>
      <c r="D115" s="7" cm="1">
        <f t="array" ref="D115:L115">TRANSPOSE([6]Master!$S$45:$S$53)</f>
        <v>0</v>
      </c>
      <c r="E115" s="7">
        <v>4</v>
      </c>
      <c r="F115" s="7">
        <v>0</v>
      </c>
      <c r="G115" s="7">
        <v>3</v>
      </c>
      <c r="H115" s="7">
        <v>3</v>
      </c>
      <c r="I115" s="7">
        <v>1</v>
      </c>
      <c r="J115" s="7">
        <v>4</v>
      </c>
      <c r="K115" s="7">
        <v>3</v>
      </c>
      <c r="L115" s="7">
        <v>6</v>
      </c>
      <c r="M115" s="7">
        <f t="shared" si="30"/>
        <v>11</v>
      </c>
      <c r="N115" s="8">
        <f>((M115/C115)*100)</f>
        <v>42.307692307692307</v>
      </c>
      <c r="O115" s="7">
        <f t="shared" si="31"/>
        <v>18</v>
      </c>
      <c r="P115" s="8">
        <f t="shared" si="32"/>
        <v>69.230769230769226</v>
      </c>
    </row>
    <row r="116" spans="1:16" ht="13.5" customHeight="1">
      <c r="A116" s="165" t="s">
        <v>31</v>
      </c>
      <c r="B116" s="140" t="s">
        <v>85</v>
      </c>
      <c r="C116" s="7">
        <v>21</v>
      </c>
      <c r="D116" s="7" cm="1">
        <f t="array" ref="D116:L116">TRANSPOSE([7]Master!$S$45:$S$53)</f>
        <v>0</v>
      </c>
      <c r="E116" s="7">
        <v>2</v>
      </c>
      <c r="F116" s="7">
        <v>2</v>
      </c>
      <c r="G116" s="7">
        <v>2</v>
      </c>
      <c r="H116" s="7">
        <v>3</v>
      </c>
      <c r="I116" s="7">
        <v>3</v>
      </c>
      <c r="J116" s="7">
        <v>1</v>
      </c>
      <c r="K116" s="7">
        <v>2</v>
      </c>
      <c r="L116" s="7">
        <v>4</v>
      </c>
      <c r="M116" s="7">
        <f t="shared" si="30"/>
        <v>12</v>
      </c>
      <c r="N116" s="8">
        <f>((M116/C116)*100)</f>
        <v>57.142857142857139</v>
      </c>
      <c r="O116" s="7">
        <f t="shared" si="31"/>
        <v>15</v>
      </c>
      <c r="P116" s="8">
        <f t="shared" si="32"/>
        <v>71.428571428571431</v>
      </c>
    </row>
    <row r="117" spans="1:16" ht="13.5" customHeight="1">
      <c r="A117" s="165" t="s">
        <v>32</v>
      </c>
      <c r="B117" s="140" t="s">
        <v>84</v>
      </c>
      <c r="C117" s="7">
        <v>18</v>
      </c>
      <c r="D117" s="7" cm="1">
        <f t="array" ref="D117:L117">TRANSPOSE([8]Master!$S$47:$S$55)</f>
        <v>2</v>
      </c>
      <c r="E117" s="7">
        <v>1</v>
      </c>
      <c r="F117" s="7">
        <v>1</v>
      </c>
      <c r="G117" s="7">
        <v>1</v>
      </c>
      <c r="H117" s="7">
        <v>1</v>
      </c>
      <c r="I117" s="140">
        <v>0</v>
      </c>
      <c r="J117" s="7">
        <v>3</v>
      </c>
      <c r="K117" s="7">
        <v>5</v>
      </c>
      <c r="L117" s="7">
        <v>5</v>
      </c>
      <c r="M117" s="7">
        <f t="shared" si="30"/>
        <v>6</v>
      </c>
      <c r="N117" s="8">
        <f>((M117/C117)*100)</f>
        <v>33.333333333333329</v>
      </c>
      <c r="O117" s="7">
        <f t="shared" si="31"/>
        <v>14</v>
      </c>
      <c r="P117" s="8">
        <f t="shared" si="32"/>
        <v>77.777777777777786</v>
      </c>
    </row>
    <row r="118" spans="1:16" s="5" customFormat="1">
      <c r="A118" s="160"/>
      <c r="B118" s="161" t="s">
        <v>33</v>
      </c>
      <c r="C118" s="165">
        <f>SUM(C110:C117)</f>
        <v>165</v>
      </c>
      <c r="D118" s="165">
        <f t="shared" ref="D118:L118" si="34">SUM(D110:D117)</f>
        <v>26</v>
      </c>
      <c r="E118" s="165">
        <f t="shared" si="34"/>
        <v>19</v>
      </c>
      <c r="F118" s="165">
        <f t="shared" si="34"/>
        <v>14</v>
      </c>
      <c r="G118" s="165">
        <f t="shared" si="34"/>
        <v>15</v>
      </c>
      <c r="H118" s="165">
        <f t="shared" si="34"/>
        <v>16</v>
      </c>
      <c r="I118" s="165">
        <f t="shared" si="34"/>
        <v>13</v>
      </c>
      <c r="J118" s="165">
        <f t="shared" si="34"/>
        <v>20</v>
      </c>
      <c r="K118" s="165">
        <f t="shared" si="34"/>
        <v>14</v>
      </c>
      <c r="L118" s="165">
        <f t="shared" si="34"/>
        <v>25</v>
      </c>
      <c r="M118" s="165">
        <f>SUM(M110:M117)</f>
        <v>103</v>
      </c>
      <c r="N118" s="9">
        <f>((M118/C118)*100)</f>
        <v>62.424242424242429</v>
      </c>
      <c r="O118" s="165">
        <f>SUM(O110:O117)</f>
        <v>137</v>
      </c>
      <c r="P118" s="9">
        <f t="shared" si="32"/>
        <v>83.030303030303031</v>
      </c>
    </row>
    <row r="119" spans="1:16" s="5" customFormat="1" ht="4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1"/>
      <c r="O119" s="10"/>
      <c r="P119" s="11"/>
    </row>
    <row r="120" spans="1:16" ht="18.75" customHeight="1">
      <c r="A120" s="152" t="s">
        <v>86</v>
      </c>
    </row>
    <row r="121" spans="1:16">
      <c r="D121" s="229" t="s">
        <v>1</v>
      </c>
      <c r="E121" s="230"/>
      <c r="F121" s="229" t="s">
        <v>2</v>
      </c>
      <c r="G121" s="239"/>
      <c r="H121" s="239"/>
      <c r="I121" s="230"/>
      <c r="J121" s="229" t="s">
        <v>3</v>
      </c>
      <c r="K121" s="230"/>
      <c r="L121" s="165" t="s">
        <v>4</v>
      </c>
    </row>
    <row r="122" spans="1:16" ht="22.5" customHeight="1">
      <c r="A122" s="57" t="s">
        <v>5</v>
      </c>
      <c r="B122" s="57" t="s">
        <v>6</v>
      </c>
      <c r="C122" s="57" t="s">
        <v>7</v>
      </c>
      <c r="D122" s="57" t="s">
        <v>8</v>
      </c>
      <c r="E122" s="57" t="s">
        <v>9</v>
      </c>
      <c r="F122" s="57" t="s">
        <v>10</v>
      </c>
      <c r="G122" s="57" t="s">
        <v>11</v>
      </c>
      <c r="H122" s="57" t="s">
        <v>12</v>
      </c>
      <c r="I122" s="57" t="s">
        <v>13</v>
      </c>
      <c r="J122" s="57" t="s">
        <v>14</v>
      </c>
      <c r="K122" s="57" t="s">
        <v>15</v>
      </c>
      <c r="L122" s="57" t="s">
        <v>16</v>
      </c>
      <c r="M122" s="48" t="s">
        <v>17</v>
      </c>
      <c r="N122" s="48" t="s">
        <v>18</v>
      </c>
      <c r="O122" s="48" t="s">
        <v>19</v>
      </c>
      <c r="P122" s="106" t="s">
        <v>20</v>
      </c>
    </row>
    <row r="123" spans="1:16" ht="13.5" customHeight="1">
      <c r="A123" s="201" t="s">
        <v>23</v>
      </c>
      <c r="B123" s="86" t="s">
        <v>87</v>
      </c>
      <c r="C123" s="7">
        <v>12</v>
      </c>
      <c r="D123" s="7" cm="1">
        <f t="array" ref="D123:L123">TRANSPOSE([2]Master!$AH$47:$AH$55)</f>
        <v>0</v>
      </c>
      <c r="E123" s="7">
        <v>0</v>
      </c>
      <c r="F123" s="7">
        <v>0</v>
      </c>
      <c r="G123" s="7">
        <v>0</v>
      </c>
      <c r="H123" s="7">
        <v>1</v>
      </c>
      <c r="I123" s="7">
        <v>1</v>
      </c>
      <c r="J123" s="7">
        <v>4</v>
      </c>
      <c r="K123" s="7">
        <v>3</v>
      </c>
      <c r="L123" s="7">
        <v>11</v>
      </c>
      <c r="M123" s="7">
        <f>SUM(D123:I123)</f>
        <v>2</v>
      </c>
      <c r="N123" s="146">
        <f>((M123/C123)*100)</f>
        <v>16.666666666666664</v>
      </c>
      <c r="O123" s="7">
        <f>SUM(D123:K123)</f>
        <v>9</v>
      </c>
      <c r="P123" s="8">
        <f>((O123/C123)*100)</f>
        <v>75</v>
      </c>
    </row>
    <row r="124" spans="1:16" ht="13.5" customHeight="1">
      <c r="A124" s="201" t="s">
        <v>25</v>
      </c>
      <c r="B124" s="86" t="s">
        <v>88</v>
      </c>
      <c r="C124" s="7">
        <v>19</v>
      </c>
      <c r="D124" s="7" cm="1">
        <f t="array" ref="D124:L124">TRANSPOSE([3]Master!$AH$47:$AH$55)</f>
        <v>0</v>
      </c>
      <c r="E124" s="7">
        <v>0</v>
      </c>
      <c r="F124" s="7">
        <v>0</v>
      </c>
      <c r="G124" s="7">
        <v>1</v>
      </c>
      <c r="H124" s="7">
        <v>1</v>
      </c>
      <c r="I124" s="7">
        <v>3</v>
      </c>
      <c r="J124" s="7">
        <v>5</v>
      </c>
      <c r="K124" s="7">
        <v>6</v>
      </c>
      <c r="L124" s="7">
        <v>3</v>
      </c>
      <c r="M124" s="7">
        <f>SUM(D124:I124)</f>
        <v>5</v>
      </c>
      <c r="N124" s="146">
        <f>((M124/C124)*100)</f>
        <v>26.315789473684209</v>
      </c>
      <c r="O124" s="7">
        <f>SUM(D124:K124)</f>
        <v>16</v>
      </c>
      <c r="P124" s="8">
        <f>((O124/C124)*100)</f>
        <v>84.210526315789465</v>
      </c>
    </row>
    <row r="125" spans="1:16" ht="13.5" customHeight="1">
      <c r="A125" s="165" t="s">
        <v>30</v>
      </c>
      <c r="B125" s="86" t="s">
        <v>87</v>
      </c>
      <c r="C125" s="7">
        <v>13</v>
      </c>
      <c r="D125" s="7" cm="1">
        <f t="array" ref="D125:L125">TRANSPOSE([6]Master!$AH$45:$AH$53)</f>
        <v>0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1</v>
      </c>
      <c r="K125" s="7">
        <v>2</v>
      </c>
      <c r="L125" s="7">
        <v>21</v>
      </c>
      <c r="M125" s="7">
        <f>SUM(D125:I125)</f>
        <v>0</v>
      </c>
      <c r="N125" s="146">
        <f>((M125/C125)*100)</f>
        <v>0</v>
      </c>
      <c r="O125" s="7">
        <f>SUM(D125:K125)</f>
        <v>3</v>
      </c>
      <c r="P125" s="8">
        <f>((O125/C125)*100)</f>
        <v>23.076923076923077</v>
      </c>
    </row>
    <row r="126" spans="1:16" s="5" customFormat="1">
      <c r="A126" s="160"/>
      <c r="B126" s="161" t="s">
        <v>33</v>
      </c>
      <c r="C126" s="165">
        <f>SUM(C123:C125)</f>
        <v>44</v>
      </c>
      <c r="D126" s="165">
        <f t="shared" ref="D126:L126" si="35">SUM(D123:D125)</f>
        <v>0</v>
      </c>
      <c r="E126" s="165">
        <f t="shared" si="35"/>
        <v>0</v>
      </c>
      <c r="F126" s="165">
        <f t="shared" si="35"/>
        <v>0</v>
      </c>
      <c r="G126" s="165">
        <f t="shared" si="35"/>
        <v>1</v>
      </c>
      <c r="H126" s="165">
        <f t="shared" si="35"/>
        <v>2</v>
      </c>
      <c r="I126" s="165">
        <f t="shared" si="35"/>
        <v>4</v>
      </c>
      <c r="J126" s="165">
        <f t="shared" si="35"/>
        <v>10</v>
      </c>
      <c r="K126" s="165">
        <f t="shared" si="35"/>
        <v>11</v>
      </c>
      <c r="L126" s="165">
        <f t="shared" si="35"/>
        <v>35</v>
      </c>
      <c r="M126" s="165">
        <f>SUM(M123:M125)</f>
        <v>7</v>
      </c>
      <c r="N126" s="9">
        <f>((M126/C126)*100)</f>
        <v>15.909090909090908</v>
      </c>
      <c r="O126" s="165">
        <f>SUM(O123:O125)</f>
        <v>28</v>
      </c>
      <c r="P126" s="9">
        <f>((O126/C126)*100)</f>
        <v>63.636363636363633</v>
      </c>
    </row>
    <row r="127" spans="1:16" s="5" customFormat="1" ht="8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1"/>
      <c r="O127" s="10"/>
      <c r="P127" s="11"/>
    </row>
    <row r="128" spans="1:16" ht="16.5" customHeight="1">
      <c r="A128" s="152" t="s">
        <v>89</v>
      </c>
    </row>
    <row r="129" spans="1:16">
      <c r="A129" s="154"/>
      <c r="D129" s="2" t="s">
        <v>1</v>
      </c>
      <c r="E129" s="3"/>
      <c r="F129" s="160"/>
      <c r="G129" s="162" t="s">
        <v>2</v>
      </c>
      <c r="H129" s="162"/>
      <c r="I129" s="161"/>
      <c r="J129" s="4" t="s">
        <v>3</v>
      </c>
      <c r="K129" s="3"/>
      <c r="L129" s="165" t="s">
        <v>4</v>
      </c>
    </row>
    <row r="130" spans="1:16" ht="23.25" customHeight="1">
      <c r="A130" s="57" t="s">
        <v>5</v>
      </c>
      <c r="B130" s="57" t="s">
        <v>6</v>
      </c>
      <c r="C130" s="57" t="s">
        <v>7</v>
      </c>
      <c r="D130" s="57" t="s">
        <v>8</v>
      </c>
      <c r="E130" s="57" t="s">
        <v>9</v>
      </c>
      <c r="F130" s="57" t="s">
        <v>10</v>
      </c>
      <c r="G130" s="57" t="s">
        <v>11</v>
      </c>
      <c r="H130" s="57" t="s">
        <v>12</v>
      </c>
      <c r="I130" s="57" t="s">
        <v>13</v>
      </c>
      <c r="J130" s="57" t="s">
        <v>14</v>
      </c>
      <c r="K130" s="57" t="s">
        <v>15</v>
      </c>
      <c r="L130" s="57" t="s">
        <v>16</v>
      </c>
      <c r="M130" s="48" t="s">
        <v>17</v>
      </c>
      <c r="N130" s="48" t="s">
        <v>18</v>
      </c>
      <c r="O130" s="48" t="s">
        <v>19</v>
      </c>
      <c r="P130" s="106" t="s">
        <v>20</v>
      </c>
    </row>
    <row r="131" spans="1:16" ht="13.5" customHeight="1">
      <c r="A131" s="201" t="s">
        <v>23</v>
      </c>
      <c r="B131" s="86" t="s">
        <v>90</v>
      </c>
      <c r="C131" s="140">
        <v>8</v>
      </c>
      <c r="D131" s="140" cm="1">
        <f t="array" ref="D131:L131">TRANSPOSE([2]Master!$AK$47:$AK$55)</f>
        <v>0</v>
      </c>
      <c r="E131" s="140">
        <v>1</v>
      </c>
      <c r="F131" s="140">
        <v>0</v>
      </c>
      <c r="G131" s="140">
        <v>3</v>
      </c>
      <c r="H131" s="140">
        <v>0</v>
      </c>
      <c r="I131" s="140">
        <v>2</v>
      </c>
      <c r="J131" s="140">
        <v>1</v>
      </c>
      <c r="K131" s="140">
        <v>1</v>
      </c>
      <c r="L131" s="140">
        <v>12</v>
      </c>
      <c r="M131" s="7">
        <f>SUM(D131:I131)</f>
        <v>6</v>
      </c>
      <c r="N131" s="8">
        <f>((M131/C131)*100)</f>
        <v>75</v>
      </c>
      <c r="O131" s="189">
        <f>SUM(D131:K131)</f>
        <v>8</v>
      </c>
      <c r="P131" s="8">
        <f>((O131/C131)*100)</f>
        <v>100</v>
      </c>
    </row>
    <row r="132" spans="1:16" ht="13.5" customHeight="1">
      <c r="A132" s="201" t="s">
        <v>27</v>
      </c>
      <c r="B132" s="86" t="s">
        <v>91</v>
      </c>
      <c r="C132" s="140">
        <v>15</v>
      </c>
      <c r="D132" s="140" cm="1">
        <f t="array" ref="D132:L132">TRANSPOSE([4]Master!$AK$47:$AK$55)</f>
        <v>2</v>
      </c>
      <c r="E132" s="140">
        <v>1</v>
      </c>
      <c r="F132" s="140">
        <v>0</v>
      </c>
      <c r="G132" s="140">
        <v>4</v>
      </c>
      <c r="H132" s="140">
        <v>0</v>
      </c>
      <c r="I132" s="140">
        <v>3</v>
      </c>
      <c r="J132" s="140">
        <v>4</v>
      </c>
      <c r="K132" s="140">
        <v>1</v>
      </c>
      <c r="L132" s="140">
        <v>9</v>
      </c>
      <c r="M132" s="7">
        <f>SUM(D132:I132)</f>
        <v>10</v>
      </c>
      <c r="N132" s="8">
        <f>((M132/C132)*100)</f>
        <v>66.666666666666657</v>
      </c>
      <c r="O132" s="189">
        <f>SUM(D132:K132)</f>
        <v>15</v>
      </c>
      <c r="P132" s="8">
        <f>((O132/C132)*100)</f>
        <v>100</v>
      </c>
    </row>
    <row r="133" spans="1:16" ht="13.5" customHeight="1">
      <c r="A133" s="165" t="s">
        <v>29</v>
      </c>
      <c r="B133" s="198" t="s">
        <v>91</v>
      </c>
      <c r="C133" s="140">
        <v>19</v>
      </c>
      <c r="D133" s="140" cm="1">
        <f t="array" ref="D133:L133">TRANSPOSE([5]Master!$AB$47:$AB$55)</f>
        <v>1</v>
      </c>
      <c r="E133" s="140">
        <v>0</v>
      </c>
      <c r="F133" s="140">
        <v>0</v>
      </c>
      <c r="G133" s="140">
        <v>5</v>
      </c>
      <c r="H133" s="140">
        <v>0</v>
      </c>
      <c r="I133" s="140">
        <v>9</v>
      </c>
      <c r="J133" s="140">
        <v>2</v>
      </c>
      <c r="K133" s="140">
        <v>1</v>
      </c>
      <c r="L133" s="140">
        <v>1</v>
      </c>
      <c r="M133" s="7">
        <f>SUM(D133:I133)</f>
        <v>15</v>
      </c>
      <c r="N133" s="143">
        <f>((M133/C133)*100)</f>
        <v>78.94736842105263</v>
      </c>
      <c r="O133" s="140">
        <f>SUM(D133:K133)</f>
        <v>18</v>
      </c>
      <c r="P133" s="143">
        <f>((O133/C133)*100)</f>
        <v>94.73684210526315</v>
      </c>
    </row>
    <row r="134" spans="1:16">
      <c r="A134" s="165"/>
      <c r="B134" s="161" t="s">
        <v>33</v>
      </c>
      <c r="C134" s="165">
        <f>SUM(C131:C133)</f>
        <v>42</v>
      </c>
      <c r="D134" s="165">
        <f t="shared" ref="D134:L134" si="36">SUM(D131:D133)</f>
        <v>3</v>
      </c>
      <c r="E134" s="165">
        <f t="shared" si="36"/>
        <v>2</v>
      </c>
      <c r="F134" s="165">
        <f t="shared" si="36"/>
        <v>0</v>
      </c>
      <c r="G134" s="165">
        <f t="shared" si="36"/>
        <v>12</v>
      </c>
      <c r="H134" s="165">
        <f t="shared" si="36"/>
        <v>0</v>
      </c>
      <c r="I134" s="165">
        <f t="shared" si="36"/>
        <v>14</v>
      </c>
      <c r="J134" s="165">
        <f t="shared" si="36"/>
        <v>7</v>
      </c>
      <c r="K134" s="165">
        <f t="shared" si="36"/>
        <v>3</v>
      </c>
      <c r="L134" s="165">
        <f t="shared" si="36"/>
        <v>22</v>
      </c>
      <c r="M134" s="165">
        <f>SUM(M131:M133)</f>
        <v>31</v>
      </c>
      <c r="N134" s="9">
        <f>((M134/C134)*100)</f>
        <v>73.80952380952381</v>
      </c>
      <c r="O134" s="203">
        <f>SUM(O131:O133)</f>
        <v>41</v>
      </c>
      <c r="P134" s="9">
        <f>((O134/C134)*100)</f>
        <v>97.61904761904762</v>
      </c>
    </row>
    <row r="135" spans="1:16" ht="8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1"/>
      <c r="O135" s="10"/>
      <c r="P135" s="11"/>
    </row>
    <row r="136" spans="1:16" ht="15" customHeight="1">
      <c r="A136" s="152" t="s">
        <v>92</v>
      </c>
    </row>
    <row r="137" spans="1:16">
      <c r="D137" s="229" t="s">
        <v>1</v>
      </c>
      <c r="E137" s="230"/>
      <c r="F137" s="229" t="s">
        <v>2</v>
      </c>
      <c r="G137" s="239"/>
      <c r="H137" s="239"/>
      <c r="I137" s="230"/>
      <c r="J137" s="229" t="s">
        <v>3</v>
      </c>
      <c r="K137" s="230"/>
      <c r="L137" s="165" t="s">
        <v>4</v>
      </c>
    </row>
    <row r="138" spans="1:16" ht="23.25" customHeight="1">
      <c r="A138" s="57" t="s">
        <v>5</v>
      </c>
      <c r="B138" s="57" t="s">
        <v>6</v>
      </c>
      <c r="C138" s="57" t="s">
        <v>7</v>
      </c>
      <c r="D138" s="57" t="s">
        <v>8</v>
      </c>
      <c r="E138" s="57" t="s">
        <v>9</v>
      </c>
      <c r="F138" s="57" t="s">
        <v>10</v>
      </c>
      <c r="G138" s="57" t="s">
        <v>11</v>
      </c>
      <c r="H138" s="57" t="s">
        <v>12</v>
      </c>
      <c r="I138" s="57" t="s">
        <v>13</v>
      </c>
      <c r="J138" s="57" t="s">
        <v>14</v>
      </c>
      <c r="K138" s="57" t="s">
        <v>15</v>
      </c>
      <c r="L138" s="57" t="s">
        <v>16</v>
      </c>
      <c r="M138" s="48" t="s">
        <v>17</v>
      </c>
      <c r="N138" s="48" t="s">
        <v>18</v>
      </c>
      <c r="O138" s="48" t="s">
        <v>19</v>
      </c>
      <c r="P138" s="106" t="s">
        <v>20</v>
      </c>
    </row>
    <row r="139" spans="1:16">
      <c r="A139" s="57" t="s">
        <v>30</v>
      </c>
      <c r="B139" s="104" t="s">
        <v>93</v>
      </c>
      <c r="C139" s="145">
        <v>25</v>
      </c>
      <c r="D139" s="145" cm="1">
        <f t="array" ref="D139:L139">TRANSPOSE([6]Master!$Y$45:$Y$53)</f>
        <v>0</v>
      </c>
      <c r="E139" s="145">
        <v>0</v>
      </c>
      <c r="F139" s="145">
        <v>1</v>
      </c>
      <c r="G139" s="145">
        <v>3</v>
      </c>
      <c r="H139" s="145">
        <v>3</v>
      </c>
      <c r="I139" s="145">
        <v>5</v>
      </c>
      <c r="J139" s="145">
        <v>9</v>
      </c>
      <c r="K139" s="145">
        <v>2</v>
      </c>
      <c r="L139" s="145">
        <v>1</v>
      </c>
      <c r="M139" s="158">
        <f>SUM(D139:I139)</f>
        <v>12</v>
      </c>
      <c r="N139" s="143">
        <f>((M139/C139)*100)</f>
        <v>48</v>
      </c>
      <c r="O139" s="158">
        <f>SUM(D139:K139)</f>
        <v>23</v>
      </c>
      <c r="P139" s="8">
        <f>((O139/C139)*100)</f>
        <v>92</v>
      </c>
    </row>
    <row r="140" spans="1:16">
      <c r="A140" s="160"/>
      <c r="B140" s="161" t="s">
        <v>33</v>
      </c>
      <c r="C140" s="165">
        <f>SUM(C139:C139)</f>
        <v>25</v>
      </c>
      <c r="D140" s="165">
        <f>D139</f>
        <v>0</v>
      </c>
      <c r="E140" s="165">
        <f t="shared" ref="E140:L140" si="37">E139</f>
        <v>0</v>
      </c>
      <c r="F140" s="165">
        <f t="shared" si="37"/>
        <v>1</v>
      </c>
      <c r="G140" s="165">
        <f t="shared" si="37"/>
        <v>3</v>
      </c>
      <c r="H140" s="165">
        <f t="shared" si="37"/>
        <v>3</v>
      </c>
      <c r="I140" s="165">
        <f t="shared" si="37"/>
        <v>5</v>
      </c>
      <c r="J140" s="165">
        <f t="shared" si="37"/>
        <v>9</v>
      </c>
      <c r="K140" s="165">
        <f t="shared" si="37"/>
        <v>2</v>
      </c>
      <c r="L140" s="165">
        <f t="shared" si="37"/>
        <v>1</v>
      </c>
      <c r="M140" s="165">
        <f>SUM(M139)</f>
        <v>12</v>
      </c>
      <c r="N140" s="9">
        <f>((M140/C140)*100)</f>
        <v>48</v>
      </c>
      <c r="O140" s="165">
        <f>SUM(O139)</f>
        <v>23</v>
      </c>
      <c r="P140" s="9">
        <f>((O140/C140)*100)</f>
        <v>92</v>
      </c>
    </row>
    <row r="141" spans="1:16" hidden="1">
      <c r="A141" s="160"/>
      <c r="B141" s="161" t="s">
        <v>33</v>
      </c>
      <c r="C141" s="165">
        <f t="shared" ref="C141:M141" si="38">SUM(C140:C140)</f>
        <v>25</v>
      </c>
      <c r="D141" s="165"/>
      <c r="E141" s="165"/>
      <c r="F141" s="165"/>
      <c r="G141" s="165"/>
      <c r="H141" s="165"/>
      <c r="I141" s="165"/>
      <c r="J141" s="165"/>
      <c r="K141" s="165"/>
      <c r="L141" s="165"/>
      <c r="M141" s="165">
        <f t="shared" si="38"/>
        <v>12</v>
      </c>
      <c r="N141" s="9">
        <f>((M141/C141)*100)</f>
        <v>48</v>
      </c>
      <c r="O141" s="165">
        <f>SUM(O140:O140)</f>
        <v>23</v>
      </c>
      <c r="P141" s="9">
        <f>((O141/C141)*100)</f>
        <v>92</v>
      </c>
    </row>
    <row r="142" spans="1:16" ht="10.5" hidden="1" customHeight="1">
      <c r="A142" s="1" t="s">
        <v>94</v>
      </c>
    </row>
    <row r="143" spans="1:16" ht="14.25" hidden="1" customHeight="1">
      <c r="D143" s="2"/>
      <c r="E143" s="3"/>
      <c r="F143" s="160"/>
      <c r="G143" s="162"/>
      <c r="H143" s="162"/>
      <c r="I143" s="161"/>
      <c r="J143" s="4"/>
      <c r="K143" s="3"/>
      <c r="L143" s="165"/>
    </row>
    <row r="144" spans="1:16" ht="25.5" hidden="1">
      <c r="A144" s="165" t="s">
        <v>5</v>
      </c>
      <c r="B144" s="165" t="s">
        <v>6</v>
      </c>
      <c r="C144" s="165" t="s">
        <v>7</v>
      </c>
      <c r="D144" s="165"/>
      <c r="E144" s="165"/>
      <c r="F144" s="165"/>
      <c r="G144" s="165"/>
      <c r="H144" s="165"/>
      <c r="I144" s="165"/>
      <c r="J144" s="165"/>
      <c r="K144" s="165"/>
      <c r="L144" s="165"/>
      <c r="M144" s="6" t="s">
        <v>17</v>
      </c>
      <c r="N144" s="6" t="s">
        <v>18</v>
      </c>
      <c r="O144" s="6" t="s">
        <v>19</v>
      </c>
      <c r="P144" s="107" t="s">
        <v>20</v>
      </c>
    </row>
    <row r="145" spans="1:16" s="5" customFormat="1" hidden="1">
      <c r="A145" s="165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7">
        <f>SUM(D145:I145)</f>
        <v>0</v>
      </c>
      <c r="N145" s="8" t="e">
        <f>((M145/C145)*100)</f>
        <v>#DIV/0!</v>
      </c>
      <c r="O145" s="7">
        <f>SUM(D145:K145)</f>
        <v>0</v>
      </c>
      <c r="P145" s="8" t="e">
        <f>((O145/C145)*100)</f>
        <v>#DIV/0!</v>
      </c>
    </row>
    <row r="146" spans="1:16" hidden="1">
      <c r="A146" s="160"/>
      <c r="B146" s="161" t="s">
        <v>33</v>
      </c>
      <c r="C146" s="165">
        <f t="shared" ref="C146:M146" si="39">SUM(C145:C145)</f>
        <v>0</v>
      </c>
      <c r="D146" s="165"/>
      <c r="E146" s="165"/>
      <c r="F146" s="165"/>
      <c r="G146" s="165"/>
      <c r="H146" s="165"/>
      <c r="I146" s="165"/>
      <c r="J146" s="165"/>
      <c r="K146" s="165"/>
      <c r="L146" s="165"/>
      <c r="M146" s="165">
        <f t="shared" si="39"/>
        <v>0</v>
      </c>
      <c r="N146" s="9" t="e">
        <f>((M146/C146)*100)</f>
        <v>#DIV/0!</v>
      </c>
      <c r="O146" s="165">
        <f>SUM(O145:O145)</f>
        <v>0</v>
      </c>
      <c r="P146" s="9" t="e">
        <f>((O146/C146)*100)</f>
        <v>#DIV/0!</v>
      </c>
    </row>
    <row r="147" spans="1:16" ht="7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1"/>
      <c r="O147" s="10"/>
      <c r="P147" s="11"/>
    </row>
    <row r="148" spans="1:16" ht="18">
      <c r="A148" s="152" t="s">
        <v>95</v>
      </c>
    </row>
    <row r="149" spans="1:16">
      <c r="D149" s="229" t="s">
        <v>1</v>
      </c>
      <c r="E149" s="230"/>
      <c r="F149" s="229" t="s">
        <v>2</v>
      </c>
      <c r="G149" s="239"/>
      <c r="H149" s="239"/>
      <c r="I149" s="230"/>
      <c r="J149" s="229" t="s">
        <v>3</v>
      </c>
      <c r="K149" s="230"/>
      <c r="L149" s="165" t="s">
        <v>4</v>
      </c>
    </row>
    <row r="150" spans="1:16" ht="23.25">
      <c r="A150" s="57" t="s">
        <v>5</v>
      </c>
      <c r="B150" s="57" t="s">
        <v>6</v>
      </c>
      <c r="C150" s="57" t="s">
        <v>7</v>
      </c>
      <c r="D150" s="57" t="s">
        <v>8</v>
      </c>
      <c r="E150" s="57" t="s">
        <v>9</v>
      </c>
      <c r="F150" s="57" t="s">
        <v>10</v>
      </c>
      <c r="G150" s="57" t="s">
        <v>11</v>
      </c>
      <c r="H150" s="57" t="s">
        <v>12</v>
      </c>
      <c r="I150" s="57" t="s">
        <v>13</v>
      </c>
      <c r="J150" s="57" t="s">
        <v>14</v>
      </c>
      <c r="K150" s="57" t="s">
        <v>15</v>
      </c>
      <c r="L150" s="57" t="s">
        <v>16</v>
      </c>
      <c r="M150" s="48" t="s">
        <v>17</v>
      </c>
      <c r="N150" s="48" t="s">
        <v>18</v>
      </c>
      <c r="O150" s="48" t="s">
        <v>19</v>
      </c>
      <c r="P150" s="106" t="s">
        <v>20</v>
      </c>
    </row>
    <row r="151" spans="1:16" ht="14.25" customHeight="1">
      <c r="A151" s="201" t="s">
        <v>27</v>
      </c>
      <c r="B151" s="86" t="s">
        <v>96</v>
      </c>
      <c r="C151" s="140">
        <v>8</v>
      </c>
      <c r="D151" s="140" cm="1">
        <f t="array" ref="D151:L151">TRANSPOSE([4]Master!$AE$47:$AE$55)</f>
        <v>0</v>
      </c>
      <c r="E151" s="140">
        <v>0</v>
      </c>
      <c r="F151" s="140">
        <v>0</v>
      </c>
      <c r="G151" s="140">
        <v>0</v>
      </c>
      <c r="H151" s="140">
        <v>0</v>
      </c>
      <c r="I151" s="140">
        <v>1</v>
      </c>
      <c r="J151" s="140">
        <v>4</v>
      </c>
      <c r="K151" s="140">
        <v>1</v>
      </c>
      <c r="L151" s="140">
        <v>18</v>
      </c>
      <c r="M151" s="7">
        <f>SUM(D151:I151)</f>
        <v>1</v>
      </c>
      <c r="N151" s="8">
        <f>((M151/C151)*100)</f>
        <v>12.5</v>
      </c>
      <c r="O151" s="7">
        <f>SUM(D151:K151)</f>
        <v>6</v>
      </c>
      <c r="P151" s="8">
        <f>((O151/C151)*100)</f>
        <v>75</v>
      </c>
    </row>
    <row r="152" spans="1:16" ht="14.25" customHeight="1">
      <c r="A152" s="165" t="s">
        <v>29</v>
      </c>
      <c r="B152" s="86" t="s">
        <v>97</v>
      </c>
      <c r="C152" s="140">
        <v>8</v>
      </c>
      <c r="D152" s="140" cm="1">
        <f t="array" ref="D152:L152">TRANSPOSE([5]Master!$AE$47:$AE$55)</f>
        <v>0</v>
      </c>
      <c r="E152" s="140">
        <v>0</v>
      </c>
      <c r="F152" s="140">
        <v>0</v>
      </c>
      <c r="G152" s="140">
        <v>0</v>
      </c>
      <c r="H152" s="140">
        <v>0</v>
      </c>
      <c r="I152" s="140">
        <v>2</v>
      </c>
      <c r="J152" s="140">
        <v>1</v>
      </c>
      <c r="K152" s="140">
        <v>4</v>
      </c>
      <c r="L152" s="140">
        <v>12</v>
      </c>
      <c r="M152" s="7">
        <f>SUM(D152:I152)</f>
        <v>2</v>
      </c>
      <c r="N152" s="8">
        <f>((M152/C152)*100)</f>
        <v>25</v>
      </c>
      <c r="O152" s="7">
        <f>SUM(D152:K152)</f>
        <v>7</v>
      </c>
      <c r="P152" s="8">
        <f>((O152/C152)*100)</f>
        <v>87.5</v>
      </c>
    </row>
    <row r="153" spans="1:16" ht="13.5" customHeight="1">
      <c r="A153" s="160"/>
      <c r="B153" s="161" t="s">
        <v>33</v>
      </c>
      <c r="C153" s="165">
        <f>SUM(C151:C152)</f>
        <v>16</v>
      </c>
      <c r="D153" s="165">
        <f t="shared" ref="D153:L153" si="40">SUM(D151:D152)</f>
        <v>0</v>
      </c>
      <c r="E153" s="165">
        <f t="shared" si="40"/>
        <v>0</v>
      </c>
      <c r="F153" s="165">
        <f t="shared" si="40"/>
        <v>0</v>
      </c>
      <c r="G153" s="165">
        <f t="shared" si="40"/>
        <v>0</v>
      </c>
      <c r="H153" s="165">
        <f t="shared" si="40"/>
        <v>0</v>
      </c>
      <c r="I153" s="165">
        <f t="shared" si="40"/>
        <v>3</v>
      </c>
      <c r="J153" s="165">
        <f t="shared" si="40"/>
        <v>5</v>
      </c>
      <c r="K153" s="165">
        <f t="shared" si="40"/>
        <v>5</v>
      </c>
      <c r="L153" s="165">
        <f t="shared" si="40"/>
        <v>30</v>
      </c>
      <c r="M153" s="165">
        <f>SUM(M151:M152)</f>
        <v>3</v>
      </c>
      <c r="N153" s="9">
        <f>((M153/C153)*100)</f>
        <v>18.75</v>
      </c>
      <c r="O153" s="165">
        <f>SUM(O151:O152)</f>
        <v>13</v>
      </c>
      <c r="P153" s="9">
        <f>((O153/C153)*100)</f>
        <v>81.25</v>
      </c>
    </row>
    <row r="154" spans="1:16" ht="6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1"/>
      <c r="O154" s="10"/>
      <c r="P154" s="11"/>
    </row>
    <row r="155" spans="1:16" ht="21" customHeight="1">
      <c r="A155" s="152" t="s">
        <v>98</v>
      </c>
    </row>
    <row r="156" spans="1:16" ht="13.5" customHeight="1">
      <c r="D156" s="229" t="s">
        <v>1</v>
      </c>
      <c r="E156" s="230"/>
      <c r="F156" s="229" t="s">
        <v>2</v>
      </c>
      <c r="G156" s="239"/>
      <c r="H156" s="239"/>
      <c r="I156" s="230"/>
      <c r="J156" s="229" t="s">
        <v>3</v>
      </c>
      <c r="K156" s="230"/>
      <c r="L156" s="165" t="s">
        <v>4</v>
      </c>
    </row>
    <row r="157" spans="1:16" ht="25.5">
      <c r="A157" s="57" t="s">
        <v>5</v>
      </c>
      <c r="B157" s="57" t="s">
        <v>6</v>
      </c>
      <c r="C157" s="57" t="s">
        <v>7</v>
      </c>
      <c r="D157" s="57" t="s">
        <v>8</v>
      </c>
      <c r="E157" s="57" t="s">
        <v>9</v>
      </c>
      <c r="F157" s="57" t="s">
        <v>10</v>
      </c>
      <c r="G157" s="57" t="s">
        <v>11</v>
      </c>
      <c r="H157" s="57" t="s">
        <v>12</v>
      </c>
      <c r="I157" s="57" t="s">
        <v>13</v>
      </c>
      <c r="J157" s="57" t="s">
        <v>14</v>
      </c>
      <c r="K157" s="57" t="s">
        <v>15</v>
      </c>
      <c r="L157" s="57" t="s">
        <v>16</v>
      </c>
      <c r="M157" s="48" t="s">
        <v>17</v>
      </c>
      <c r="N157" s="48" t="s">
        <v>18</v>
      </c>
      <c r="O157" s="48" t="s">
        <v>19</v>
      </c>
      <c r="P157" s="106" t="s">
        <v>20</v>
      </c>
    </row>
    <row r="158" spans="1:16">
      <c r="A158" s="165" t="s">
        <v>21</v>
      </c>
      <c r="B158" s="86" t="s">
        <v>99</v>
      </c>
      <c r="C158" s="140">
        <v>18</v>
      </c>
      <c r="D158" s="140" cm="1">
        <f t="array" ref="D158:L158">TRANSPOSE([1]Master!$AE$47:$AE$55)</f>
        <v>0</v>
      </c>
      <c r="E158" s="140">
        <v>0</v>
      </c>
      <c r="F158" s="140">
        <v>0</v>
      </c>
      <c r="G158" s="140">
        <v>2</v>
      </c>
      <c r="H158" s="140">
        <v>2</v>
      </c>
      <c r="I158" s="140">
        <v>5</v>
      </c>
      <c r="J158" s="140">
        <v>8</v>
      </c>
      <c r="K158" s="140">
        <v>0</v>
      </c>
      <c r="L158" s="140">
        <v>1</v>
      </c>
      <c r="M158" s="7">
        <f>SUM(D158:I158)</f>
        <v>9</v>
      </c>
      <c r="N158" s="8">
        <f>((M158/C158)*100)</f>
        <v>50</v>
      </c>
      <c r="O158" s="7">
        <f>SUM(D158:K158)</f>
        <v>17</v>
      </c>
      <c r="P158" s="8">
        <f>((O158/C158)*100)</f>
        <v>94.444444444444443</v>
      </c>
    </row>
    <row r="159" spans="1:16">
      <c r="A159" s="160"/>
      <c r="B159" s="161" t="s">
        <v>33</v>
      </c>
      <c r="C159" s="165">
        <f>SUM(C158:C158)</f>
        <v>18</v>
      </c>
      <c r="D159" s="165">
        <f t="shared" ref="D159:L159" si="41">SUM(D158:D158)</f>
        <v>0</v>
      </c>
      <c r="E159" s="165">
        <f t="shared" si="41"/>
        <v>0</v>
      </c>
      <c r="F159" s="165">
        <f t="shared" si="41"/>
        <v>0</v>
      </c>
      <c r="G159" s="165">
        <f t="shared" si="41"/>
        <v>2</v>
      </c>
      <c r="H159" s="165">
        <f t="shared" si="41"/>
        <v>2</v>
      </c>
      <c r="I159" s="165">
        <f t="shared" si="41"/>
        <v>5</v>
      </c>
      <c r="J159" s="165">
        <f t="shared" si="41"/>
        <v>8</v>
      </c>
      <c r="K159" s="165">
        <f t="shared" si="41"/>
        <v>0</v>
      </c>
      <c r="L159" s="165">
        <f t="shared" si="41"/>
        <v>1</v>
      </c>
      <c r="M159" s="165">
        <f>SUM(M158:M158)</f>
        <v>9</v>
      </c>
      <c r="N159" s="9">
        <f>((M159/C159)*100)</f>
        <v>50</v>
      </c>
      <c r="O159" s="165">
        <f>SUM(O158:O158)</f>
        <v>17</v>
      </c>
      <c r="P159" s="9">
        <f>((O159/C159)*100)</f>
        <v>94.444444444444443</v>
      </c>
    </row>
    <row r="160" spans="1:16" ht="44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1"/>
      <c r="O160" s="10"/>
      <c r="P160" s="11"/>
    </row>
    <row r="161" spans="1:16" ht="18">
      <c r="A161" s="152" t="s">
        <v>100</v>
      </c>
    </row>
    <row r="162" spans="1:16">
      <c r="D162" s="2" t="s">
        <v>1</v>
      </c>
      <c r="E162" s="3"/>
      <c r="F162" s="160"/>
      <c r="G162" s="162" t="s">
        <v>2</v>
      </c>
      <c r="H162" s="162"/>
      <c r="I162" s="161"/>
      <c r="J162" s="4" t="s">
        <v>3</v>
      </c>
      <c r="K162" s="3"/>
      <c r="L162" s="165" t="s">
        <v>4</v>
      </c>
    </row>
    <row r="163" spans="1:16" ht="25.5">
      <c r="A163" s="57" t="s">
        <v>5</v>
      </c>
      <c r="B163" s="57" t="s">
        <v>6</v>
      </c>
      <c r="C163" s="57" t="s">
        <v>7</v>
      </c>
      <c r="D163" s="57" t="s">
        <v>8</v>
      </c>
      <c r="E163" s="57" t="s">
        <v>9</v>
      </c>
      <c r="F163" s="57" t="s">
        <v>10</v>
      </c>
      <c r="G163" s="57" t="s">
        <v>11</v>
      </c>
      <c r="H163" s="57" t="s">
        <v>12</v>
      </c>
      <c r="I163" s="57" t="s">
        <v>13</v>
      </c>
      <c r="J163" s="57" t="s">
        <v>14</v>
      </c>
      <c r="K163" s="57" t="s">
        <v>15</v>
      </c>
      <c r="L163" s="57" t="s">
        <v>16</v>
      </c>
      <c r="M163" s="48" t="s">
        <v>17</v>
      </c>
      <c r="N163" s="48" t="s">
        <v>18</v>
      </c>
      <c r="O163" s="48" t="s">
        <v>19</v>
      </c>
      <c r="P163" s="106" t="s">
        <v>20</v>
      </c>
    </row>
    <row r="164" spans="1:16">
      <c r="A164" s="165" t="s">
        <v>31</v>
      </c>
      <c r="B164" s="86" t="s">
        <v>101</v>
      </c>
      <c r="C164" s="140">
        <v>12</v>
      </c>
      <c r="D164" s="140" cm="1">
        <f t="array" ref="D164:L164">TRANSPOSE([7]Master!$AB$45:$AB$53)</f>
        <v>0</v>
      </c>
      <c r="E164" s="140">
        <v>0</v>
      </c>
      <c r="F164" s="140">
        <v>0</v>
      </c>
      <c r="G164" s="140">
        <v>0</v>
      </c>
      <c r="H164" s="140">
        <v>4</v>
      </c>
      <c r="I164" s="140">
        <v>2</v>
      </c>
      <c r="J164" s="140">
        <v>4</v>
      </c>
      <c r="K164" s="140">
        <v>0</v>
      </c>
      <c r="L164" s="140">
        <v>9</v>
      </c>
      <c r="M164" s="7">
        <f>SUM(D164:I164)</f>
        <v>6</v>
      </c>
      <c r="N164" s="39">
        <f>((M164/C164)*100)</f>
        <v>50</v>
      </c>
      <c r="O164" s="7">
        <f>SUM(D164:K164)</f>
        <v>10</v>
      </c>
      <c r="P164" s="8">
        <f>((O164/C164)*100)</f>
        <v>83.333333333333343</v>
      </c>
    </row>
    <row r="165" spans="1:16">
      <c r="A165" s="165" t="s">
        <v>32</v>
      </c>
      <c r="B165" s="86" t="s">
        <v>101</v>
      </c>
      <c r="C165" s="140">
        <v>9</v>
      </c>
      <c r="D165" s="140" cm="1">
        <f t="array" ref="D165:L165">TRANSPOSE([8]Master!$AB$47:$AB$55)</f>
        <v>0</v>
      </c>
      <c r="E165" s="140">
        <v>0</v>
      </c>
      <c r="F165" s="140">
        <v>0</v>
      </c>
      <c r="G165" s="140">
        <v>3</v>
      </c>
      <c r="H165" s="140">
        <v>3</v>
      </c>
      <c r="I165" s="140">
        <v>2</v>
      </c>
      <c r="J165" s="140">
        <v>1</v>
      </c>
      <c r="K165" s="140">
        <v>0</v>
      </c>
      <c r="L165" s="140">
        <v>9</v>
      </c>
      <c r="M165" s="7">
        <f>SUM(D165:I165)</f>
        <v>8</v>
      </c>
      <c r="N165" s="39">
        <f>((M165/C165)*100)</f>
        <v>88.888888888888886</v>
      </c>
      <c r="O165" s="7">
        <f>SUM(D165:K165)</f>
        <v>9</v>
      </c>
      <c r="P165" s="8">
        <f>((O165/C165)*100)</f>
        <v>100</v>
      </c>
    </row>
    <row r="166" spans="1:16" ht="13.5" customHeight="1">
      <c r="A166" s="160"/>
      <c r="B166" s="161" t="s">
        <v>33</v>
      </c>
      <c r="C166" s="165">
        <f>SUM(C164:C165)</f>
        <v>21</v>
      </c>
      <c r="D166" s="165">
        <f t="shared" ref="D166:L166" si="42">SUM(D164:D165)</f>
        <v>0</v>
      </c>
      <c r="E166" s="165">
        <f t="shared" si="42"/>
        <v>0</v>
      </c>
      <c r="F166" s="165">
        <f t="shared" si="42"/>
        <v>0</v>
      </c>
      <c r="G166" s="165">
        <f t="shared" si="42"/>
        <v>3</v>
      </c>
      <c r="H166" s="165">
        <f t="shared" si="42"/>
        <v>7</v>
      </c>
      <c r="I166" s="165">
        <f t="shared" si="42"/>
        <v>4</v>
      </c>
      <c r="J166" s="165">
        <f t="shared" si="42"/>
        <v>5</v>
      </c>
      <c r="K166" s="165">
        <f t="shared" si="42"/>
        <v>0</v>
      </c>
      <c r="L166" s="165">
        <f t="shared" si="42"/>
        <v>18</v>
      </c>
      <c r="M166" s="165">
        <f>SUM(M164:M165)</f>
        <v>14</v>
      </c>
      <c r="N166" s="9">
        <f>((M166/C166)*100)</f>
        <v>66.666666666666657</v>
      </c>
      <c r="O166" s="165">
        <f>SUM(D166:K166)</f>
        <v>19</v>
      </c>
      <c r="P166" s="9">
        <f>((O166/C166)*100)</f>
        <v>90.476190476190482</v>
      </c>
    </row>
    <row r="167" spans="1:16" ht="12" hidden="1" customHeight="1">
      <c r="A167" s="12"/>
    </row>
    <row r="168" spans="1:16" ht="3.75" customHeight="1">
      <c r="A168" s="12"/>
    </row>
    <row r="169" spans="1:16" ht="15.75" customHeight="1">
      <c r="A169" s="152" t="s">
        <v>102</v>
      </c>
    </row>
    <row r="170" spans="1:16" s="5" customFormat="1">
      <c r="A170" s="154"/>
      <c r="B170"/>
      <c r="C170"/>
      <c r="D170" s="2" t="s">
        <v>1</v>
      </c>
      <c r="E170" s="3"/>
      <c r="F170" s="160"/>
      <c r="G170" s="162" t="s">
        <v>2</v>
      </c>
      <c r="H170" s="162"/>
      <c r="I170" s="161"/>
      <c r="J170" s="4" t="s">
        <v>3</v>
      </c>
      <c r="K170" s="3"/>
      <c r="L170" s="165" t="s">
        <v>4</v>
      </c>
      <c r="M170"/>
      <c r="N170"/>
      <c r="O170"/>
      <c r="P170" s="105"/>
    </row>
    <row r="171" spans="1:16" s="5" customFormat="1" ht="25.5">
      <c r="A171" s="155"/>
      <c r="B171" s="165" t="s">
        <v>6</v>
      </c>
      <c r="C171" s="165" t="s">
        <v>7</v>
      </c>
      <c r="D171" s="57" t="s">
        <v>8</v>
      </c>
      <c r="E171" s="57" t="s">
        <v>9</v>
      </c>
      <c r="F171" s="57" t="s">
        <v>10</v>
      </c>
      <c r="G171" s="57" t="s">
        <v>11</v>
      </c>
      <c r="H171" s="57" t="s">
        <v>12</v>
      </c>
      <c r="I171" s="57" t="s">
        <v>13</v>
      </c>
      <c r="J171" s="57" t="s">
        <v>14</v>
      </c>
      <c r="K171" s="57" t="s">
        <v>15</v>
      </c>
      <c r="L171" s="57" t="s">
        <v>16</v>
      </c>
      <c r="M171" s="6" t="s">
        <v>17</v>
      </c>
      <c r="N171" s="6" t="s">
        <v>18</v>
      </c>
      <c r="O171" s="6" t="s">
        <v>19</v>
      </c>
      <c r="P171" s="107" t="s">
        <v>20</v>
      </c>
    </row>
    <row r="172" spans="1:16" s="5" customFormat="1">
      <c r="A172" s="201" t="s">
        <v>27</v>
      </c>
      <c r="B172" s="140" t="s">
        <v>103</v>
      </c>
      <c r="C172" s="140">
        <v>24</v>
      </c>
      <c r="D172" s="145" cm="1">
        <f t="array" ref="D172:L172">TRANSPOSE([4]Master!$Y$47:$Y$55)</f>
        <v>0</v>
      </c>
      <c r="E172" s="145">
        <v>1</v>
      </c>
      <c r="F172" s="145">
        <v>0</v>
      </c>
      <c r="G172" s="145">
        <v>1</v>
      </c>
      <c r="H172" s="145">
        <v>1</v>
      </c>
      <c r="I172" s="145">
        <v>4</v>
      </c>
      <c r="J172" s="145">
        <v>9</v>
      </c>
      <c r="K172" s="145">
        <v>3</v>
      </c>
      <c r="L172" s="145">
        <v>5</v>
      </c>
      <c r="M172" s="7">
        <f>SUM(D172:I172)</f>
        <v>7</v>
      </c>
      <c r="N172" s="39">
        <f>((M172/C172)*100)</f>
        <v>29.166666666666668</v>
      </c>
      <c r="O172" s="7">
        <f>SUM(D172:K172)</f>
        <v>19</v>
      </c>
      <c r="P172" s="8">
        <f>((O172/C172)*100)</f>
        <v>79.166666666666657</v>
      </c>
    </row>
    <row r="173" spans="1:16">
      <c r="A173" s="165" t="s">
        <v>29</v>
      </c>
      <c r="B173" s="62" t="s">
        <v>103</v>
      </c>
      <c r="C173" s="62">
        <v>19</v>
      </c>
      <c r="D173" s="62" cm="1">
        <f t="array" ref="D173:L173">TRANSPOSE([5]Master!$Y$47:$Y$55)</f>
        <v>0</v>
      </c>
      <c r="E173" s="62">
        <v>0</v>
      </c>
      <c r="F173" s="62">
        <v>1</v>
      </c>
      <c r="G173" s="62">
        <v>0</v>
      </c>
      <c r="H173" s="62">
        <v>1</v>
      </c>
      <c r="I173" s="62">
        <v>1</v>
      </c>
      <c r="J173" s="62">
        <v>7</v>
      </c>
      <c r="K173" s="62">
        <v>4</v>
      </c>
      <c r="L173" s="140">
        <v>5</v>
      </c>
      <c r="M173" s="7">
        <f>SUM(D173:I173)</f>
        <v>3</v>
      </c>
      <c r="N173" s="39">
        <f>((M173/C173)*100)</f>
        <v>15.789473684210526</v>
      </c>
      <c r="O173" s="7">
        <f>SUM(D173:K173)</f>
        <v>14</v>
      </c>
      <c r="P173" s="8">
        <f>((O173/C173)*100)</f>
        <v>73.68421052631578</v>
      </c>
    </row>
    <row r="174" spans="1:16" s="5" customFormat="1">
      <c r="A174" s="165"/>
      <c r="B174" s="161" t="s">
        <v>33</v>
      </c>
      <c r="C174" s="165">
        <f>SUM(C172:C173)</f>
        <v>43</v>
      </c>
      <c r="D174" s="165">
        <f>SUM(D172:D173)</f>
        <v>0</v>
      </c>
      <c r="E174" s="165">
        <f t="shared" ref="E174:L174" si="43">SUM(E172:E173)</f>
        <v>1</v>
      </c>
      <c r="F174" s="165">
        <f t="shared" si="43"/>
        <v>1</v>
      </c>
      <c r="G174" s="165">
        <f t="shared" si="43"/>
        <v>1</v>
      </c>
      <c r="H174" s="165">
        <f t="shared" si="43"/>
        <v>2</v>
      </c>
      <c r="I174" s="165">
        <f t="shared" si="43"/>
        <v>5</v>
      </c>
      <c r="J174" s="165">
        <f t="shared" si="43"/>
        <v>16</v>
      </c>
      <c r="K174" s="165">
        <f t="shared" si="43"/>
        <v>7</v>
      </c>
      <c r="L174" s="165">
        <f t="shared" si="43"/>
        <v>10</v>
      </c>
      <c r="M174" s="165">
        <f>SUM(M172:M173)</f>
        <v>10</v>
      </c>
      <c r="N174" s="9">
        <f>((M174/C174)*100)</f>
        <v>23.255813953488371</v>
      </c>
      <c r="O174" s="165">
        <f>SUM(O172:O173)</f>
        <v>33</v>
      </c>
      <c r="P174" s="9">
        <f>((O174/C174)*100)</f>
        <v>76.744186046511629</v>
      </c>
    </row>
    <row r="175" spans="1:16" s="5" customFormat="1" hidden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1"/>
      <c r="O175" s="10"/>
      <c r="P175" s="11"/>
    </row>
    <row r="176" spans="1:16" s="5" customFormat="1" ht="4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1"/>
      <c r="O176" s="10"/>
      <c r="P176" s="11"/>
    </row>
    <row r="177" spans="1:16" ht="18">
      <c r="A177" s="152" t="s">
        <v>104</v>
      </c>
    </row>
    <row r="178" spans="1:16" s="5" customFormat="1">
      <c r="A178"/>
      <c r="B178"/>
      <c r="C178"/>
      <c r="D178" s="2" t="s">
        <v>1</v>
      </c>
      <c r="E178" s="3"/>
      <c r="F178" s="160"/>
      <c r="G178" s="162" t="s">
        <v>2</v>
      </c>
      <c r="H178" s="162"/>
      <c r="I178" s="161"/>
      <c r="J178" s="4" t="s">
        <v>3</v>
      </c>
      <c r="K178" s="3"/>
      <c r="L178" s="165" t="s">
        <v>4</v>
      </c>
      <c r="M178"/>
      <c r="N178"/>
      <c r="O178"/>
      <c r="P178" s="105"/>
    </row>
    <row r="179" spans="1:16" s="5" customFormat="1" ht="25.5">
      <c r="A179" s="165" t="s">
        <v>5</v>
      </c>
      <c r="B179" s="165" t="s">
        <v>6</v>
      </c>
      <c r="C179" s="165" t="s">
        <v>7</v>
      </c>
      <c r="D179" s="57" t="s">
        <v>8</v>
      </c>
      <c r="E179" s="57" t="s">
        <v>9</v>
      </c>
      <c r="F179" s="57" t="s">
        <v>10</v>
      </c>
      <c r="G179" s="57" t="s">
        <v>11</v>
      </c>
      <c r="H179" s="57" t="s">
        <v>12</v>
      </c>
      <c r="I179" s="57" t="s">
        <v>13</v>
      </c>
      <c r="J179" s="57" t="s">
        <v>14</v>
      </c>
      <c r="K179" s="57" t="s">
        <v>15</v>
      </c>
      <c r="L179" s="57" t="s">
        <v>16</v>
      </c>
      <c r="M179" s="6" t="s">
        <v>17</v>
      </c>
      <c r="N179" s="6" t="s">
        <v>18</v>
      </c>
      <c r="O179" s="6" t="s">
        <v>19</v>
      </c>
      <c r="P179" s="107" t="s">
        <v>20</v>
      </c>
    </row>
    <row r="180" spans="1:16" s="5" customFormat="1">
      <c r="A180" s="165" t="s">
        <v>31</v>
      </c>
      <c r="B180" s="86" t="s">
        <v>105</v>
      </c>
      <c r="C180" s="140">
        <v>9</v>
      </c>
      <c r="D180" s="140" cm="1">
        <f t="array" ref="D180:L180">TRANSPOSE([7]Master!$AE$45:$AE$53)</f>
        <v>0</v>
      </c>
      <c r="E180" s="140">
        <v>0</v>
      </c>
      <c r="F180" s="140">
        <v>0</v>
      </c>
      <c r="G180" s="140">
        <v>1</v>
      </c>
      <c r="H180" s="145">
        <v>0</v>
      </c>
      <c r="I180" s="178">
        <v>2</v>
      </c>
      <c r="J180" s="178">
        <v>3</v>
      </c>
      <c r="K180" s="178">
        <v>3</v>
      </c>
      <c r="L180" s="178">
        <v>10</v>
      </c>
      <c r="M180" s="7">
        <f>SUM(D180:I180)</f>
        <v>3</v>
      </c>
      <c r="N180" s="39">
        <f>((M180/C180)*100)</f>
        <v>33.333333333333329</v>
      </c>
      <c r="O180" s="7">
        <f>SUM(D180:K180)</f>
        <v>9</v>
      </c>
      <c r="P180" s="8">
        <f>((O180/C180)*100)</f>
        <v>100</v>
      </c>
    </row>
    <row r="181" spans="1:16" s="5" customFormat="1">
      <c r="A181" s="165" t="s">
        <v>32</v>
      </c>
      <c r="B181" s="86" t="s">
        <v>106</v>
      </c>
      <c r="C181" s="140">
        <v>9</v>
      </c>
      <c r="D181" s="140" cm="1">
        <f t="array" ref="D181:L181">TRANSPOSE([8]Master!$AE$47:$AE$55)</f>
        <v>0</v>
      </c>
      <c r="E181" s="140">
        <v>0</v>
      </c>
      <c r="F181" s="140">
        <v>0</v>
      </c>
      <c r="G181" s="140">
        <v>1</v>
      </c>
      <c r="H181" s="169">
        <v>0</v>
      </c>
      <c r="I181" s="197">
        <v>2</v>
      </c>
      <c r="J181" s="197">
        <v>4</v>
      </c>
      <c r="K181" s="197">
        <v>2</v>
      </c>
      <c r="L181" s="197">
        <v>10</v>
      </c>
      <c r="M181" s="7">
        <f>SUM(D181:I181)</f>
        <v>3</v>
      </c>
      <c r="N181" s="39">
        <f>((M181/C181)*100)</f>
        <v>33.333333333333329</v>
      </c>
      <c r="O181" s="7">
        <f>SUM(D181:K181)</f>
        <v>9</v>
      </c>
      <c r="P181" s="8">
        <f>((O181/C181)*100)</f>
        <v>100</v>
      </c>
    </row>
    <row r="182" spans="1:16" s="5" customFormat="1">
      <c r="A182" s="165"/>
      <c r="B182" s="161" t="s">
        <v>33</v>
      </c>
      <c r="C182" s="165">
        <f>SUM(C180:C181)</f>
        <v>18</v>
      </c>
      <c r="D182" s="165">
        <f t="shared" ref="D182:L182" si="44">SUM(D180:D181)</f>
        <v>0</v>
      </c>
      <c r="E182" s="165">
        <f t="shared" si="44"/>
        <v>0</v>
      </c>
      <c r="F182" s="165">
        <f t="shared" si="44"/>
        <v>0</v>
      </c>
      <c r="G182" s="165">
        <f t="shared" si="44"/>
        <v>2</v>
      </c>
      <c r="H182" s="165">
        <f t="shared" si="44"/>
        <v>0</v>
      </c>
      <c r="I182" s="165">
        <f t="shared" si="44"/>
        <v>4</v>
      </c>
      <c r="J182" s="165">
        <f t="shared" si="44"/>
        <v>7</v>
      </c>
      <c r="K182" s="165">
        <f t="shared" si="44"/>
        <v>5</v>
      </c>
      <c r="L182" s="165">
        <f t="shared" si="44"/>
        <v>20</v>
      </c>
      <c r="M182" s="165">
        <f>SUM(M180:M181)</f>
        <v>6</v>
      </c>
      <c r="N182" s="8">
        <f>((M182/C182)*100)</f>
        <v>33.333333333333329</v>
      </c>
      <c r="O182" s="165">
        <f>SUM(O180:O181)</f>
        <v>18</v>
      </c>
      <c r="P182" s="8">
        <f>((O182/C182)*100)</f>
        <v>100</v>
      </c>
    </row>
    <row r="183" spans="1:16" s="5" customFormat="1" ht="4.5" customHeight="1">
      <c r="A183" s="156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1"/>
      <c r="O183" s="10"/>
      <c r="P183" s="11"/>
    </row>
    <row r="184" spans="1:16" s="5" customFormat="1" ht="18">
      <c r="A184" s="153" t="s">
        <v>107</v>
      </c>
      <c r="B184" s="144"/>
      <c r="N184" s="49"/>
      <c r="P184" s="49"/>
    </row>
    <row r="185" spans="1:16" s="5" customFormat="1">
      <c r="A185" s="154"/>
      <c r="B185"/>
      <c r="C185"/>
      <c r="D185" s="2" t="s">
        <v>1</v>
      </c>
      <c r="E185" s="3"/>
      <c r="F185" s="160"/>
      <c r="G185" s="162" t="s">
        <v>2</v>
      </c>
      <c r="H185" s="162"/>
      <c r="I185" s="161"/>
      <c r="J185" s="4" t="s">
        <v>3</v>
      </c>
      <c r="K185" s="3"/>
      <c r="L185" s="165" t="s">
        <v>4</v>
      </c>
      <c r="M185"/>
      <c r="N185"/>
      <c r="O185"/>
      <c r="P185" s="105"/>
    </row>
    <row r="186" spans="1:16" s="5" customFormat="1" ht="25.5">
      <c r="A186" s="165" t="s">
        <v>5</v>
      </c>
      <c r="B186" s="165" t="s">
        <v>6</v>
      </c>
      <c r="C186" s="165" t="s">
        <v>7</v>
      </c>
      <c r="D186" s="57" t="s">
        <v>8</v>
      </c>
      <c r="E186" s="57" t="s">
        <v>9</v>
      </c>
      <c r="F186" s="57" t="s">
        <v>10</v>
      </c>
      <c r="G186" s="57" t="s">
        <v>11</v>
      </c>
      <c r="H186" s="57" t="s">
        <v>12</v>
      </c>
      <c r="I186" s="57" t="s">
        <v>13</v>
      </c>
      <c r="J186" s="57" t="s">
        <v>14</v>
      </c>
      <c r="K186" s="57" t="s">
        <v>15</v>
      </c>
      <c r="L186" s="57" t="s">
        <v>16</v>
      </c>
      <c r="M186" s="6" t="s">
        <v>17</v>
      </c>
      <c r="N186" s="6" t="s">
        <v>18</v>
      </c>
      <c r="O186" s="6" t="s">
        <v>19</v>
      </c>
      <c r="P186" s="107" t="s">
        <v>20</v>
      </c>
    </row>
    <row r="187" spans="1:16">
      <c r="A187" s="201" t="s">
        <v>23</v>
      </c>
      <c r="B187" s="86" t="s">
        <v>108</v>
      </c>
      <c r="C187" s="7">
        <v>20</v>
      </c>
      <c r="D187" s="7" cm="1">
        <f t="array" ref="D187:L187">TRANSPOSE([2]Master!$AE$47:$AE$55)</f>
        <v>0</v>
      </c>
      <c r="E187" s="7">
        <v>1</v>
      </c>
      <c r="F187" s="7">
        <v>0</v>
      </c>
      <c r="G187" s="7">
        <v>0</v>
      </c>
      <c r="H187" s="7">
        <v>0</v>
      </c>
      <c r="I187" s="7">
        <v>2</v>
      </c>
      <c r="J187" s="7">
        <v>3</v>
      </c>
      <c r="K187" s="7">
        <v>4</v>
      </c>
      <c r="L187" s="7">
        <v>10</v>
      </c>
      <c r="M187" s="7">
        <f>SUM(D187:I187)</f>
        <v>3</v>
      </c>
      <c r="N187" s="8">
        <f>((M187/C187)*100)</f>
        <v>15</v>
      </c>
      <c r="O187" s="7">
        <f>SUM(D187:K187)</f>
        <v>10</v>
      </c>
      <c r="P187" s="8">
        <f>((O187/C187)*100)</f>
        <v>50</v>
      </c>
    </row>
    <row r="188" spans="1:16">
      <c r="A188" s="201" t="s">
        <v>25</v>
      </c>
      <c r="B188" s="137" t="s">
        <v>108</v>
      </c>
      <c r="C188" s="7">
        <v>19</v>
      </c>
      <c r="D188" s="7" cm="1">
        <f t="array" ref="D188:L188">TRANSPOSE([3]Master!$AE$47:$AE$55)</f>
        <v>0</v>
      </c>
      <c r="E188" s="7">
        <v>0</v>
      </c>
      <c r="F188" s="7">
        <v>0</v>
      </c>
      <c r="G188" s="7">
        <v>0</v>
      </c>
      <c r="H188" s="7">
        <v>0</v>
      </c>
      <c r="I188" s="7">
        <v>2</v>
      </c>
      <c r="J188" s="7">
        <v>5</v>
      </c>
      <c r="K188" s="7">
        <v>5</v>
      </c>
      <c r="L188" s="7">
        <v>7</v>
      </c>
      <c r="M188" s="7">
        <f>SUM(D188:I188)</f>
        <v>2</v>
      </c>
      <c r="N188" s="8">
        <f>((M188/C188)*100)</f>
        <v>10.526315789473683</v>
      </c>
      <c r="O188" s="7">
        <f>SUM(D188:K188)</f>
        <v>12</v>
      </c>
      <c r="P188" s="8">
        <f>((O188/C188)*100)</f>
        <v>63.157894736842103</v>
      </c>
    </row>
    <row r="189" spans="1:16">
      <c r="A189" s="160"/>
      <c r="B189" s="161" t="s">
        <v>33</v>
      </c>
      <c r="C189" s="165">
        <f>SUM(C187:C188)</f>
        <v>39</v>
      </c>
      <c r="D189" s="165">
        <f t="shared" ref="D189:L189" si="45">SUM(D187:D188)</f>
        <v>0</v>
      </c>
      <c r="E189" s="165">
        <f t="shared" si="45"/>
        <v>1</v>
      </c>
      <c r="F189" s="165">
        <f t="shared" si="45"/>
        <v>0</v>
      </c>
      <c r="G189" s="165">
        <f t="shared" si="45"/>
        <v>0</v>
      </c>
      <c r="H189" s="165">
        <f t="shared" si="45"/>
        <v>0</v>
      </c>
      <c r="I189" s="165">
        <f t="shared" si="45"/>
        <v>4</v>
      </c>
      <c r="J189" s="165">
        <f t="shared" si="45"/>
        <v>8</v>
      </c>
      <c r="K189" s="165">
        <f t="shared" si="45"/>
        <v>9</v>
      </c>
      <c r="L189" s="165">
        <f t="shared" si="45"/>
        <v>17</v>
      </c>
      <c r="M189" s="165">
        <f>SUM(M187:M188)</f>
        <v>5</v>
      </c>
      <c r="N189" s="9">
        <f>((M189/C189)*100)</f>
        <v>12.820512820512819</v>
      </c>
      <c r="O189" s="165">
        <f>SUM(O187:O188)</f>
        <v>22</v>
      </c>
      <c r="P189" s="9">
        <f>((O189/C189)*100)</f>
        <v>56.410256410256409</v>
      </c>
    </row>
    <row r="190" spans="1:16" ht="2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1"/>
      <c r="O190" s="10"/>
      <c r="P190" s="11"/>
    </row>
    <row r="191" spans="1:16" s="5" customFormat="1" ht="18">
      <c r="A191" s="153" t="s">
        <v>109</v>
      </c>
      <c r="B191" s="144"/>
      <c r="N191" s="49"/>
      <c r="P191" s="49"/>
    </row>
    <row r="192" spans="1:16" s="5" customFormat="1">
      <c r="A192"/>
      <c r="B192"/>
      <c r="C192"/>
      <c r="D192" s="2" t="s">
        <v>1</v>
      </c>
      <c r="E192" s="3"/>
      <c r="F192" s="160"/>
      <c r="G192" s="162" t="s">
        <v>2</v>
      </c>
      <c r="H192" s="162"/>
      <c r="I192" s="161"/>
      <c r="J192" s="4" t="s">
        <v>3</v>
      </c>
      <c r="K192" s="3"/>
      <c r="L192" s="165" t="s">
        <v>4</v>
      </c>
      <c r="M192"/>
      <c r="N192"/>
      <c r="O192"/>
      <c r="P192" s="105"/>
    </row>
    <row r="193" spans="1:16" s="5" customFormat="1" ht="25.5">
      <c r="A193" s="165" t="s">
        <v>5</v>
      </c>
      <c r="B193" s="165" t="s">
        <v>6</v>
      </c>
      <c r="C193" s="165" t="s">
        <v>7</v>
      </c>
      <c r="D193" s="57" t="s">
        <v>8</v>
      </c>
      <c r="E193" s="57" t="s">
        <v>9</v>
      </c>
      <c r="F193" s="57" t="s">
        <v>10</v>
      </c>
      <c r="G193" s="57" t="s">
        <v>11</v>
      </c>
      <c r="H193" s="57" t="s">
        <v>12</v>
      </c>
      <c r="I193" s="57" t="s">
        <v>13</v>
      </c>
      <c r="J193" s="57" t="s">
        <v>14</v>
      </c>
      <c r="K193" s="57" t="s">
        <v>15</v>
      </c>
      <c r="L193" s="57" t="s">
        <v>16</v>
      </c>
      <c r="M193" s="6" t="s">
        <v>17</v>
      </c>
      <c r="N193" s="6" t="s">
        <v>18</v>
      </c>
      <c r="O193" s="6" t="s">
        <v>19</v>
      </c>
      <c r="P193" s="107" t="s">
        <v>20</v>
      </c>
    </row>
    <row r="194" spans="1:16" s="5" customFormat="1">
      <c r="A194" s="202" t="s">
        <v>27</v>
      </c>
      <c r="B194" s="136" t="s">
        <v>110</v>
      </c>
      <c r="C194" s="178">
        <v>9</v>
      </c>
      <c r="D194" s="145" cm="1">
        <f t="array" ref="D194:L194">TRANSPOSE([4]Master!$AH$47:$AH$55)</f>
        <v>0</v>
      </c>
      <c r="E194" s="145">
        <v>3</v>
      </c>
      <c r="F194" s="145">
        <v>1</v>
      </c>
      <c r="G194" s="145">
        <v>0</v>
      </c>
      <c r="H194" s="145">
        <v>1</v>
      </c>
      <c r="I194" s="145">
        <v>1</v>
      </c>
      <c r="J194" s="145">
        <v>2</v>
      </c>
      <c r="K194" s="145">
        <v>1</v>
      </c>
      <c r="L194" s="145">
        <v>15</v>
      </c>
      <c r="M194" s="62">
        <f>SUM(D194:I194)</f>
        <v>6</v>
      </c>
      <c r="N194" s="177">
        <f>((M194/C194)*100)</f>
        <v>66.666666666666657</v>
      </c>
      <c r="O194" s="62">
        <f>SUM(D194:K194)</f>
        <v>9</v>
      </c>
      <c r="P194" s="177">
        <f>((O194/C194)*100)</f>
        <v>100</v>
      </c>
    </row>
    <row r="195" spans="1:16" s="5" customFormat="1">
      <c r="A195" s="163" t="s">
        <v>30</v>
      </c>
      <c r="B195" s="136" t="s">
        <v>110</v>
      </c>
      <c r="C195" s="178">
        <v>26</v>
      </c>
      <c r="D195" s="145" cm="1">
        <f t="array" ref="D195:L195">TRANSPOSE([6]Master!$AB$45:$AB$53)</f>
        <v>0</v>
      </c>
      <c r="E195" s="145">
        <v>1</v>
      </c>
      <c r="F195" s="145">
        <v>0</v>
      </c>
      <c r="G195" s="145">
        <v>5</v>
      </c>
      <c r="H195" s="145">
        <v>4</v>
      </c>
      <c r="I195" s="145">
        <v>6</v>
      </c>
      <c r="J195" s="145">
        <v>4</v>
      </c>
      <c r="K195" s="145">
        <v>2</v>
      </c>
      <c r="L195" s="145">
        <v>2</v>
      </c>
      <c r="M195" s="62">
        <f>SUM(D195:I195)</f>
        <v>16</v>
      </c>
      <c r="N195" s="177">
        <f>((M195/C195)*100)</f>
        <v>61.53846153846154</v>
      </c>
      <c r="O195" s="62">
        <f>SUM(D195:K195)</f>
        <v>22</v>
      </c>
      <c r="P195" s="177">
        <f>((O195/C195)*100)</f>
        <v>84.615384615384613</v>
      </c>
    </row>
    <row r="196" spans="1:16">
      <c r="A196" s="160"/>
      <c r="B196" s="165" t="s">
        <v>33</v>
      </c>
      <c r="C196" s="165">
        <f>SUM(C194:C195)</f>
        <v>35</v>
      </c>
      <c r="D196" s="165">
        <f t="shared" ref="D196:L196" si="46">SUM(D194:D195)</f>
        <v>0</v>
      </c>
      <c r="E196" s="165">
        <f t="shared" si="46"/>
        <v>4</v>
      </c>
      <c r="F196" s="165">
        <f t="shared" si="46"/>
        <v>1</v>
      </c>
      <c r="G196" s="165">
        <f t="shared" si="46"/>
        <v>5</v>
      </c>
      <c r="H196" s="165">
        <f t="shared" si="46"/>
        <v>5</v>
      </c>
      <c r="I196" s="165">
        <f t="shared" si="46"/>
        <v>7</v>
      </c>
      <c r="J196" s="165">
        <f t="shared" si="46"/>
        <v>6</v>
      </c>
      <c r="K196" s="165">
        <f t="shared" si="46"/>
        <v>3</v>
      </c>
      <c r="L196" s="165">
        <f t="shared" si="46"/>
        <v>17</v>
      </c>
      <c r="M196" s="165">
        <f>SUM(M194:M195)</f>
        <v>22</v>
      </c>
      <c r="N196" s="9">
        <f>((M196/C196)*100)</f>
        <v>62.857142857142854</v>
      </c>
      <c r="O196" s="165">
        <f>SUM(O194:O195)</f>
        <v>31</v>
      </c>
      <c r="P196" s="9">
        <f>((O196/C196)*100)</f>
        <v>88.571428571428569</v>
      </c>
    </row>
    <row r="197" spans="1:16" ht="12.75" hidden="1" customHeight="1">
      <c r="A197" s="12"/>
    </row>
    <row r="198" spans="1:16" ht="65.25" customHeight="1">
      <c r="A198" s="12"/>
    </row>
    <row r="199" spans="1:16" ht="18">
      <c r="A199" s="152" t="s">
        <v>111</v>
      </c>
      <c r="B199" s="20"/>
      <c r="C199" s="2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1"/>
      <c r="O199" s="10"/>
      <c r="P199" s="11"/>
    </row>
    <row r="200" spans="1:16">
      <c r="A200" s="36"/>
      <c r="B200" s="36"/>
      <c r="C200" s="36"/>
      <c r="D200" s="240" t="s">
        <v>1</v>
      </c>
      <c r="E200" s="241"/>
      <c r="F200" s="242" t="s">
        <v>2</v>
      </c>
      <c r="G200" s="243"/>
      <c r="H200" s="244" t="s">
        <v>3</v>
      </c>
      <c r="I200" s="244"/>
      <c r="J200" s="244"/>
      <c r="K200" s="241"/>
      <c r="L200" s="57" t="s">
        <v>4</v>
      </c>
      <c r="M200" s="36"/>
      <c r="N200" s="36"/>
      <c r="O200" s="36"/>
      <c r="P200" s="108"/>
    </row>
    <row r="201" spans="1:16" ht="25.5" customHeight="1">
      <c r="A201" s="212" t="s">
        <v>5</v>
      </c>
      <c r="B201" s="212" t="s">
        <v>6</v>
      </c>
      <c r="C201" s="212" t="s">
        <v>7</v>
      </c>
      <c r="D201" s="212" t="s">
        <v>8</v>
      </c>
      <c r="E201" s="212" t="s">
        <v>42</v>
      </c>
      <c r="F201" s="212" t="s">
        <v>43</v>
      </c>
      <c r="G201" s="212" t="s">
        <v>44</v>
      </c>
      <c r="H201" s="212" t="s">
        <v>45</v>
      </c>
      <c r="I201" s="212" t="s">
        <v>46</v>
      </c>
      <c r="J201" s="212" t="s">
        <v>47</v>
      </c>
      <c r="K201" s="212" t="s">
        <v>48</v>
      </c>
      <c r="L201" s="212" t="s">
        <v>16</v>
      </c>
      <c r="M201" s="48" t="s">
        <v>17</v>
      </c>
      <c r="N201" s="48" t="s">
        <v>18</v>
      </c>
      <c r="O201" s="48" t="s">
        <v>19</v>
      </c>
      <c r="P201" s="106" t="s">
        <v>20</v>
      </c>
    </row>
    <row r="202" spans="1:16">
      <c r="A202" s="217" t="s">
        <v>27</v>
      </c>
      <c r="B202" s="216" t="s">
        <v>112</v>
      </c>
      <c r="C202" s="218">
        <f>SUM(D202:L202)</f>
        <v>24</v>
      </c>
      <c r="D202" s="210"/>
      <c r="E202" s="210"/>
      <c r="F202" s="210"/>
      <c r="G202" s="210">
        <f>[4]Master!$AB$47</f>
        <v>6</v>
      </c>
      <c r="H202" s="210">
        <f>[4]Master!$AB$48</f>
        <v>7</v>
      </c>
      <c r="I202" s="210">
        <f>[4]Master!$AB$49</f>
        <v>3</v>
      </c>
      <c r="J202" s="210">
        <f>[4]Master!$AB$50</f>
        <v>0</v>
      </c>
      <c r="K202" s="210">
        <f>[4]Master!$AB$51</f>
        <v>0</v>
      </c>
      <c r="L202" s="210">
        <f>[4]Master!$AB$52</f>
        <v>8</v>
      </c>
      <c r="M202" s="211">
        <f>SUM(D202:I202)</f>
        <v>16</v>
      </c>
      <c r="N202" s="8">
        <f>((M202/C202)*100)</f>
        <v>66.666666666666657</v>
      </c>
      <c r="O202" s="7">
        <f>SUM(D202:K202)</f>
        <v>16</v>
      </c>
      <c r="P202" s="8">
        <f>((O202/C202)*100)</f>
        <v>66.666666666666657</v>
      </c>
    </row>
    <row r="203" spans="1:16">
      <c r="A203" s="217" t="s">
        <v>29</v>
      </c>
      <c r="B203" s="216" t="s">
        <v>112</v>
      </c>
      <c r="C203" s="218">
        <f t="shared" ref="C203:C204" si="47">SUM(D203:L203)</f>
        <v>19</v>
      </c>
      <c r="D203" s="210"/>
      <c r="E203" s="210"/>
      <c r="F203" s="210"/>
      <c r="G203" s="210">
        <f>[5]Master!$AH$47</f>
        <v>4</v>
      </c>
      <c r="H203" s="210">
        <f>[5]Master!$AH$48</f>
        <v>3</v>
      </c>
      <c r="I203" s="210">
        <f>[5]Master!$AH$49</f>
        <v>3</v>
      </c>
      <c r="J203" s="210">
        <f>[5]Master!$AH$50</f>
        <v>0</v>
      </c>
      <c r="K203" s="210">
        <f>[5]Master!$AH$51</f>
        <v>1</v>
      </c>
      <c r="L203" s="210">
        <f>[5]Master!$AH$52</f>
        <v>8</v>
      </c>
      <c r="M203" s="211">
        <f>SUM(D203:I203)</f>
        <v>10</v>
      </c>
      <c r="N203" s="8">
        <f t="shared" ref="N203:N204" si="48">((M203/C203)*100)</f>
        <v>52.631578947368418</v>
      </c>
      <c r="O203" s="7">
        <f t="shared" ref="O203:O204" si="49">SUM(D203:K203)</f>
        <v>11</v>
      </c>
      <c r="P203" s="8">
        <f t="shared" ref="P203:P204" si="50">((O203/C203)*100)</f>
        <v>57.894736842105267</v>
      </c>
    </row>
    <row r="204" spans="1:16">
      <c r="A204" s="217" t="s">
        <v>30</v>
      </c>
      <c r="B204" s="216" t="s">
        <v>112</v>
      </c>
      <c r="C204" s="218">
        <f t="shared" si="47"/>
        <v>35</v>
      </c>
      <c r="D204" s="210"/>
      <c r="E204" s="210"/>
      <c r="F204" s="210"/>
      <c r="G204" s="210">
        <f>[6]Master!$AE$45</f>
        <v>3</v>
      </c>
      <c r="H204" s="210">
        <f>[6]Master!$AE$46</f>
        <v>4</v>
      </c>
      <c r="I204" s="210">
        <f>[6]Master!$AE$47</f>
        <v>6</v>
      </c>
      <c r="J204" s="210">
        <f>[6]Master!$AE$48</f>
        <v>0</v>
      </c>
      <c r="K204" s="210">
        <f>[6]Master!$AE$50</f>
        <v>11</v>
      </c>
      <c r="L204" s="210">
        <f>[6]Master!$AE$50</f>
        <v>11</v>
      </c>
      <c r="M204" s="211">
        <f t="shared" ref="M203:M204" si="51">SUM(D204:I204)</f>
        <v>13</v>
      </c>
      <c r="N204" s="8">
        <f t="shared" si="48"/>
        <v>37.142857142857146</v>
      </c>
      <c r="O204" s="7">
        <f t="shared" si="49"/>
        <v>24</v>
      </c>
      <c r="P204" s="8">
        <f t="shared" si="50"/>
        <v>68.571428571428569</v>
      </c>
    </row>
    <row r="205" spans="1:16">
      <c r="A205" s="213"/>
      <c r="B205" s="214" t="s">
        <v>33</v>
      </c>
      <c r="C205" s="215">
        <f>SUM(C202:C204)</f>
        <v>78</v>
      </c>
      <c r="D205" s="215">
        <f t="shared" ref="D205:L205" si="52">SUM(D202:D204)</f>
        <v>0</v>
      </c>
      <c r="E205" s="215">
        <f t="shared" si="52"/>
        <v>0</v>
      </c>
      <c r="F205" s="215">
        <f t="shared" si="52"/>
        <v>0</v>
      </c>
      <c r="G205" s="215">
        <f t="shared" si="52"/>
        <v>13</v>
      </c>
      <c r="H205" s="215">
        <f t="shared" si="52"/>
        <v>14</v>
      </c>
      <c r="I205" s="215">
        <f t="shared" si="52"/>
        <v>12</v>
      </c>
      <c r="J205" s="215">
        <f t="shared" si="52"/>
        <v>0</v>
      </c>
      <c r="K205" s="215">
        <f t="shared" si="52"/>
        <v>12</v>
      </c>
      <c r="L205" s="215">
        <f t="shared" si="52"/>
        <v>27</v>
      </c>
      <c r="M205" s="165">
        <f>SUM(M202:M202)</f>
        <v>16</v>
      </c>
      <c r="N205" s="9">
        <f>((M205/C205)*100)</f>
        <v>20.512820512820511</v>
      </c>
      <c r="O205" s="165">
        <f>SUM(O202:O202)</f>
        <v>16</v>
      </c>
      <c r="P205" s="9">
        <f>((O205/C205)*100)</f>
        <v>20.512820512820511</v>
      </c>
    </row>
    <row r="206" spans="1:16" ht="12.75" customHeight="1">
      <c r="A206" s="12"/>
    </row>
    <row r="207" spans="1:16" ht="30" customHeight="1">
      <c r="A207" s="12"/>
    </row>
    <row r="208" spans="1:16" ht="18">
      <c r="B208" s="29"/>
      <c r="C208" s="29"/>
      <c r="D208" s="247" t="s">
        <v>113</v>
      </c>
      <c r="E208" s="248"/>
      <c r="F208" s="247" t="s">
        <v>114</v>
      </c>
      <c r="G208" s="249"/>
      <c r="H208" s="249"/>
      <c r="I208" s="248"/>
      <c r="J208" s="247" t="s">
        <v>115</v>
      </c>
      <c r="K208" s="248"/>
      <c r="L208" s="13" t="s">
        <v>4</v>
      </c>
      <c r="M208" s="29"/>
      <c r="N208" s="29"/>
      <c r="O208" s="29"/>
      <c r="P208" s="110"/>
    </row>
    <row r="209" spans="1:16" ht="27.75" customHeight="1">
      <c r="A209" s="233" t="s">
        <v>116</v>
      </c>
      <c r="B209" s="234"/>
      <c r="C209" s="54" t="s">
        <v>7</v>
      </c>
      <c r="D209" s="54" t="s">
        <v>117</v>
      </c>
      <c r="E209" s="54" t="s">
        <v>9</v>
      </c>
      <c r="F209" s="54" t="s">
        <v>10</v>
      </c>
      <c r="G209" s="54" t="s">
        <v>11</v>
      </c>
      <c r="H209" s="54" t="s">
        <v>12</v>
      </c>
      <c r="I209" s="54" t="s">
        <v>13</v>
      </c>
      <c r="J209" s="54" t="s">
        <v>14</v>
      </c>
      <c r="K209" s="54" t="s">
        <v>15</v>
      </c>
      <c r="L209" s="54" t="s">
        <v>16</v>
      </c>
      <c r="M209" s="14" t="s">
        <v>17</v>
      </c>
      <c r="N209" s="14" t="s">
        <v>18</v>
      </c>
      <c r="O209" s="14" t="s">
        <v>19</v>
      </c>
      <c r="P209" s="111" t="s">
        <v>20</v>
      </c>
    </row>
    <row r="210" spans="1:16" ht="18.600000000000001" customHeight="1">
      <c r="A210" s="235" t="s">
        <v>118</v>
      </c>
      <c r="B210" s="236"/>
      <c r="C210" s="53">
        <f>SUM(D210:L210)</f>
        <v>162</v>
      </c>
      <c r="D210" s="53">
        <f>D12</f>
        <v>0</v>
      </c>
      <c r="E210" s="53">
        <f t="shared" ref="E210:L210" si="53">E12</f>
        <v>1</v>
      </c>
      <c r="F210" s="53">
        <f t="shared" si="53"/>
        <v>10</v>
      </c>
      <c r="G210" s="53">
        <f t="shared" si="53"/>
        <v>25</v>
      </c>
      <c r="H210" s="53">
        <f t="shared" si="53"/>
        <v>29</v>
      </c>
      <c r="I210" s="53">
        <f t="shared" si="53"/>
        <v>32</v>
      </c>
      <c r="J210" s="53">
        <f t="shared" si="53"/>
        <v>52</v>
      </c>
      <c r="K210" s="53">
        <f t="shared" si="53"/>
        <v>12</v>
      </c>
      <c r="L210" s="53">
        <f t="shared" si="53"/>
        <v>1</v>
      </c>
      <c r="M210" s="53">
        <f>SUM(D210:I210)</f>
        <v>97</v>
      </c>
      <c r="N210" s="28">
        <f>(M210/C210)*100</f>
        <v>59.876543209876544</v>
      </c>
      <c r="O210" s="53">
        <f>SUM(D210:K210)</f>
        <v>161</v>
      </c>
      <c r="P210" s="28">
        <f>(O210/C210)*100</f>
        <v>99.382716049382708</v>
      </c>
    </row>
    <row r="211" spans="1:16" ht="18.600000000000001" customHeight="1">
      <c r="A211" s="235" t="s">
        <v>119</v>
      </c>
      <c r="B211" s="236"/>
      <c r="C211" s="53">
        <f t="shared" ref="C211:C230" si="54">SUM(D211:L211)</f>
        <v>139</v>
      </c>
      <c r="D211" s="53">
        <f>D31</f>
        <v>0</v>
      </c>
      <c r="E211" s="53">
        <f t="shared" ref="E211:L211" si="55">E31</f>
        <v>15</v>
      </c>
      <c r="F211" s="53">
        <f t="shared" si="55"/>
        <v>19</v>
      </c>
      <c r="G211" s="53">
        <f t="shared" si="55"/>
        <v>25</v>
      </c>
      <c r="H211" s="53">
        <f t="shared" si="55"/>
        <v>21</v>
      </c>
      <c r="I211" s="53">
        <f t="shared" si="55"/>
        <v>16</v>
      </c>
      <c r="J211" s="53">
        <f t="shared" si="55"/>
        <v>18</v>
      </c>
      <c r="K211" s="53">
        <f t="shared" si="55"/>
        <v>16</v>
      </c>
      <c r="L211" s="53">
        <f t="shared" si="55"/>
        <v>9</v>
      </c>
      <c r="M211" s="53">
        <f t="shared" ref="M211:M231" si="56">SUM(D211:I211)</f>
        <v>96</v>
      </c>
      <c r="N211" s="28">
        <f t="shared" ref="N211:N231" si="57">(M211/C211)*100</f>
        <v>69.064748201438846</v>
      </c>
      <c r="O211" s="53">
        <f t="shared" ref="O211:O231" si="58">SUM(D211:K211)</f>
        <v>130</v>
      </c>
      <c r="P211" s="28">
        <f t="shared" ref="P211:P231" si="59">(O211/C211)*100</f>
        <v>93.525179856115102</v>
      </c>
    </row>
    <row r="212" spans="1:16" ht="18.600000000000001" customHeight="1">
      <c r="A212" s="235" t="s">
        <v>120</v>
      </c>
      <c r="B212" s="236"/>
      <c r="C212" s="53">
        <f t="shared" si="54"/>
        <v>19</v>
      </c>
      <c r="D212" s="53">
        <f>D37</f>
        <v>0</v>
      </c>
      <c r="E212" s="53">
        <f t="shared" ref="E212:L212" si="60">E37</f>
        <v>5</v>
      </c>
      <c r="F212" s="53">
        <f t="shared" si="60"/>
        <v>2</v>
      </c>
      <c r="G212" s="53">
        <f t="shared" si="60"/>
        <v>0</v>
      </c>
      <c r="H212" s="53">
        <f t="shared" si="60"/>
        <v>1</v>
      </c>
      <c r="I212" s="53">
        <f t="shared" si="60"/>
        <v>2</v>
      </c>
      <c r="J212" s="53">
        <f t="shared" si="60"/>
        <v>2</v>
      </c>
      <c r="K212" s="53">
        <f t="shared" si="60"/>
        <v>4</v>
      </c>
      <c r="L212" s="53">
        <f t="shared" si="60"/>
        <v>3</v>
      </c>
      <c r="M212" s="53">
        <f t="shared" si="56"/>
        <v>10</v>
      </c>
      <c r="N212" s="28">
        <f t="shared" si="57"/>
        <v>52.631578947368418</v>
      </c>
      <c r="O212" s="53">
        <f t="shared" si="58"/>
        <v>16</v>
      </c>
      <c r="P212" s="28">
        <f t="shared" si="59"/>
        <v>84.210526315789465</v>
      </c>
    </row>
    <row r="213" spans="1:16" ht="18.600000000000001" customHeight="1">
      <c r="A213" s="237" t="s">
        <v>121</v>
      </c>
      <c r="B213" s="237"/>
      <c r="C213" s="53">
        <f t="shared" si="54"/>
        <v>124</v>
      </c>
      <c r="D213" s="25">
        <f>D56</f>
        <v>3</v>
      </c>
      <c r="E213" s="25">
        <f t="shared" ref="E213:L213" si="61">E56</f>
        <v>9</v>
      </c>
      <c r="F213" s="25">
        <f t="shared" si="61"/>
        <v>7</v>
      </c>
      <c r="G213" s="25">
        <f t="shared" si="61"/>
        <v>14</v>
      </c>
      <c r="H213" s="25">
        <f t="shared" si="61"/>
        <v>8</v>
      </c>
      <c r="I213" s="25">
        <f t="shared" si="61"/>
        <v>4</v>
      </c>
      <c r="J213" s="25">
        <f t="shared" si="61"/>
        <v>16</v>
      </c>
      <c r="K213" s="25">
        <f t="shared" si="61"/>
        <v>28</v>
      </c>
      <c r="L213" s="25">
        <f t="shared" si="61"/>
        <v>35</v>
      </c>
      <c r="M213" s="53">
        <f t="shared" si="56"/>
        <v>45</v>
      </c>
      <c r="N213" s="28">
        <f t="shared" si="57"/>
        <v>36.29032258064516</v>
      </c>
      <c r="O213" s="53">
        <f t="shared" si="58"/>
        <v>89</v>
      </c>
      <c r="P213" s="28">
        <f t="shared" si="59"/>
        <v>71.774193548387103</v>
      </c>
    </row>
    <row r="214" spans="1:16" ht="18.600000000000001" customHeight="1">
      <c r="A214" s="237" t="s">
        <v>122</v>
      </c>
      <c r="B214" s="237"/>
      <c r="C214" s="53">
        <f t="shared" si="54"/>
        <v>18</v>
      </c>
      <c r="D214" s="25">
        <f>D69</f>
        <v>0</v>
      </c>
      <c r="E214" s="25">
        <f t="shared" ref="E214:L214" si="62">E69</f>
        <v>0</v>
      </c>
      <c r="F214" s="25">
        <f t="shared" si="62"/>
        <v>0</v>
      </c>
      <c r="G214" s="25">
        <f t="shared" si="62"/>
        <v>2</v>
      </c>
      <c r="H214" s="25">
        <f t="shared" si="62"/>
        <v>0</v>
      </c>
      <c r="I214" s="25">
        <f t="shared" si="62"/>
        <v>1</v>
      </c>
      <c r="J214" s="25">
        <f t="shared" si="62"/>
        <v>2</v>
      </c>
      <c r="K214" s="25">
        <f t="shared" si="62"/>
        <v>4</v>
      </c>
      <c r="L214" s="25">
        <f t="shared" si="62"/>
        <v>9</v>
      </c>
      <c r="M214" s="53">
        <f t="shared" si="56"/>
        <v>3</v>
      </c>
      <c r="N214" s="28">
        <f t="shared" si="57"/>
        <v>16.666666666666664</v>
      </c>
      <c r="O214" s="53">
        <f t="shared" si="58"/>
        <v>9</v>
      </c>
      <c r="P214" s="28">
        <f t="shared" si="59"/>
        <v>50</v>
      </c>
    </row>
    <row r="215" spans="1:16" ht="18.600000000000001" customHeight="1">
      <c r="A215" s="237" t="s">
        <v>123</v>
      </c>
      <c r="B215" s="237"/>
      <c r="C215" s="53">
        <f t="shared" si="54"/>
        <v>100</v>
      </c>
      <c r="D215" s="25">
        <f>D79</f>
        <v>0</v>
      </c>
      <c r="E215" s="25">
        <f t="shared" ref="E215:L215" si="63">E79</f>
        <v>1</v>
      </c>
      <c r="F215" s="25">
        <f t="shared" si="63"/>
        <v>1</v>
      </c>
      <c r="G215" s="25">
        <f t="shared" si="63"/>
        <v>4</v>
      </c>
      <c r="H215" s="25">
        <f t="shared" si="63"/>
        <v>8</v>
      </c>
      <c r="I215" s="25">
        <f t="shared" si="63"/>
        <v>11</v>
      </c>
      <c r="J215" s="25">
        <f t="shared" si="63"/>
        <v>23</v>
      </c>
      <c r="K215" s="25">
        <f t="shared" si="63"/>
        <v>25</v>
      </c>
      <c r="L215" s="25">
        <f t="shared" si="63"/>
        <v>27</v>
      </c>
      <c r="M215" s="53">
        <f t="shared" si="56"/>
        <v>25</v>
      </c>
      <c r="N215" s="28">
        <f t="shared" si="57"/>
        <v>25</v>
      </c>
      <c r="O215" s="53">
        <f t="shared" si="58"/>
        <v>73</v>
      </c>
      <c r="P215" s="28">
        <f t="shared" si="59"/>
        <v>73</v>
      </c>
    </row>
    <row r="216" spans="1:16" ht="18.600000000000001" customHeight="1">
      <c r="A216" s="237" t="s">
        <v>124</v>
      </c>
      <c r="B216" s="237"/>
      <c r="C216" s="53">
        <f t="shared" si="54"/>
        <v>81</v>
      </c>
      <c r="D216" s="25">
        <f>D90</f>
        <v>0</v>
      </c>
      <c r="E216" s="25">
        <f t="shared" ref="E216:L216" si="64">E90</f>
        <v>0</v>
      </c>
      <c r="F216" s="25">
        <f t="shared" si="64"/>
        <v>1</v>
      </c>
      <c r="G216" s="25">
        <f t="shared" si="64"/>
        <v>4</v>
      </c>
      <c r="H216" s="25">
        <f t="shared" si="64"/>
        <v>4</v>
      </c>
      <c r="I216" s="25">
        <f t="shared" si="64"/>
        <v>5</v>
      </c>
      <c r="J216" s="25">
        <f t="shared" si="64"/>
        <v>24</v>
      </c>
      <c r="K216" s="25">
        <f t="shared" si="64"/>
        <v>23</v>
      </c>
      <c r="L216" s="25">
        <f t="shared" si="64"/>
        <v>20</v>
      </c>
      <c r="M216" s="53">
        <f t="shared" si="56"/>
        <v>14</v>
      </c>
      <c r="N216" s="28">
        <f t="shared" si="57"/>
        <v>17.283950617283949</v>
      </c>
      <c r="O216" s="53">
        <f t="shared" si="58"/>
        <v>61</v>
      </c>
      <c r="P216" s="28">
        <f t="shared" si="59"/>
        <v>75.308641975308646</v>
      </c>
    </row>
    <row r="217" spans="1:16" ht="18.600000000000001" customHeight="1">
      <c r="A217" s="237" t="s">
        <v>125</v>
      </c>
      <c r="B217" s="237"/>
      <c r="C217" s="53">
        <f t="shared" si="54"/>
        <v>38</v>
      </c>
      <c r="D217" s="25">
        <f>D105</f>
        <v>0</v>
      </c>
      <c r="E217" s="25">
        <f t="shared" ref="E217:L217" si="65">E105</f>
        <v>0</v>
      </c>
      <c r="F217" s="25">
        <f t="shared" si="65"/>
        <v>0</v>
      </c>
      <c r="G217" s="25">
        <f t="shared" si="65"/>
        <v>0</v>
      </c>
      <c r="H217" s="25">
        <f t="shared" si="65"/>
        <v>0</v>
      </c>
      <c r="I217" s="25">
        <f t="shared" si="65"/>
        <v>2</v>
      </c>
      <c r="J217" s="25">
        <f t="shared" si="65"/>
        <v>6</v>
      </c>
      <c r="K217" s="25">
        <f t="shared" si="65"/>
        <v>12</v>
      </c>
      <c r="L217" s="25">
        <f t="shared" si="65"/>
        <v>18</v>
      </c>
      <c r="M217" s="53">
        <f t="shared" si="56"/>
        <v>2</v>
      </c>
      <c r="N217" s="28">
        <f t="shared" si="57"/>
        <v>5.2631578947368416</v>
      </c>
      <c r="O217" s="53">
        <f t="shared" si="58"/>
        <v>20</v>
      </c>
      <c r="P217" s="28">
        <f t="shared" si="59"/>
        <v>52.631578947368418</v>
      </c>
    </row>
    <row r="218" spans="1:16" ht="18.600000000000001" customHeight="1">
      <c r="A218" s="237" t="s">
        <v>126</v>
      </c>
      <c r="B218" s="237"/>
      <c r="C218" s="53">
        <f t="shared" si="54"/>
        <v>38</v>
      </c>
      <c r="D218" s="25">
        <f>D105</f>
        <v>0</v>
      </c>
      <c r="E218" s="25">
        <f t="shared" ref="E218:L218" si="66">E105</f>
        <v>0</v>
      </c>
      <c r="F218" s="25">
        <f t="shared" si="66"/>
        <v>0</v>
      </c>
      <c r="G218" s="25">
        <f t="shared" si="66"/>
        <v>0</v>
      </c>
      <c r="H218" s="25">
        <f t="shared" si="66"/>
        <v>0</v>
      </c>
      <c r="I218" s="25">
        <f t="shared" si="66"/>
        <v>2</v>
      </c>
      <c r="J218" s="25">
        <f t="shared" si="66"/>
        <v>6</v>
      </c>
      <c r="K218" s="25">
        <f t="shared" si="66"/>
        <v>12</v>
      </c>
      <c r="L218" s="25">
        <f t="shared" si="66"/>
        <v>18</v>
      </c>
      <c r="M218" s="53">
        <f t="shared" si="56"/>
        <v>2</v>
      </c>
      <c r="N218" s="28">
        <f t="shared" si="57"/>
        <v>5.2631578947368416</v>
      </c>
      <c r="O218" s="53">
        <f t="shared" si="58"/>
        <v>20</v>
      </c>
      <c r="P218" s="28">
        <f t="shared" si="59"/>
        <v>52.631578947368418</v>
      </c>
    </row>
    <row r="219" spans="1:16" ht="18.600000000000001" customHeight="1">
      <c r="A219" s="237" t="s">
        <v>127</v>
      </c>
      <c r="B219" s="237"/>
      <c r="C219" s="53">
        <f t="shared" si="54"/>
        <v>63</v>
      </c>
      <c r="D219" s="205">
        <f>D126</f>
        <v>0</v>
      </c>
      <c r="E219" s="205">
        <f t="shared" ref="E219:L219" si="67">E126</f>
        <v>0</v>
      </c>
      <c r="F219" s="205">
        <f t="shared" si="67"/>
        <v>0</v>
      </c>
      <c r="G219" s="205">
        <f t="shared" si="67"/>
        <v>1</v>
      </c>
      <c r="H219" s="205">
        <f t="shared" si="67"/>
        <v>2</v>
      </c>
      <c r="I219" s="205">
        <f t="shared" si="67"/>
        <v>4</v>
      </c>
      <c r="J219" s="205">
        <f t="shared" si="67"/>
        <v>10</v>
      </c>
      <c r="K219" s="205">
        <f t="shared" si="67"/>
        <v>11</v>
      </c>
      <c r="L219" s="205">
        <f t="shared" si="67"/>
        <v>35</v>
      </c>
      <c r="M219" s="53">
        <f t="shared" si="56"/>
        <v>7</v>
      </c>
      <c r="N219" s="28">
        <f t="shared" si="57"/>
        <v>11.111111111111111</v>
      </c>
      <c r="O219" s="53">
        <f t="shared" si="58"/>
        <v>28</v>
      </c>
      <c r="P219" s="28">
        <f t="shared" si="59"/>
        <v>44.444444444444443</v>
      </c>
    </row>
    <row r="220" spans="1:16" ht="18.600000000000001" customHeight="1">
      <c r="A220" s="237" t="s">
        <v>128</v>
      </c>
      <c r="B220" s="237"/>
      <c r="C220" s="53">
        <f t="shared" si="54"/>
        <v>162</v>
      </c>
      <c r="D220" s="25">
        <f>D118</f>
        <v>26</v>
      </c>
      <c r="E220" s="25">
        <f t="shared" ref="E220:L220" si="68">E118</f>
        <v>19</v>
      </c>
      <c r="F220" s="25">
        <f t="shared" si="68"/>
        <v>14</v>
      </c>
      <c r="G220" s="25">
        <f t="shared" si="68"/>
        <v>15</v>
      </c>
      <c r="H220" s="25">
        <f t="shared" si="68"/>
        <v>16</v>
      </c>
      <c r="I220" s="25">
        <f t="shared" si="68"/>
        <v>13</v>
      </c>
      <c r="J220" s="25">
        <f t="shared" si="68"/>
        <v>20</v>
      </c>
      <c r="K220" s="25">
        <f t="shared" si="68"/>
        <v>14</v>
      </c>
      <c r="L220" s="25">
        <f t="shared" si="68"/>
        <v>25</v>
      </c>
      <c r="M220" s="53">
        <f t="shared" si="56"/>
        <v>103</v>
      </c>
      <c r="N220" s="28">
        <f t="shared" si="57"/>
        <v>63.580246913580254</v>
      </c>
      <c r="O220" s="53">
        <f t="shared" si="58"/>
        <v>137</v>
      </c>
      <c r="P220" s="28">
        <f t="shared" si="59"/>
        <v>84.567901234567898</v>
      </c>
    </row>
    <row r="221" spans="1:16" ht="18.600000000000001" customHeight="1">
      <c r="A221" s="237" t="s">
        <v>129</v>
      </c>
      <c r="B221" s="237"/>
      <c r="C221" s="53">
        <f t="shared" si="54"/>
        <v>63</v>
      </c>
      <c r="D221" s="53">
        <f>D134</f>
        <v>3</v>
      </c>
      <c r="E221" s="53">
        <f t="shared" ref="E221:L221" si="69">E134</f>
        <v>2</v>
      </c>
      <c r="F221" s="53">
        <f t="shared" si="69"/>
        <v>0</v>
      </c>
      <c r="G221" s="53">
        <f t="shared" si="69"/>
        <v>12</v>
      </c>
      <c r="H221" s="53">
        <f t="shared" si="69"/>
        <v>0</v>
      </c>
      <c r="I221" s="53">
        <f t="shared" si="69"/>
        <v>14</v>
      </c>
      <c r="J221" s="53">
        <f t="shared" si="69"/>
        <v>7</v>
      </c>
      <c r="K221" s="53">
        <f t="shared" si="69"/>
        <v>3</v>
      </c>
      <c r="L221" s="53">
        <f t="shared" si="69"/>
        <v>22</v>
      </c>
      <c r="M221" s="53">
        <f t="shared" si="56"/>
        <v>31</v>
      </c>
      <c r="N221" s="28">
        <f t="shared" si="57"/>
        <v>49.206349206349202</v>
      </c>
      <c r="O221" s="53">
        <f t="shared" si="58"/>
        <v>41</v>
      </c>
      <c r="P221" s="28">
        <f t="shared" si="59"/>
        <v>65.079365079365076</v>
      </c>
    </row>
    <row r="222" spans="1:16" ht="18.600000000000001" customHeight="1">
      <c r="A222" s="235" t="s">
        <v>130</v>
      </c>
      <c r="B222" s="236"/>
      <c r="C222" s="53">
        <f t="shared" si="54"/>
        <v>24</v>
      </c>
      <c r="D222" s="53">
        <f>D140</f>
        <v>0</v>
      </c>
      <c r="E222" s="53">
        <f t="shared" ref="E222:L222" si="70">E140</f>
        <v>0</v>
      </c>
      <c r="F222" s="53">
        <f t="shared" si="70"/>
        <v>1</v>
      </c>
      <c r="G222" s="53">
        <f t="shared" si="70"/>
        <v>3</v>
      </c>
      <c r="H222" s="53">
        <f t="shared" si="70"/>
        <v>3</v>
      </c>
      <c r="I222" s="53">
        <f t="shared" si="70"/>
        <v>5</v>
      </c>
      <c r="J222" s="53">
        <f t="shared" si="70"/>
        <v>9</v>
      </c>
      <c r="K222" s="53">
        <f t="shared" si="70"/>
        <v>2</v>
      </c>
      <c r="L222" s="53">
        <f t="shared" si="70"/>
        <v>1</v>
      </c>
      <c r="M222" s="53">
        <f t="shared" si="56"/>
        <v>12</v>
      </c>
      <c r="N222" s="28">
        <f t="shared" si="57"/>
        <v>50</v>
      </c>
      <c r="O222" s="53">
        <f t="shared" si="58"/>
        <v>23</v>
      </c>
      <c r="P222" s="28">
        <f t="shared" si="59"/>
        <v>95.833333333333343</v>
      </c>
    </row>
    <row r="223" spans="1:16" ht="18.600000000000001" customHeight="1">
      <c r="A223" s="235" t="s">
        <v>131</v>
      </c>
      <c r="B223" s="236"/>
      <c r="C223" s="53">
        <f t="shared" si="54"/>
        <v>18</v>
      </c>
      <c r="D223" s="53">
        <f>D159</f>
        <v>0</v>
      </c>
      <c r="E223" s="53">
        <f t="shared" ref="E223:L223" si="71">E159</f>
        <v>0</v>
      </c>
      <c r="F223" s="53">
        <f t="shared" si="71"/>
        <v>0</v>
      </c>
      <c r="G223" s="53">
        <f t="shared" si="71"/>
        <v>2</v>
      </c>
      <c r="H223" s="53">
        <f t="shared" si="71"/>
        <v>2</v>
      </c>
      <c r="I223" s="53">
        <f t="shared" si="71"/>
        <v>5</v>
      </c>
      <c r="J223" s="53">
        <f t="shared" si="71"/>
        <v>8</v>
      </c>
      <c r="K223" s="53">
        <f t="shared" si="71"/>
        <v>0</v>
      </c>
      <c r="L223" s="53">
        <f t="shared" si="71"/>
        <v>1</v>
      </c>
      <c r="M223" s="53">
        <f t="shared" si="56"/>
        <v>9</v>
      </c>
      <c r="N223" s="28">
        <f t="shared" si="57"/>
        <v>50</v>
      </c>
      <c r="O223" s="53">
        <f t="shared" si="58"/>
        <v>17</v>
      </c>
      <c r="P223" s="28">
        <f t="shared" si="59"/>
        <v>94.444444444444443</v>
      </c>
    </row>
    <row r="224" spans="1:16" ht="18.600000000000001" customHeight="1">
      <c r="A224" s="237" t="s">
        <v>132</v>
      </c>
      <c r="B224" s="237"/>
      <c r="C224" s="53">
        <f t="shared" si="54"/>
        <v>43</v>
      </c>
      <c r="D224" s="53">
        <f>D153</f>
        <v>0</v>
      </c>
      <c r="E224" s="53">
        <f t="shared" ref="E224:L224" si="72">E153</f>
        <v>0</v>
      </c>
      <c r="F224" s="53">
        <f t="shared" si="72"/>
        <v>0</v>
      </c>
      <c r="G224" s="53">
        <f t="shared" si="72"/>
        <v>0</v>
      </c>
      <c r="H224" s="53">
        <f t="shared" si="72"/>
        <v>0</v>
      </c>
      <c r="I224" s="53">
        <f t="shared" si="72"/>
        <v>3</v>
      </c>
      <c r="J224" s="53">
        <f t="shared" si="72"/>
        <v>5</v>
      </c>
      <c r="K224" s="53">
        <f t="shared" si="72"/>
        <v>5</v>
      </c>
      <c r="L224" s="53">
        <f t="shared" si="72"/>
        <v>30</v>
      </c>
      <c r="M224" s="53">
        <f t="shared" si="56"/>
        <v>3</v>
      </c>
      <c r="N224" s="28">
        <f t="shared" si="57"/>
        <v>6.9767441860465116</v>
      </c>
      <c r="O224" s="53">
        <f t="shared" si="58"/>
        <v>13</v>
      </c>
      <c r="P224" s="28">
        <f t="shared" si="59"/>
        <v>30.232558139534881</v>
      </c>
    </row>
    <row r="225" spans="1:16" ht="18.600000000000001" customHeight="1">
      <c r="A225" s="237" t="s">
        <v>133</v>
      </c>
      <c r="B225" s="237"/>
      <c r="C225" s="53">
        <f t="shared" si="54"/>
        <v>37</v>
      </c>
      <c r="D225" s="25">
        <f>D166</f>
        <v>0</v>
      </c>
      <c r="E225" s="25">
        <f t="shared" ref="E225:L225" si="73">E166</f>
        <v>0</v>
      </c>
      <c r="F225" s="25">
        <f t="shared" si="73"/>
        <v>0</v>
      </c>
      <c r="G225" s="25">
        <f t="shared" si="73"/>
        <v>3</v>
      </c>
      <c r="H225" s="25">
        <f t="shared" si="73"/>
        <v>7</v>
      </c>
      <c r="I225" s="25">
        <f t="shared" si="73"/>
        <v>4</v>
      </c>
      <c r="J225" s="25">
        <f t="shared" si="73"/>
        <v>5</v>
      </c>
      <c r="K225" s="25">
        <f t="shared" si="73"/>
        <v>0</v>
      </c>
      <c r="L225" s="25">
        <f t="shared" si="73"/>
        <v>18</v>
      </c>
      <c r="M225" s="53">
        <f t="shared" si="56"/>
        <v>14</v>
      </c>
      <c r="N225" s="28">
        <f t="shared" si="57"/>
        <v>37.837837837837839</v>
      </c>
      <c r="O225" s="53">
        <f t="shared" si="58"/>
        <v>19</v>
      </c>
      <c r="P225" s="28">
        <f t="shared" si="59"/>
        <v>51.351351351351347</v>
      </c>
    </row>
    <row r="226" spans="1:16" ht="18.600000000000001" customHeight="1">
      <c r="A226" s="237" t="s">
        <v>134</v>
      </c>
      <c r="B226" s="237"/>
      <c r="C226" s="53">
        <f t="shared" si="54"/>
        <v>38</v>
      </c>
      <c r="D226" s="25">
        <f>D182</f>
        <v>0</v>
      </c>
      <c r="E226" s="25">
        <f t="shared" ref="E226:L226" si="74">E182</f>
        <v>0</v>
      </c>
      <c r="F226" s="25">
        <f t="shared" si="74"/>
        <v>0</v>
      </c>
      <c r="G226" s="25">
        <f t="shared" si="74"/>
        <v>2</v>
      </c>
      <c r="H226" s="25">
        <f t="shared" si="74"/>
        <v>0</v>
      </c>
      <c r="I226" s="25">
        <f t="shared" si="74"/>
        <v>4</v>
      </c>
      <c r="J226" s="25">
        <f t="shared" si="74"/>
        <v>7</v>
      </c>
      <c r="K226" s="25">
        <f t="shared" si="74"/>
        <v>5</v>
      </c>
      <c r="L226" s="25">
        <f t="shared" si="74"/>
        <v>20</v>
      </c>
      <c r="M226" s="53">
        <f t="shared" si="56"/>
        <v>6</v>
      </c>
      <c r="N226" s="28">
        <f t="shared" si="57"/>
        <v>15.789473684210526</v>
      </c>
      <c r="O226" s="53">
        <f t="shared" si="58"/>
        <v>18</v>
      </c>
      <c r="P226" s="28">
        <f t="shared" si="59"/>
        <v>47.368421052631575</v>
      </c>
    </row>
    <row r="227" spans="1:16" ht="18.600000000000001" customHeight="1">
      <c r="A227" s="235" t="s">
        <v>135</v>
      </c>
      <c r="B227" s="236"/>
      <c r="C227" s="53">
        <f t="shared" si="54"/>
        <v>43</v>
      </c>
      <c r="D227" s="25">
        <f>D174</f>
        <v>0</v>
      </c>
      <c r="E227" s="25">
        <f t="shared" ref="E227:L227" si="75">E174</f>
        <v>1</v>
      </c>
      <c r="F227" s="25">
        <f t="shared" si="75"/>
        <v>1</v>
      </c>
      <c r="G227" s="25">
        <f t="shared" si="75"/>
        <v>1</v>
      </c>
      <c r="H227" s="25">
        <f t="shared" si="75"/>
        <v>2</v>
      </c>
      <c r="I227" s="25">
        <f t="shared" si="75"/>
        <v>5</v>
      </c>
      <c r="J227" s="25">
        <f t="shared" si="75"/>
        <v>16</v>
      </c>
      <c r="K227" s="25">
        <f t="shared" si="75"/>
        <v>7</v>
      </c>
      <c r="L227" s="25">
        <f t="shared" si="75"/>
        <v>10</v>
      </c>
      <c r="M227" s="53">
        <f t="shared" si="56"/>
        <v>10</v>
      </c>
      <c r="N227" s="28">
        <f t="shared" si="57"/>
        <v>23.255813953488371</v>
      </c>
      <c r="O227" s="53">
        <f t="shared" si="58"/>
        <v>33</v>
      </c>
      <c r="P227" s="28">
        <f t="shared" si="59"/>
        <v>76.744186046511629</v>
      </c>
    </row>
    <row r="228" spans="1:16" ht="18.600000000000001" customHeight="1">
      <c r="A228" s="235" t="s">
        <v>136</v>
      </c>
      <c r="B228" s="236"/>
      <c r="C228" s="53">
        <f t="shared" si="54"/>
        <v>35</v>
      </c>
      <c r="D228" s="25">
        <f>D19</f>
        <v>1</v>
      </c>
      <c r="E228" s="25">
        <f t="shared" ref="E228:L228" si="76">E19</f>
        <v>8</v>
      </c>
      <c r="F228" s="25">
        <f t="shared" si="76"/>
        <v>5</v>
      </c>
      <c r="G228" s="25">
        <f t="shared" si="76"/>
        <v>2</v>
      </c>
      <c r="H228" s="25">
        <f t="shared" si="76"/>
        <v>4</v>
      </c>
      <c r="I228" s="25">
        <f t="shared" si="76"/>
        <v>3</v>
      </c>
      <c r="J228" s="25">
        <f t="shared" si="76"/>
        <v>6</v>
      </c>
      <c r="K228" s="25">
        <f t="shared" si="76"/>
        <v>3</v>
      </c>
      <c r="L228" s="25">
        <f t="shared" si="76"/>
        <v>3</v>
      </c>
      <c r="M228" s="53">
        <f t="shared" si="56"/>
        <v>23</v>
      </c>
      <c r="N228" s="28">
        <f t="shared" si="57"/>
        <v>65.714285714285708</v>
      </c>
      <c r="O228" s="53">
        <f t="shared" si="58"/>
        <v>32</v>
      </c>
      <c r="P228" s="28">
        <f t="shared" si="59"/>
        <v>91.428571428571431</v>
      </c>
    </row>
    <row r="229" spans="1:16" ht="18.600000000000001" customHeight="1">
      <c r="A229" s="235" t="s">
        <v>137</v>
      </c>
      <c r="B229" s="236"/>
      <c r="C229" s="53">
        <f t="shared" si="54"/>
        <v>48</v>
      </c>
      <c r="D229" s="25">
        <f>D196</f>
        <v>0</v>
      </c>
      <c r="E229" s="25">
        <f t="shared" ref="E229:L229" si="77">E196</f>
        <v>4</v>
      </c>
      <c r="F229" s="25">
        <f t="shared" si="77"/>
        <v>1</v>
      </c>
      <c r="G229" s="25">
        <f t="shared" si="77"/>
        <v>5</v>
      </c>
      <c r="H229" s="25">
        <f t="shared" si="77"/>
        <v>5</v>
      </c>
      <c r="I229" s="25">
        <f t="shared" si="77"/>
        <v>7</v>
      </c>
      <c r="J229" s="25">
        <f t="shared" si="77"/>
        <v>6</v>
      </c>
      <c r="K229" s="25">
        <f t="shared" si="77"/>
        <v>3</v>
      </c>
      <c r="L229" s="25">
        <f t="shared" si="77"/>
        <v>17</v>
      </c>
      <c r="M229" s="53">
        <f t="shared" si="56"/>
        <v>22</v>
      </c>
      <c r="N229" s="28">
        <f t="shared" si="57"/>
        <v>45.833333333333329</v>
      </c>
      <c r="O229" s="53">
        <f t="shared" si="58"/>
        <v>31</v>
      </c>
      <c r="P229" s="28">
        <f t="shared" si="59"/>
        <v>64.583333333333343</v>
      </c>
    </row>
    <row r="230" spans="1:16" ht="18.600000000000001" customHeight="1">
      <c r="A230" s="238" t="s">
        <v>138</v>
      </c>
      <c r="B230" s="238"/>
      <c r="C230" s="222">
        <f t="shared" si="54"/>
        <v>39</v>
      </c>
      <c r="D230" s="223">
        <f>D189</f>
        <v>0</v>
      </c>
      <c r="E230" s="223">
        <f t="shared" ref="E230:L230" si="78">E189</f>
        <v>1</v>
      </c>
      <c r="F230" s="223">
        <f t="shared" si="78"/>
        <v>0</v>
      </c>
      <c r="G230" s="223">
        <f t="shared" si="78"/>
        <v>0</v>
      </c>
      <c r="H230" s="223">
        <f t="shared" si="78"/>
        <v>0</v>
      </c>
      <c r="I230" s="223">
        <f t="shared" si="78"/>
        <v>4</v>
      </c>
      <c r="J230" s="223">
        <f t="shared" si="78"/>
        <v>8</v>
      </c>
      <c r="K230" s="223">
        <f t="shared" si="78"/>
        <v>9</v>
      </c>
      <c r="L230" s="223">
        <f t="shared" si="78"/>
        <v>17</v>
      </c>
      <c r="M230" s="222">
        <f t="shared" si="56"/>
        <v>5</v>
      </c>
      <c r="N230" s="114">
        <f t="shared" si="57"/>
        <v>12.820512820512819</v>
      </c>
      <c r="O230" s="222">
        <f t="shared" si="58"/>
        <v>22</v>
      </c>
      <c r="P230" s="114">
        <f t="shared" si="59"/>
        <v>56.410256410256409</v>
      </c>
    </row>
    <row r="231" spans="1:16" ht="18.600000000000001" customHeight="1">
      <c r="A231" s="245" t="s">
        <v>139</v>
      </c>
      <c r="B231" s="245"/>
      <c r="C231" s="219">
        <f>C205</f>
        <v>78</v>
      </c>
      <c r="D231" s="220">
        <f>D205</f>
        <v>0</v>
      </c>
      <c r="E231" s="220">
        <v>3</v>
      </c>
      <c r="F231" s="220">
        <v>29</v>
      </c>
      <c r="G231" s="220">
        <v>7</v>
      </c>
      <c r="H231" s="220">
        <v>0</v>
      </c>
      <c r="I231" s="220">
        <v>0</v>
      </c>
      <c r="J231" s="220">
        <v>0</v>
      </c>
      <c r="K231" s="220">
        <v>0</v>
      </c>
      <c r="L231" s="225">
        <v>0</v>
      </c>
      <c r="M231" s="219">
        <f>SUM(D231:G231)</f>
        <v>39</v>
      </c>
      <c r="N231" s="221">
        <f t="shared" si="57"/>
        <v>50</v>
      </c>
      <c r="O231" s="219">
        <f>SUM(D231:K231)</f>
        <v>39</v>
      </c>
      <c r="P231" s="221">
        <f t="shared" si="59"/>
        <v>50</v>
      </c>
    </row>
    <row r="232" spans="1:16" ht="20.100000000000001" customHeight="1">
      <c r="B232" s="147"/>
      <c r="C232" s="147"/>
      <c r="D232" s="147"/>
      <c r="E232" s="147"/>
      <c r="F232" s="147"/>
      <c r="G232" s="147"/>
      <c r="H232" s="147"/>
      <c r="I232" s="147"/>
      <c r="J232" s="147"/>
      <c r="K232" s="147"/>
      <c r="L232" s="231" t="s">
        <v>140</v>
      </c>
      <c r="M232" s="232"/>
      <c r="N232" s="224">
        <f>AVERAGE(N210:N231)</f>
        <v>34.97571976243222</v>
      </c>
      <c r="O232" s="19"/>
      <c r="P232" s="224">
        <f>AVERAGE(P210:P231)</f>
        <v>68.406935542639346</v>
      </c>
    </row>
    <row r="233" spans="1:16" ht="9.75" customHeight="1">
      <c r="L233" s="20"/>
      <c r="N233" s="21"/>
      <c r="O233" s="21"/>
      <c r="P233" s="21"/>
    </row>
    <row r="234" spans="1:16" ht="36.75" customHeight="1"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5"/>
      <c r="O234" s="52"/>
      <c r="P234" s="112"/>
    </row>
    <row r="235" spans="1:16" ht="24" customHeight="1"/>
    <row r="236" spans="1:16" ht="24" customHeight="1"/>
    <row r="237" spans="1:16" ht="24" customHeight="1"/>
    <row r="238" spans="1:16" ht="24" customHeight="1"/>
    <row r="239" spans="1:16" ht="24" customHeight="1"/>
    <row r="240" spans="1:16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6.25" customHeight="1"/>
  </sheetData>
  <mergeCells count="74">
    <mergeCell ref="A231:B231"/>
    <mergeCell ref="J156:K156"/>
    <mergeCell ref="D59:I59"/>
    <mergeCell ref="J208:K208"/>
    <mergeCell ref="J121:K121"/>
    <mergeCell ref="J66:K66"/>
    <mergeCell ref="J72:K72"/>
    <mergeCell ref="J137:K137"/>
    <mergeCell ref="J93:K93"/>
    <mergeCell ref="F101:I101"/>
    <mergeCell ref="J101:K101"/>
    <mergeCell ref="J84:K84"/>
    <mergeCell ref="D84:E84"/>
    <mergeCell ref="F137:I137"/>
    <mergeCell ref="D208:E208"/>
    <mergeCell ref="F208:I208"/>
    <mergeCell ref="D66:E66"/>
    <mergeCell ref="D200:E200"/>
    <mergeCell ref="F93:I93"/>
    <mergeCell ref="D101:E101"/>
    <mergeCell ref="D93:E93"/>
    <mergeCell ref="F156:I156"/>
    <mergeCell ref="F200:G200"/>
    <mergeCell ref="H200:K200"/>
    <mergeCell ref="J108:K108"/>
    <mergeCell ref="J149:K149"/>
    <mergeCell ref="F121:I121"/>
    <mergeCell ref="F84:I84"/>
    <mergeCell ref="D108:E108"/>
    <mergeCell ref="F108:I108"/>
    <mergeCell ref="D149:E149"/>
    <mergeCell ref="F149:I149"/>
    <mergeCell ref="D2:E2"/>
    <mergeCell ref="F2:I2"/>
    <mergeCell ref="D34:E34"/>
    <mergeCell ref="D72:E72"/>
    <mergeCell ref="F34:G34"/>
    <mergeCell ref="H34:K34"/>
    <mergeCell ref="J2:K2"/>
    <mergeCell ref="J15:K15"/>
    <mergeCell ref="D48:E48"/>
    <mergeCell ref="F48:I48"/>
    <mergeCell ref="J48:K48"/>
    <mergeCell ref="D22:E22"/>
    <mergeCell ref="D15:E15"/>
    <mergeCell ref="D40:I40"/>
    <mergeCell ref="F66:I66"/>
    <mergeCell ref="F72:I72"/>
    <mergeCell ref="A226:B226"/>
    <mergeCell ref="A222:B222"/>
    <mergeCell ref="A217:B217"/>
    <mergeCell ref="A218:B218"/>
    <mergeCell ref="D156:E156"/>
    <mergeCell ref="A212:B212"/>
    <mergeCell ref="A224:B224"/>
    <mergeCell ref="A225:B225"/>
    <mergeCell ref="A215:B215"/>
    <mergeCell ref="A216:B216"/>
    <mergeCell ref="D137:E137"/>
    <mergeCell ref="D121:E121"/>
    <mergeCell ref="L232:M232"/>
    <mergeCell ref="A209:B209"/>
    <mergeCell ref="A210:B210"/>
    <mergeCell ref="A211:B211"/>
    <mergeCell ref="A213:B213"/>
    <mergeCell ref="A223:B223"/>
    <mergeCell ref="A230:B230"/>
    <mergeCell ref="A219:B219"/>
    <mergeCell ref="A220:B220"/>
    <mergeCell ref="A221:B221"/>
    <mergeCell ref="A227:B227"/>
    <mergeCell ref="A228:B228"/>
    <mergeCell ref="A229:B229"/>
    <mergeCell ref="A214:B214"/>
  </mergeCells>
  <phoneticPr fontId="0" type="noConversion"/>
  <pageMargins left="0.23622047244094491" right="0.11811023622047245" top="0.74803149606299213" bottom="0.27559055118110237" header="0.31496062992125984" footer="0.23622047244094491"/>
  <pageSetup paperSize="5" firstPageNumber="17" orientation="landscape" useFirstPageNumber="1" horizontalDpi="360" verticalDpi="360" r:id="rId1"/>
  <headerFooter scaleWithDoc="0" alignWithMargins="0">
    <oddHeader xml:space="preserve">&amp;C&amp;"Arial Narrow,Bold"&amp;12SEKOLAH MENENGAH PENGIRAN ANAK PUTERI HAJAH MASNA
YEAR 9, ASSESSMENT 2 2025
</oddHeader>
    <oddFooter>&amp;L&amp;8Exam Dept SMPAPHM&amp;CY9 2025</oddFooter>
  </headerFooter>
  <rowBreaks count="1" manualBreakCount="1">
    <brk id="206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24"/>
  <sheetViews>
    <sheetView view="pageLayout" zoomScale="90" zoomScaleNormal="100" zoomScalePageLayoutView="90" workbookViewId="0">
      <selection activeCell="B3" sqref="B3"/>
    </sheetView>
  </sheetViews>
  <sheetFormatPr defaultRowHeight="12.75"/>
  <cols>
    <col min="1" max="1" width="17.42578125" bestFit="1" customWidth="1"/>
    <col min="2" max="2" width="8" customWidth="1"/>
    <col min="3" max="3" width="8.5703125" customWidth="1"/>
    <col min="16" max="16" width="15.85546875" customWidth="1"/>
  </cols>
  <sheetData>
    <row r="2" spans="1:3" ht="31.5">
      <c r="A2" s="56" t="s">
        <v>141</v>
      </c>
      <c r="B2" s="14" t="s">
        <v>18</v>
      </c>
      <c r="C2" s="14" t="s">
        <v>20</v>
      </c>
    </row>
    <row r="3" spans="1:3" ht="18">
      <c r="A3" s="85" t="s">
        <v>118</v>
      </c>
      <c r="B3" s="26">
        <f>'ANALYSIS BY SUBJECTS'!N210</f>
        <v>59.876543209876544</v>
      </c>
      <c r="C3" s="28">
        <f>'ANALYSIS BY SUBJECTS'!P210</f>
        <v>99.382716049382708</v>
      </c>
    </row>
    <row r="4" spans="1:3" ht="18">
      <c r="A4" s="85" t="s">
        <v>119</v>
      </c>
      <c r="B4" s="26">
        <f>'ANALYSIS BY SUBJECTS'!N211</f>
        <v>69.064748201438846</v>
      </c>
      <c r="C4" s="28">
        <f>'ANALYSIS BY SUBJECTS'!P211</f>
        <v>93.525179856115102</v>
      </c>
    </row>
    <row r="5" spans="1:3" ht="18">
      <c r="A5" s="85" t="s">
        <v>120</v>
      </c>
      <c r="B5" s="26">
        <f>'ANALYSIS BY SUBJECTS'!N212</f>
        <v>52.631578947368418</v>
      </c>
      <c r="C5" s="28">
        <f>'ANALYSIS BY SUBJECTS'!P212</f>
        <v>84.210526315789465</v>
      </c>
    </row>
    <row r="6" spans="1:3" ht="18">
      <c r="A6" s="85" t="s">
        <v>121</v>
      </c>
      <c r="B6" s="26">
        <f>'ANALYSIS BY SUBJECTS'!N213</f>
        <v>36.29032258064516</v>
      </c>
      <c r="C6" s="26">
        <f>'ANALYSIS BY SUBJECTS'!P213</f>
        <v>71.774193548387103</v>
      </c>
    </row>
    <row r="7" spans="1:3" ht="18">
      <c r="A7" s="85" t="s">
        <v>122</v>
      </c>
      <c r="B7" s="26">
        <f>'ANALYSIS BY SUBJECTS'!N214</f>
        <v>16.666666666666664</v>
      </c>
      <c r="C7" s="26">
        <f>'ANALYSIS BY SUBJECTS'!P214</f>
        <v>50</v>
      </c>
    </row>
    <row r="8" spans="1:3" ht="18">
      <c r="A8" s="85" t="s">
        <v>123</v>
      </c>
      <c r="B8" s="26">
        <f>'ANALYSIS BY SUBJECTS'!N215</f>
        <v>25</v>
      </c>
      <c r="C8" s="26">
        <f>'ANALYSIS BY SUBJECTS'!P215</f>
        <v>73</v>
      </c>
    </row>
    <row r="9" spans="1:3" ht="18">
      <c r="A9" s="85" t="s">
        <v>124</v>
      </c>
      <c r="B9" s="26">
        <f>'ANALYSIS BY SUBJECTS'!N216</f>
        <v>17.283950617283949</v>
      </c>
      <c r="C9" s="26">
        <f>'ANALYSIS BY SUBJECTS'!P216</f>
        <v>75.308641975308646</v>
      </c>
    </row>
    <row r="10" spans="1:3" ht="18">
      <c r="A10" s="85" t="s">
        <v>125</v>
      </c>
      <c r="B10" s="26">
        <f>'ANALYSIS BY SUBJECTS'!N217</f>
        <v>5.2631578947368416</v>
      </c>
      <c r="C10" s="26">
        <f>'ANALYSIS BY SUBJECTS'!P217</f>
        <v>52.631578947368418</v>
      </c>
    </row>
    <row r="11" spans="1:3" ht="18">
      <c r="A11" s="85" t="s">
        <v>126</v>
      </c>
      <c r="B11" s="26">
        <f>'ANALYSIS BY SUBJECTS'!N218</f>
        <v>5.2631578947368416</v>
      </c>
      <c r="C11" s="26">
        <f>'ANALYSIS BY SUBJECTS'!P218</f>
        <v>52.631578947368418</v>
      </c>
    </row>
    <row r="12" spans="1:3" ht="18">
      <c r="A12" s="85" t="s">
        <v>127</v>
      </c>
      <c r="B12" s="26">
        <f>'ANALYSIS BY SUBJECTS'!N219</f>
        <v>11.111111111111111</v>
      </c>
      <c r="C12" s="26">
        <f>'ANALYSIS BY SUBJECTS'!P219</f>
        <v>44.444444444444443</v>
      </c>
    </row>
    <row r="13" spans="1:3" ht="18">
      <c r="A13" s="85" t="s">
        <v>128</v>
      </c>
      <c r="B13" s="26">
        <f>'ANALYSIS BY SUBJECTS'!N220</f>
        <v>63.580246913580254</v>
      </c>
      <c r="C13" s="26">
        <f>'ANALYSIS BY SUBJECTS'!P220</f>
        <v>84.567901234567898</v>
      </c>
    </row>
    <row r="14" spans="1:3" ht="18">
      <c r="A14" s="85" t="s">
        <v>129</v>
      </c>
      <c r="B14" s="26">
        <f>'ANALYSIS BY SUBJECTS'!N221</f>
        <v>49.206349206349202</v>
      </c>
      <c r="C14" s="28">
        <f>'ANALYSIS BY SUBJECTS'!P221</f>
        <v>65.079365079365076</v>
      </c>
    </row>
    <row r="15" spans="1:3" ht="18">
      <c r="A15" s="85" t="s">
        <v>130</v>
      </c>
      <c r="B15" s="26">
        <f>'ANALYSIS BY SUBJECTS'!N222</f>
        <v>50</v>
      </c>
      <c r="C15" s="114">
        <f>'ANALYSIS BY SUBJECTS'!P222</f>
        <v>95.833333333333343</v>
      </c>
    </row>
    <row r="16" spans="1:3" ht="18">
      <c r="A16" s="85" t="s">
        <v>131</v>
      </c>
      <c r="B16" s="113">
        <f>'ANALYSIS BY SUBJECTS'!N223</f>
        <v>50</v>
      </c>
      <c r="C16" s="115">
        <f>'ANALYSIS BY SUBJECTS'!P223</f>
        <v>94.444444444444443</v>
      </c>
    </row>
    <row r="17" spans="1:3" ht="18">
      <c r="A17" s="85" t="s">
        <v>132</v>
      </c>
      <c r="B17" s="26">
        <f>'ANALYSIS BY SUBJECTS'!N224</f>
        <v>6.9767441860465116</v>
      </c>
      <c r="C17" s="102">
        <f>'ANALYSIS BY SUBJECTS'!P224</f>
        <v>30.232558139534881</v>
      </c>
    </row>
    <row r="18" spans="1:3" ht="18">
      <c r="A18" s="85" t="s">
        <v>133</v>
      </c>
      <c r="B18" s="26">
        <f>'ANALYSIS BY SUBJECTS'!N225</f>
        <v>37.837837837837839</v>
      </c>
      <c r="C18" s="26">
        <f>'ANALYSIS BY SUBJECTS'!P225</f>
        <v>51.351351351351347</v>
      </c>
    </row>
    <row r="19" spans="1:3" ht="18">
      <c r="A19" s="85" t="s">
        <v>134</v>
      </c>
      <c r="B19" s="26">
        <f>'ANALYSIS BY SUBJECTS'!N226</f>
        <v>15.789473684210526</v>
      </c>
      <c r="C19" s="26">
        <f>'ANALYSIS BY SUBJECTS'!P226</f>
        <v>47.368421052631575</v>
      </c>
    </row>
    <row r="20" spans="1:3" ht="18">
      <c r="A20" s="85" t="s">
        <v>135</v>
      </c>
      <c r="B20" s="26">
        <f>'ANALYSIS BY SUBJECTS'!N227</f>
        <v>23.255813953488371</v>
      </c>
      <c r="C20" s="26">
        <f>'ANALYSIS BY SUBJECTS'!P227</f>
        <v>76.744186046511629</v>
      </c>
    </row>
    <row r="21" spans="1:3" ht="18">
      <c r="A21" s="85" t="s">
        <v>136</v>
      </c>
      <c r="B21" s="26">
        <f>'ANALYSIS BY SUBJECTS'!N228</f>
        <v>65.714285714285708</v>
      </c>
      <c r="C21" s="26">
        <f>'ANALYSIS BY SUBJECTS'!P228</f>
        <v>91.428571428571431</v>
      </c>
    </row>
    <row r="22" spans="1:3" ht="18">
      <c r="A22" s="85" t="s">
        <v>137</v>
      </c>
      <c r="B22" s="26">
        <f>'ANALYSIS BY SUBJECTS'!N229</f>
        <v>45.833333333333329</v>
      </c>
      <c r="C22" s="26">
        <f>'ANALYSIS BY SUBJECTS'!P229</f>
        <v>64.583333333333343</v>
      </c>
    </row>
    <row r="23" spans="1:3" ht="18">
      <c r="A23" s="208" t="s">
        <v>138</v>
      </c>
      <c r="B23" s="209">
        <f>'ANALYSIS BY SUBJECTS'!N230</f>
        <v>12.820512820512819</v>
      </c>
      <c r="C23" s="209">
        <f>'ANALYSIS BY SUBJECTS'!P230</f>
        <v>56.410256410256409</v>
      </c>
    </row>
    <row r="24" spans="1:3" ht="18">
      <c r="A24" s="207" t="s">
        <v>142</v>
      </c>
      <c r="B24" s="226">
        <f>'ANALYSIS BY SUBJECTS'!N231</f>
        <v>50</v>
      </c>
      <c r="C24" s="226">
        <f>'ANALYSIS BY SUBJECTS'!P231</f>
        <v>50</v>
      </c>
    </row>
  </sheetData>
  <phoneticPr fontId="0" type="noConversion"/>
  <pageMargins left="0.48032407407407401" right="0.36400462962962998" top="1" bottom="1" header="0.5" footer="0.5"/>
  <pageSetup paperSize="5" scale="85" orientation="landscape" r:id="rId1"/>
  <headerFooter alignWithMargins="0">
    <oddHeader xml:space="preserve">&amp;CSEKOLAH MENENGAH PENGIRAN ANAK PUTERI HAJAH MASNA
YEAR 9, ASSESSMENT 1 2025
</oddHeader>
    <oddFooter>&amp;LExam Dept SMPAPHM&amp;CY9 2025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9"/>
  <sheetViews>
    <sheetView view="pageLayout" zoomScale="80" zoomScaleNormal="100" zoomScalePageLayoutView="80" workbookViewId="0">
      <selection activeCell="B20" sqref="B20"/>
    </sheetView>
  </sheetViews>
  <sheetFormatPr defaultRowHeight="12.75"/>
  <cols>
    <col min="1" max="1" width="14.5703125" customWidth="1"/>
    <col min="2" max="2" width="9.7109375" customWidth="1"/>
  </cols>
  <sheetData>
    <row r="2" spans="1:2" ht="25.5">
      <c r="A2" s="48" t="s">
        <v>143</v>
      </c>
      <c r="B2" s="47" t="s">
        <v>144</v>
      </c>
    </row>
    <row r="3" spans="1:2">
      <c r="A3" s="140" t="s">
        <v>145</v>
      </c>
      <c r="B3" s="143"/>
    </row>
    <row r="4" spans="1:2">
      <c r="A4" s="140" t="s">
        <v>146</v>
      </c>
      <c r="B4" s="143"/>
    </row>
    <row r="5" spans="1:2">
      <c r="A5" s="140" t="s">
        <v>147</v>
      </c>
      <c r="B5" s="143"/>
    </row>
    <row r="6" spans="1:2">
      <c r="A6" s="140" t="s">
        <v>148</v>
      </c>
      <c r="B6" s="143"/>
    </row>
    <row r="7" spans="1:2">
      <c r="A7" s="140" t="s">
        <v>149</v>
      </c>
      <c r="B7" s="143"/>
    </row>
    <row r="8" spans="1:2">
      <c r="A8" s="140" t="s">
        <v>150</v>
      </c>
      <c r="B8" s="143"/>
    </row>
    <row r="9" spans="1:2">
      <c r="A9" s="140" t="s">
        <v>151</v>
      </c>
      <c r="B9" s="143"/>
    </row>
  </sheetData>
  <phoneticPr fontId="0" type="noConversion"/>
  <pageMargins left="0.75" right="0.55000000000000004" top="1" bottom="1" header="0.5" footer="0.5"/>
  <pageSetup orientation="landscape" r:id="rId1"/>
  <headerFooter alignWithMargins="0">
    <oddHeader>&amp;CSEKOLAH MENENGAH PENGIRAN ANAK PUTERI HAJAH MASNA
MID YEAR EXAMINATION 2016, YEAR 10</oddHeader>
    <oddFooter>&amp;LExam Dept SMPAPHM&amp;CY9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182"/>
  <sheetViews>
    <sheetView zoomScaleNormal="75" workbookViewId="0">
      <selection activeCell="C11" sqref="C11"/>
    </sheetView>
  </sheetViews>
  <sheetFormatPr defaultRowHeight="12.75"/>
  <cols>
    <col min="1" max="1" width="16.42578125" customWidth="1"/>
    <col min="2" max="2" width="13.42578125" customWidth="1"/>
    <col min="3" max="3" width="9" customWidth="1"/>
    <col min="4" max="12" width="6.140625" customWidth="1"/>
    <col min="13" max="16" width="7.85546875" customWidth="1"/>
  </cols>
  <sheetData>
    <row r="1" spans="1:16" ht="1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ht="15">
      <c r="A2" s="40" t="s">
        <v>152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3" spans="1:16" s="5" customFormat="1" ht="15.75">
      <c r="A3" s="40"/>
      <c r="B3" s="40"/>
      <c r="C3" s="41"/>
      <c r="D3" s="250" t="s">
        <v>113</v>
      </c>
      <c r="E3" s="251"/>
      <c r="F3" s="250" t="s">
        <v>114</v>
      </c>
      <c r="G3" s="252"/>
      <c r="H3" s="252"/>
      <c r="I3" s="251"/>
      <c r="J3" s="250" t="s">
        <v>115</v>
      </c>
      <c r="K3" s="251"/>
      <c r="L3" s="42" t="s">
        <v>4</v>
      </c>
      <c r="M3" s="40"/>
      <c r="N3" s="40"/>
      <c r="O3" s="40"/>
      <c r="P3" s="40"/>
    </row>
    <row r="4" spans="1:16" s="36" customFormat="1" ht="31.5">
      <c r="A4" s="166" t="s">
        <v>141</v>
      </c>
      <c r="B4" s="166" t="s">
        <v>6</v>
      </c>
      <c r="C4" s="166" t="s">
        <v>7</v>
      </c>
      <c r="D4" s="166">
        <v>1</v>
      </c>
      <c r="E4" s="166">
        <v>2</v>
      </c>
      <c r="F4" s="166">
        <v>3</v>
      </c>
      <c r="G4" s="166">
        <v>4</v>
      </c>
      <c r="H4" s="166">
        <v>5</v>
      </c>
      <c r="I4" s="166">
        <v>6</v>
      </c>
      <c r="J4" s="166">
        <v>7</v>
      </c>
      <c r="K4" s="166">
        <v>8</v>
      </c>
      <c r="L4" s="166">
        <v>9</v>
      </c>
      <c r="M4" s="43" t="s">
        <v>17</v>
      </c>
      <c r="N4" s="43" t="s">
        <v>18</v>
      </c>
      <c r="O4" s="43" t="s">
        <v>19</v>
      </c>
      <c r="P4" s="43" t="s">
        <v>20</v>
      </c>
    </row>
    <row r="5" spans="1:16" s="5" customFormat="1" ht="15">
      <c r="A5" s="44" t="s">
        <v>118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2" t="e">
        <f t="shared" ref="N5:N13" si="0">((M5/C5)*100)</f>
        <v>#DIV/0!</v>
      </c>
      <c r="O5" s="35">
        <f t="shared" ref="O5:O13" si="1">SUM(D5:K5)</f>
        <v>0</v>
      </c>
      <c r="P5" s="32" t="e">
        <f t="shared" ref="P5:P13" si="2">((O5/C5)*100)</f>
        <v>#DIV/0!</v>
      </c>
    </row>
    <row r="6" spans="1:16" ht="15">
      <c r="A6" s="44" t="s">
        <v>153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2" t="e">
        <f t="shared" si="0"/>
        <v>#DIV/0!</v>
      </c>
      <c r="O6" s="35">
        <f t="shared" si="1"/>
        <v>0</v>
      </c>
      <c r="P6" s="32" t="e">
        <f t="shared" si="2"/>
        <v>#DIV/0!</v>
      </c>
    </row>
    <row r="7" spans="1:16" ht="15">
      <c r="A7" s="44" t="s">
        <v>154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2" t="e">
        <f t="shared" si="0"/>
        <v>#DIV/0!</v>
      </c>
      <c r="O7" s="35">
        <f t="shared" si="1"/>
        <v>0</v>
      </c>
      <c r="P7" s="32" t="e">
        <f t="shared" si="2"/>
        <v>#DIV/0!</v>
      </c>
    </row>
    <row r="8" spans="1:16" ht="15">
      <c r="A8" s="44" t="s">
        <v>155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2" t="e">
        <f t="shared" si="0"/>
        <v>#DIV/0!</v>
      </c>
      <c r="O8" s="35">
        <f t="shared" si="1"/>
        <v>0</v>
      </c>
      <c r="P8" s="32" t="e">
        <f t="shared" si="2"/>
        <v>#DIV/0!</v>
      </c>
    </row>
    <row r="9" spans="1:16" ht="15">
      <c r="A9" s="44" t="s">
        <v>123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2" t="e">
        <f t="shared" si="0"/>
        <v>#DIV/0!</v>
      </c>
      <c r="O9" s="35">
        <f t="shared" si="1"/>
        <v>0</v>
      </c>
      <c r="P9" s="32" t="e">
        <f t="shared" si="2"/>
        <v>#DIV/0!</v>
      </c>
    </row>
    <row r="10" spans="1:16" ht="15">
      <c r="A10" s="44" t="s">
        <v>124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2" t="e">
        <f t="shared" si="0"/>
        <v>#DIV/0!</v>
      </c>
      <c r="O10" s="35">
        <f t="shared" si="1"/>
        <v>0</v>
      </c>
      <c r="P10" s="32" t="e">
        <f t="shared" si="2"/>
        <v>#DIV/0!</v>
      </c>
    </row>
    <row r="11" spans="1:16" ht="15">
      <c r="A11" s="44" t="s">
        <v>125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2" t="e">
        <f t="shared" si="0"/>
        <v>#DIV/0!</v>
      </c>
      <c r="O11" s="35">
        <f t="shared" si="1"/>
        <v>0</v>
      </c>
      <c r="P11" s="32" t="e">
        <f t="shared" si="2"/>
        <v>#DIV/0!</v>
      </c>
    </row>
    <row r="12" spans="1:16" ht="15">
      <c r="A12" s="44" t="s">
        <v>127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2" t="e">
        <f t="shared" si="0"/>
        <v>#DIV/0!</v>
      </c>
      <c r="O12" s="35">
        <f t="shared" si="1"/>
        <v>0</v>
      </c>
      <c r="P12" s="32" t="e">
        <f t="shared" si="2"/>
        <v>#DIV/0!</v>
      </c>
    </row>
    <row r="13" spans="1:16" ht="15">
      <c r="A13" s="45" t="s">
        <v>156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2" t="e">
        <f t="shared" si="0"/>
        <v>#DIV/0!</v>
      </c>
      <c r="O13" s="35">
        <f t="shared" si="1"/>
        <v>0</v>
      </c>
      <c r="P13" s="32" t="e">
        <f t="shared" si="2"/>
        <v>#DIV/0!</v>
      </c>
    </row>
    <row r="14" spans="1:16" ht="15.7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37" t="e">
        <f>AVERAGE(N5:N13)</f>
        <v>#DIV/0!</v>
      </c>
      <c r="O14" s="38"/>
      <c r="P14" s="37" t="e">
        <f>AVERAGE(P5:P13)</f>
        <v>#DIV/0!</v>
      </c>
    </row>
    <row r="15" spans="1:16" ht="1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</row>
    <row r="16" spans="1:16" ht="15">
      <c r="A16" s="40" t="s">
        <v>157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1:16" s="5" customFormat="1" ht="15.75">
      <c r="A17" s="40"/>
      <c r="B17" s="40"/>
      <c r="C17" s="41"/>
      <c r="D17" s="250" t="s">
        <v>113</v>
      </c>
      <c r="E17" s="251"/>
      <c r="F17" s="250" t="s">
        <v>114</v>
      </c>
      <c r="G17" s="252"/>
      <c r="H17" s="252"/>
      <c r="I17" s="251"/>
      <c r="J17" s="250" t="s">
        <v>115</v>
      </c>
      <c r="K17" s="251"/>
      <c r="L17" s="42" t="s">
        <v>4</v>
      </c>
      <c r="M17" s="40"/>
      <c r="N17" s="40"/>
      <c r="O17" s="40"/>
      <c r="P17" s="40"/>
    </row>
    <row r="18" spans="1:16" s="36" customFormat="1" ht="31.5">
      <c r="A18" s="166" t="s">
        <v>141</v>
      </c>
      <c r="B18" s="166" t="s">
        <v>6</v>
      </c>
      <c r="C18" s="166" t="s">
        <v>7</v>
      </c>
      <c r="D18" s="166">
        <v>1</v>
      </c>
      <c r="E18" s="166">
        <v>2</v>
      </c>
      <c r="F18" s="166">
        <v>3</v>
      </c>
      <c r="G18" s="166">
        <v>4</v>
      </c>
      <c r="H18" s="166">
        <v>5</v>
      </c>
      <c r="I18" s="166">
        <v>6</v>
      </c>
      <c r="J18" s="166">
        <v>7</v>
      </c>
      <c r="K18" s="166">
        <v>8</v>
      </c>
      <c r="L18" s="166">
        <v>9</v>
      </c>
      <c r="M18" s="43" t="s">
        <v>17</v>
      </c>
      <c r="N18" s="43" t="s">
        <v>18</v>
      </c>
      <c r="O18" s="43" t="s">
        <v>19</v>
      </c>
      <c r="P18" s="43" t="s">
        <v>20</v>
      </c>
    </row>
    <row r="19" spans="1:16" ht="15">
      <c r="A19" s="44" t="s">
        <v>118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2" t="e">
        <f>((M19/C19)*100)</f>
        <v>#DIV/0!</v>
      </c>
      <c r="O19" s="35">
        <f>SUM(D19:K19)</f>
        <v>0</v>
      </c>
      <c r="P19" s="32" t="e">
        <f>((O19/C19)*100)</f>
        <v>#DIV/0!</v>
      </c>
    </row>
    <row r="20" spans="1:16" ht="15">
      <c r="A20" s="44" t="s">
        <v>153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2" t="e">
        <f>((M20/C20)*100)</f>
        <v>#DIV/0!</v>
      </c>
      <c r="O20" s="35">
        <f>SUM(D20:K20)</f>
        <v>0</v>
      </c>
      <c r="P20" s="32" t="e">
        <f>((O20/C20)*100)</f>
        <v>#DIV/0!</v>
      </c>
    </row>
    <row r="21" spans="1:16" ht="15">
      <c r="A21" s="44" t="s">
        <v>154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2" t="e">
        <f>((M21/C21)*100)</f>
        <v>#DIV/0!</v>
      </c>
      <c r="O21" s="35">
        <f>SUM(D21:K21)</f>
        <v>0</v>
      </c>
      <c r="P21" s="32" t="e">
        <f>((O21/C21)*100)</f>
        <v>#DIV/0!</v>
      </c>
    </row>
    <row r="22" spans="1:16" ht="15">
      <c r="A22" s="44" t="s">
        <v>123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2" t="e">
        <f t="shared" ref="N22:N28" si="3">((M22/C22)*100)</f>
        <v>#DIV/0!</v>
      </c>
      <c r="O22" s="35">
        <v>10</v>
      </c>
      <c r="P22" s="32" t="e">
        <f t="shared" ref="P22:P28" si="4">((O22/C22)*100)</f>
        <v>#DIV/0!</v>
      </c>
    </row>
    <row r="23" spans="1:16" ht="15">
      <c r="A23" s="44" t="s">
        <v>124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2" t="e">
        <f t="shared" si="3"/>
        <v>#DIV/0!</v>
      </c>
      <c r="O23" s="35">
        <v>10</v>
      </c>
      <c r="P23" s="32" t="e">
        <f t="shared" si="4"/>
        <v>#DIV/0!</v>
      </c>
    </row>
    <row r="24" spans="1:16" ht="15">
      <c r="A24" s="44" t="s">
        <v>125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2" t="e">
        <f t="shared" si="3"/>
        <v>#DIV/0!</v>
      </c>
      <c r="O24" s="35">
        <v>19</v>
      </c>
      <c r="P24" s="32" t="e">
        <f t="shared" si="4"/>
        <v>#DIV/0!</v>
      </c>
    </row>
    <row r="25" spans="1:16" ht="15">
      <c r="A25" s="44" t="s">
        <v>127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2" t="e">
        <f t="shared" si="3"/>
        <v>#DIV/0!</v>
      </c>
      <c r="O25" s="35">
        <v>19</v>
      </c>
      <c r="P25" s="32" t="e">
        <f t="shared" si="4"/>
        <v>#DIV/0!</v>
      </c>
    </row>
    <row r="26" spans="1:16" ht="15">
      <c r="A26" s="35" t="s">
        <v>131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2" t="e">
        <f t="shared" si="3"/>
        <v>#DIV/0!</v>
      </c>
      <c r="O26" s="35">
        <v>3</v>
      </c>
      <c r="P26" s="32" t="e">
        <f t="shared" si="4"/>
        <v>#DIV/0!</v>
      </c>
    </row>
    <row r="27" spans="1:16" ht="15">
      <c r="A27" s="45" t="s">
        <v>156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2" t="e">
        <f t="shared" si="3"/>
        <v>#DIV/0!</v>
      </c>
      <c r="O27" s="35">
        <v>2</v>
      </c>
      <c r="P27" s="32" t="e">
        <f t="shared" si="4"/>
        <v>#DIV/0!</v>
      </c>
    </row>
    <row r="28" spans="1:16" ht="15">
      <c r="A28" s="45" t="s">
        <v>158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2" t="e">
        <f t="shared" si="3"/>
        <v>#DIV/0!</v>
      </c>
      <c r="O28" s="35">
        <v>12</v>
      </c>
      <c r="P28" s="32" t="e">
        <f t="shared" si="4"/>
        <v>#DIV/0!</v>
      </c>
    </row>
    <row r="29" spans="1:16" ht="15.7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37" t="e">
        <f>AVERAGE(N19:N28)</f>
        <v>#DIV/0!</v>
      </c>
      <c r="O29" s="38"/>
      <c r="P29" s="37" t="e">
        <f>AVERAGE(P19:P28)</f>
        <v>#DIV/0!</v>
      </c>
    </row>
    <row r="30" spans="1:16" ht="1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6"/>
      <c r="O30" s="41"/>
      <c r="P30" s="46"/>
    </row>
    <row r="31" spans="1:16" ht="15">
      <c r="A31" s="40" t="s">
        <v>159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</row>
    <row r="32" spans="1:16" s="5" customFormat="1" ht="15.75">
      <c r="A32" s="40"/>
      <c r="B32" s="40"/>
      <c r="C32" s="41"/>
      <c r="D32" s="250" t="s">
        <v>113</v>
      </c>
      <c r="E32" s="251"/>
      <c r="F32" s="250" t="s">
        <v>114</v>
      </c>
      <c r="G32" s="252"/>
      <c r="H32" s="252"/>
      <c r="I32" s="251"/>
      <c r="J32" s="250" t="s">
        <v>115</v>
      </c>
      <c r="K32" s="251"/>
      <c r="L32" s="42" t="s">
        <v>4</v>
      </c>
      <c r="M32" s="40"/>
      <c r="N32" s="40"/>
      <c r="O32" s="40"/>
      <c r="P32" s="40"/>
    </row>
    <row r="33" spans="1:16" s="36" customFormat="1" ht="31.5">
      <c r="A33" s="166" t="s">
        <v>141</v>
      </c>
      <c r="B33" s="166" t="s">
        <v>6</v>
      </c>
      <c r="C33" s="166" t="s">
        <v>7</v>
      </c>
      <c r="D33" s="166">
        <v>1</v>
      </c>
      <c r="E33" s="166">
        <v>2</v>
      </c>
      <c r="F33" s="166">
        <v>3</v>
      </c>
      <c r="G33" s="166">
        <v>4</v>
      </c>
      <c r="H33" s="166">
        <v>5</v>
      </c>
      <c r="I33" s="166">
        <v>6</v>
      </c>
      <c r="J33" s="166">
        <v>7</v>
      </c>
      <c r="K33" s="166">
        <v>8</v>
      </c>
      <c r="L33" s="166">
        <v>9</v>
      </c>
      <c r="M33" s="43" t="s">
        <v>17</v>
      </c>
      <c r="N33" s="43" t="s">
        <v>18</v>
      </c>
      <c r="O33" s="43" t="s">
        <v>19</v>
      </c>
      <c r="P33" s="43" t="s">
        <v>20</v>
      </c>
    </row>
    <row r="34" spans="1:16" ht="15">
      <c r="A34" s="44" t="s">
        <v>118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2" t="e">
        <f t="shared" ref="N34:N42" si="5">((M34/C34)*100)</f>
        <v>#DIV/0!</v>
      </c>
      <c r="O34" s="35">
        <v>18</v>
      </c>
      <c r="P34" s="32" t="e">
        <f t="shared" ref="P34:P42" si="6">((O34/C34)*100)</f>
        <v>#DIV/0!</v>
      </c>
    </row>
    <row r="35" spans="1:16" ht="15">
      <c r="A35" s="44" t="s">
        <v>153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2" t="e">
        <f t="shared" si="5"/>
        <v>#DIV/0!</v>
      </c>
      <c r="O35" s="35">
        <v>15</v>
      </c>
      <c r="P35" s="32" t="e">
        <f t="shared" si="6"/>
        <v>#DIV/0!</v>
      </c>
    </row>
    <row r="36" spans="1:16" ht="15">
      <c r="A36" s="44" t="s">
        <v>154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2" t="e">
        <f t="shared" si="5"/>
        <v>#DIV/0!</v>
      </c>
      <c r="O36" s="35">
        <v>9</v>
      </c>
      <c r="P36" s="32" t="e">
        <f t="shared" si="6"/>
        <v>#DIV/0!</v>
      </c>
    </row>
    <row r="37" spans="1:16" ht="15">
      <c r="A37" s="44" t="s">
        <v>160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2" t="e">
        <f t="shared" si="5"/>
        <v>#DIV/0!</v>
      </c>
      <c r="O37" s="35">
        <v>6</v>
      </c>
      <c r="P37" s="32" t="e">
        <f t="shared" si="6"/>
        <v>#DIV/0!</v>
      </c>
    </row>
    <row r="38" spans="1:16" ht="15">
      <c r="A38" s="44" t="s">
        <v>127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2" t="e">
        <f t="shared" si="5"/>
        <v>#DIV/0!</v>
      </c>
      <c r="O38" s="35">
        <v>7</v>
      </c>
      <c r="P38" s="32" t="e">
        <f t="shared" si="6"/>
        <v>#DIV/0!</v>
      </c>
    </row>
    <row r="39" spans="1:16" ht="15">
      <c r="A39" s="44" t="s">
        <v>129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2" t="e">
        <f t="shared" si="5"/>
        <v>#DIV/0!</v>
      </c>
      <c r="O39" s="35">
        <v>14</v>
      </c>
      <c r="P39" s="32" t="e">
        <f t="shared" si="6"/>
        <v>#DIV/0!</v>
      </c>
    </row>
    <row r="40" spans="1:16" ht="15">
      <c r="A40" s="44" t="s">
        <v>128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2" t="e">
        <f t="shared" si="5"/>
        <v>#DIV/0!</v>
      </c>
      <c r="O40" s="35">
        <v>16</v>
      </c>
      <c r="P40" s="32" t="e">
        <f t="shared" si="6"/>
        <v>#DIV/0!</v>
      </c>
    </row>
    <row r="41" spans="1:16" ht="15">
      <c r="A41" s="45" t="s">
        <v>130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2" t="e">
        <f t="shared" si="5"/>
        <v>#DIV/0!</v>
      </c>
      <c r="O41" s="35">
        <v>14</v>
      </c>
      <c r="P41" s="32" t="e">
        <f t="shared" si="6"/>
        <v>#DIV/0!</v>
      </c>
    </row>
    <row r="42" spans="1:16" ht="15">
      <c r="A42" s="45" t="s">
        <v>161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2" t="e">
        <f t="shared" si="5"/>
        <v>#DIV/0!</v>
      </c>
      <c r="O42" s="35">
        <v>2</v>
      </c>
      <c r="P42" s="32" t="e">
        <f t="shared" si="6"/>
        <v>#DIV/0!</v>
      </c>
    </row>
    <row r="43" spans="1:16" ht="15.75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37" t="e">
        <f>AVERAGE(N34:N42)</f>
        <v>#DIV/0!</v>
      </c>
      <c r="O43" s="38"/>
      <c r="P43" s="37" t="e">
        <f>AVERAGE(P34:P42)</f>
        <v>#DIV/0!</v>
      </c>
    </row>
    <row r="44" spans="1:16" ht="1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6"/>
      <c r="O44" s="41"/>
      <c r="P44" s="46"/>
    </row>
    <row r="45" spans="1:16" ht="15">
      <c r="A45" s="40" t="s">
        <v>162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</row>
    <row r="46" spans="1:16" s="5" customFormat="1" ht="15.75">
      <c r="A46" s="40"/>
      <c r="B46" s="40"/>
      <c r="C46" s="41"/>
      <c r="D46" s="250" t="s">
        <v>113</v>
      </c>
      <c r="E46" s="251"/>
      <c r="F46" s="250" t="s">
        <v>114</v>
      </c>
      <c r="G46" s="252"/>
      <c r="H46" s="252"/>
      <c r="I46" s="251"/>
      <c r="J46" s="250" t="s">
        <v>115</v>
      </c>
      <c r="K46" s="251"/>
      <c r="L46" s="42" t="s">
        <v>4</v>
      </c>
      <c r="M46" s="40"/>
      <c r="N46" s="40"/>
      <c r="O46" s="40"/>
      <c r="P46" s="40"/>
    </row>
    <row r="47" spans="1:16" s="36" customFormat="1" ht="31.5">
      <c r="A47" s="166" t="s">
        <v>141</v>
      </c>
      <c r="B47" s="166" t="s">
        <v>6</v>
      </c>
      <c r="C47" s="166" t="s">
        <v>7</v>
      </c>
      <c r="D47" s="166">
        <v>1</v>
      </c>
      <c r="E47" s="166">
        <v>2</v>
      </c>
      <c r="F47" s="166">
        <v>3</v>
      </c>
      <c r="G47" s="166">
        <v>4</v>
      </c>
      <c r="H47" s="166">
        <v>5</v>
      </c>
      <c r="I47" s="166">
        <v>6</v>
      </c>
      <c r="J47" s="166">
        <v>7</v>
      </c>
      <c r="K47" s="166">
        <v>8</v>
      </c>
      <c r="L47" s="166">
        <v>9</v>
      </c>
      <c r="M47" s="43" t="s">
        <v>17</v>
      </c>
      <c r="N47" s="43" t="s">
        <v>18</v>
      </c>
      <c r="O47" s="43" t="s">
        <v>19</v>
      </c>
      <c r="P47" s="43" t="s">
        <v>20</v>
      </c>
    </row>
    <row r="48" spans="1:16" ht="15">
      <c r="A48" s="44" t="s">
        <v>118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2" t="e">
        <f t="shared" ref="N48:N56" si="7">((M48/C48)*100)</f>
        <v>#DIV/0!</v>
      </c>
      <c r="O48" s="35">
        <v>24</v>
      </c>
      <c r="P48" s="32" t="e">
        <f t="shared" ref="P48:P56" si="8">((O48/C48)*100)</f>
        <v>#DIV/0!</v>
      </c>
    </row>
    <row r="49" spans="1:16" ht="15">
      <c r="A49" s="44" t="s">
        <v>153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2" t="e">
        <f t="shared" si="7"/>
        <v>#DIV/0!</v>
      </c>
      <c r="O49" s="35">
        <v>20</v>
      </c>
      <c r="P49" s="32" t="e">
        <f t="shared" si="8"/>
        <v>#DIV/0!</v>
      </c>
    </row>
    <row r="50" spans="1:16" ht="15">
      <c r="A50" s="44" t="s">
        <v>154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2" t="e">
        <f t="shared" si="7"/>
        <v>#DIV/0!</v>
      </c>
      <c r="O50" s="35">
        <v>5</v>
      </c>
      <c r="P50" s="32" t="e">
        <f t="shared" si="8"/>
        <v>#DIV/0!</v>
      </c>
    </row>
    <row r="51" spans="1:16" ht="15">
      <c r="A51" s="44" t="s">
        <v>160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2" t="e">
        <f t="shared" si="7"/>
        <v>#DIV/0!</v>
      </c>
      <c r="O51" s="35">
        <v>10</v>
      </c>
      <c r="P51" s="32" t="e">
        <f t="shared" si="8"/>
        <v>#DIV/0!</v>
      </c>
    </row>
    <row r="52" spans="1:16" ht="15">
      <c r="A52" s="44" t="s">
        <v>127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2" t="e">
        <f t="shared" si="7"/>
        <v>#DIV/0!</v>
      </c>
      <c r="O52" s="35">
        <v>12</v>
      </c>
      <c r="P52" s="32" t="e">
        <f t="shared" si="8"/>
        <v>#DIV/0!</v>
      </c>
    </row>
    <row r="53" spans="1:16" ht="15">
      <c r="A53" s="44" t="s">
        <v>129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2" t="e">
        <f t="shared" si="7"/>
        <v>#DIV/0!</v>
      </c>
      <c r="O53" s="35">
        <v>13</v>
      </c>
      <c r="P53" s="32" t="e">
        <f t="shared" si="8"/>
        <v>#DIV/0!</v>
      </c>
    </row>
    <row r="54" spans="1:16" ht="15">
      <c r="A54" s="44" t="s">
        <v>128</v>
      </c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2" t="e">
        <f t="shared" si="7"/>
        <v>#DIV/0!</v>
      </c>
      <c r="O54" s="35">
        <v>22</v>
      </c>
      <c r="P54" s="32" t="e">
        <f t="shared" si="8"/>
        <v>#DIV/0!</v>
      </c>
    </row>
    <row r="55" spans="1:16" ht="15.75">
      <c r="A55" s="45" t="s">
        <v>163</v>
      </c>
      <c r="B55" s="35"/>
      <c r="C55" s="35"/>
      <c r="D55" s="42"/>
      <c r="E55" s="35"/>
      <c r="F55" s="35"/>
      <c r="G55" s="35"/>
      <c r="H55" s="35"/>
      <c r="I55" s="35"/>
      <c r="J55" s="42"/>
      <c r="K55" s="42"/>
      <c r="L55" s="42"/>
      <c r="M55" s="35"/>
      <c r="N55" s="32" t="e">
        <f t="shared" si="7"/>
        <v>#DIV/0!</v>
      </c>
      <c r="O55" s="35">
        <v>10</v>
      </c>
      <c r="P55" s="32" t="e">
        <f t="shared" si="8"/>
        <v>#DIV/0!</v>
      </c>
    </row>
    <row r="56" spans="1:16" ht="15">
      <c r="A56" s="45" t="s">
        <v>158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2" t="e">
        <f t="shared" si="7"/>
        <v>#DIV/0!</v>
      </c>
      <c r="O56" s="35">
        <v>8</v>
      </c>
      <c r="P56" s="32" t="e">
        <f t="shared" si="8"/>
        <v>#DIV/0!</v>
      </c>
    </row>
    <row r="57" spans="1:16" ht="15.75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37" t="e">
        <f>AVERAGE(N48:N56)</f>
        <v>#DIV/0!</v>
      </c>
      <c r="O57" s="38"/>
      <c r="P57" s="37" t="e">
        <f>AVERAGE(P48:P56)</f>
        <v>#DIV/0!</v>
      </c>
    </row>
    <row r="58" spans="1:16" ht="15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6"/>
      <c r="O58" s="41"/>
      <c r="P58" s="46"/>
    </row>
    <row r="59" spans="1:16" ht="15">
      <c r="A59" s="40" t="s">
        <v>164</v>
      </c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</row>
    <row r="60" spans="1:16" s="5" customFormat="1" ht="15.75">
      <c r="A60" s="40"/>
      <c r="B60" s="40"/>
      <c r="C60" s="41"/>
      <c r="D60" s="250" t="s">
        <v>113</v>
      </c>
      <c r="E60" s="251"/>
      <c r="F60" s="250" t="s">
        <v>114</v>
      </c>
      <c r="G60" s="252"/>
      <c r="H60" s="252"/>
      <c r="I60" s="251"/>
      <c r="J60" s="250" t="s">
        <v>115</v>
      </c>
      <c r="K60" s="251"/>
      <c r="L60" s="42" t="s">
        <v>4</v>
      </c>
      <c r="M60" s="40"/>
      <c r="N60" s="40"/>
      <c r="O60" s="40"/>
      <c r="P60" s="40"/>
    </row>
    <row r="61" spans="1:16" s="36" customFormat="1" ht="31.5">
      <c r="A61" s="166" t="s">
        <v>141</v>
      </c>
      <c r="B61" s="166" t="s">
        <v>6</v>
      </c>
      <c r="C61" s="166" t="s">
        <v>7</v>
      </c>
      <c r="D61" s="166">
        <v>1</v>
      </c>
      <c r="E61" s="166">
        <v>2</v>
      </c>
      <c r="F61" s="166">
        <v>3</v>
      </c>
      <c r="G61" s="166">
        <v>4</v>
      </c>
      <c r="H61" s="166">
        <v>5</v>
      </c>
      <c r="I61" s="166">
        <v>6</v>
      </c>
      <c r="J61" s="166">
        <v>7</v>
      </c>
      <c r="K61" s="166">
        <v>8</v>
      </c>
      <c r="L61" s="166">
        <v>9</v>
      </c>
      <c r="M61" s="43" t="s">
        <v>17</v>
      </c>
      <c r="N61" s="43" t="s">
        <v>18</v>
      </c>
      <c r="O61" s="43" t="s">
        <v>19</v>
      </c>
      <c r="P61" s="43" t="s">
        <v>20</v>
      </c>
    </row>
    <row r="62" spans="1:16" ht="15">
      <c r="A62" s="44" t="s">
        <v>118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2" t="e">
        <f t="shared" ref="N62:N69" si="9">((M62/C62)*100)</f>
        <v>#DIV/0!</v>
      </c>
      <c r="O62" s="35">
        <v>18</v>
      </c>
      <c r="P62" s="32" t="e">
        <f t="shared" ref="P62:P69" si="10">((O62/C62)*100)</f>
        <v>#DIV/0!</v>
      </c>
    </row>
    <row r="63" spans="1:16" ht="15">
      <c r="A63" s="44" t="s">
        <v>153</v>
      </c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2" t="e">
        <f t="shared" si="9"/>
        <v>#DIV/0!</v>
      </c>
      <c r="O63" s="35">
        <v>7</v>
      </c>
      <c r="P63" s="32" t="e">
        <f t="shared" si="10"/>
        <v>#DIV/0!</v>
      </c>
    </row>
    <row r="64" spans="1:16" ht="15">
      <c r="A64" s="44" t="s">
        <v>154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2" t="e">
        <f t="shared" si="9"/>
        <v>#DIV/0!</v>
      </c>
      <c r="O64" s="35">
        <v>2</v>
      </c>
      <c r="P64" s="32" t="e">
        <f t="shared" si="10"/>
        <v>#DIV/0!</v>
      </c>
    </row>
    <row r="65" spans="1:16" ht="15">
      <c r="A65" s="44" t="s">
        <v>160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2" t="e">
        <f t="shared" si="9"/>
        <v>#DIV/0!</v>
      </c>
      <c r="O65" s="35">
        <v>1</v>
      </c>
      <c r="P65" s="32" t="e">
        <f t="shared" si="10"/>
        <v>#DIV/0!</v>
      </c>
    </row>
    <row r="66" spans="1:16" ht="15">
      <c r="A66" s="44" t="s">
        <v>127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2" t="e">
        <f t="shared" si="9"/>
        <v>#DIV/0!</v>
      </c>
      <c r="O66" s="35">
        <v>9</v>
      </c>
      <c r="P66" s="32" t="e">
        <f t="shared" si="10"/>
        <v>#DIV/0!</v>
      </c>
    </row>
    <row r="67" spans="1:16" ht="15">
      <c r="A67" s="44" t="s">
        <v>128</v>
      </c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2" t="e">
        <f t="shared" si="9"/>
        <v>#DIV/0!</v>
      </c>
      <c r="O67" s="35">
        <v>15</v>
      </c>
      <c r="P67" s="32" t="e">
        <f t="shared" si="10"/>
        <v>#DIV/0!</v>
      </c>
    </row>
    <row r="68" spans="1:16" ht="15">
      <c r="A68" s="35" t="s">
        <v>130</v>
      </c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2" t="e">
        <f t="shared" si="9"/>
        <v>#DIV/0!</v>
      </c>
      <c r="O68" s="35">
        <v>17</v>
      </c>
      <c r="P68" s="32" t="e">
        <f t="shared" si="10"/>
        <v>#DIV/0!</v>
      </c>
    </row>
    <row r="69" spans="1:16" ht="15">
      <c r="A69" s="44" t="s">
        <v>136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2" t="e">
        <f t="shared" si="9"/>
        <v>#DIV/0!</v>
      </c>
      <c r="O69" s="35">
        <v>17</v>
      </c>
      <c r="P69" s="32" t="e">
        <f t="shared" si="10"/>
        <v>#DIV/0!</v>
      </c>
    </row>
    <row r="70" spans="1:16" ht="15.75">
      <c r="A70" s="40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37" t="e">
        <f>AVERAGE(N62:N69)</f>
        <v>#DIV/0!</v>
      </c>
      <c r="O70" s="38"/>
      <c r="P70" s="37" t="e">
        <f>AVERAGE(P62:P69)</f>
        <v>#DIV/0!</v>
      </c>
    </row>
    <row r="71" spans="1:16" ht="15">
      <c r="A71" s="40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6"/>
      <c r="O71" s="41"/>
      <c r="P71" s="46"/>
    </row>
    <row r="72" spans="1:16" ht="15">
      <c r="A72" s="40" t="s">
        <v>165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</row>
    <row r="73" spans="1:16" ht="18" customHeight="1">
      <c r="A73" s="40"/>
      <c r="B73" s="40"/>
      <c r="C73" s="41"/>
      <c r="D73" s="250" t="s">
        <v>113</v>
      </c>
      <c r="E73" s="251"/>
      <c r="F73" s="250" t="s">
        <v>114</v>
      </c>
      <c r="G73" s="252"/>
      <c r="H73" s="252"/>
      <c r="I73" s="251"/>
      <c r="J73" s="250" t="s">
        <v>115</v>
      </c>
      <c r="K73" s="251"/>
      <c r="L73" s="42" t="s">
        <v>4</v>
      </c>
      <c r="M73" s="40"/>
      <c r="N73" s="40"/>
      <c r="O73" s="40"/>
      <c r="P73" s="40"/>
    </row>
    <row r="74" spans="1:16" s="5" customFormat="1" ht="31.5">
      <c r="A74" s="166" t="s">
        <v>141</v>
      </c>
      <c r="B74" s="166" t="s">
        <v>6</v>
      </c>
      <c r="C74" s="166" t="s">
        <v>7</v>
      </c>
      <c r="D74" s="166">
        <v>1</v>
      </c>
      <c r="E74" s="166">
        <v>2</v>
      </c>
      <c r="F74" s="166">
        <v>3</v>
      </c>
      <c r="G74" s="166">
        <v>4</v>
      </c>
      <c r="H74" s="166">
        <v>5</v>
      </c>
      <c r="I74" s="166">
        <v>6</v>
      </c>
      <c r="J74" s="166">
        <v>7</v>
      </c>
      <c r="K74" s="166">
        <v>8</v>
      </c>
      <c r="L74" s="166">
        <v>9</v>
      </c>
      <c r="M74" s="43" t="s">
        <v>17</v>
      </c>
      <c r="N74" s="43" t="s">
        <v>18</v>
      </c>
      <c r="O74" s="43" t="s">
        <v>19</v>
      </c>
      <c r="P74" s="43" t="s">
        <v>20</v>
      </c>
    </row>
    <row r="75" spans="1:16" s="36" customFormat="1" ht="15">
      <c r="A75" s="44" t="s">
        <v>118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2" t="e">
        <f t="shared" ref="N75:N82" si="11">((M75/C75)*100)</f>
        <v>#DIV/0!</v>
      </c>
      <c r="O75" s="35">
        <v>25</v>
      </c>
      <c r="P75" s="32" t="e">
        <f t="shared" ref="P75:P82" si="12">((O75/C75)*100)</f>
        <v>#DIV/0!</v>
      </c>
    </row>
    <row r="76" spans="1:16" ht="15">
      <c r="A76" s="44" t="s">
        <v>153</v>
      </c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2" t="e">
        <f t="shared" si="11"/>
        <v>#DIV/0!</v>
      </c>
      <c r="O76" s="35">
        <v>7</v>
      </c>
      <c r="P76" s="32" t="e">
        <f t="shared" si="12"/>
        <v>#DIV/0!</v>
      </c>
    </row>
    <row r="77" spans="1:16" ht="15">
      <c r="A77" s="44" t="s">
        <v>154</v>
      </c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2" t="e">
        <f t="shared" si="11"/>
        <v>#DIV/0!</v>
      </c>
      <c r="O77" s="35">
        <v>2</v>
      </c>
      <c r="P77" s="32" t="e">
        <f t="shared" si="12"/>
        <v>#DIV/0!</v>
      </c>
    </row>
    <row r="78" spans="1:16" ht="15">
      <c r="A78" s="44" t="s">
        <v>160</v>
      </c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2" t="e">
        <f t="shared" si="11"/>
        <v>#DIV/0!</v>
      </c>
      <c r="O78" s="35">
        <v>9</v>
      </c>
      <c r="P78" s="32" t="e">
        <f t="shared" si="12"/>
        <v>#DIV/0!</v>
      </c>
    </row>
    <row r="79" spans="1:16" ht="15">
      <c r="A79" s="44" t="s">
        <v>127</v>
      </c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2" t="e">
        <f t="shared" si="11"/>
        <v>#DIV/0!</v>
      </c>
      <c r="O79" s="35">
        <v>3</v>
      </c>
      <c r="P79" s="32" t="e">
        <f t="shared" si="12"/>
        <v>#DIV/0!</v>
      </c>
    </row>
    <row r="80" spans="1:16" s="5" customFormat="1" ht="15">
      <c r="A80" s="44" t="s">
        <v>128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2" t="e">
        <f t="shared" si="11"/>
        <v>#DIV/0!</v>
      </c>
      <c r="O80" s="35">
        <v>24</v>
      </c>
      <c r="P80" s="32" t="e">
        <f t="shared" si="12"/>
        <v>#DIV/0!</v>
      </c>
    </row>
    <row r="81" spans="1:17" ht="15">
      <c r="A81" s="45" t="s">
        <v>158</v>
      </c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2" t="e">
        <f t="shared" si="11"/>
        <v>#DIV/0!</v>
      </c>
      <c r="O81" s="35">
        <v>2</v>
      </c>
      <c r="P81" s="32" t="e">
        <f t="shared" si="12"/>
        <v>#DIV/0!</v>
      </c>
    </row>
    <row r="82" spans="1:17" s="5" customFormat="1" ht="15">
      <c r="A82" s="44" t="s">
        <v>136</v>
      </c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2" t="e">
        <f t="shared" si="11"/>
        <v>#DIV/0!</v>
      </c>
      <c r="O82" s="35">
        <v>24</v>
      </c>
      <c r="P82" s="32" t="e">
        <f t="shared" si="12"/>
        <v>#DIV/0!</v>
      </c>
      <c r="Q82"/>
    </row>
    <row r="83" spans="1:17" s="5" customFormat="1" ht="15.75">
      <c r="A83" s="40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37" t="e">
        <f>AVERAGE(N75:N82)</f>
        <v>#DIV/0!</v>
      </c>
      <c r="O83" s="38"/>
      <c r="P83" s="37" t="e">
        <f>AVERAGE(P75:P82)</f>
        <v>#DIV/0!</v>
      </c>
      <c r="Q83"/>
    </row>
    <row r="84" spans="1:17" s="5" customFormat="1" ht="15.75">
      <c r="A84" s="40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37"/>
      <c r="O84" s="38"/>
      <c r="P84" s="37"/>
      <c r="Q84"/>
    </row>
    <row r="85" spans="1:17" s="5" customFormat="1" ht="15.75">
      <c r="A85" s="40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37"/>
      <c r="O85" s="38"/>
      <c r="P85" s="37"/>
      <c r="Q85"/>
    </row>
    <row r="86" spans="1:17" ht="15">
      <c r="A86" s="40" t="s">
        <v>166</v>
      </c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</row>
    <row r="87" spans="1:17" s="5" customFormat="1" ht="15.75">
      <c r="A87" s="40"/>
      <c r="B87" s="40"/>
      <c r="C87" s="41"/>
      <c r="D87" s="250" t="s">
        <v>113</v>
      </c>
      <c r="E87" s="251"/>
      <c r="F87" s="250" t="s">
        <v>114</v>
      </c>
      <c r="G87" s="252"/>
      <c r="H87" s="252"/>
      <c r="I87" s="251"/>
      <c r="J87" s="250" t="s">
        <v>115</v>
      </c>
      <c r="K87" s="251"/>
      <c r="L87" s="42" t="s">
        <v>4</v>
      </c>
      <c r="M87" s="40"/>
      <c r="N87" s="40"/>
      <c r="O87" s="40"/>
      <c r="P87" s="40"/>
    </row>
    <row r="88" spans="1:17" s="36" customFormat="1" ht="31.5">
      <c r="A88" s="166" t="s">
        <v>141</v>
      </c>
      <c r="B88" s="166" t="s">
        <v>6</v>
      </c>
      <c r="C88" s="166" t="s">
        <v>7</v>
      </c>
      <c r="D88" s="166">
        <v>1</v>
      </c>
      <c r="E88" s="166">
        <v>2</v>
      </c>
      <c r="F88" s="166">
        <v>3</v>
      </c>
      <c r="G88" s="166">
        <v>4</v>
      </c>
      <c r="H88" s="166">
        <v>5</v>
      </c>
      <c r="I88" s="166">
        <v>6</v>
      </c>
      <c r="J88" s="166">
        <v>7</v>
      </c>
      <c r="K88" s="166">
        <v>8</v>
      </c>
      <c r="L88" s="166">
        <v>9</v>
      </c>
      <c r="M88" s="43" t="s">
        <v>17</v>
      </c>
      <c r="N88" s="43" t="s">
        <v>18</v>
      </c>
      <c r="O88" s="43" t="s">
        <v>19</v>
      </c>
      <c r="P88" s="43" t="s">
        <v>20</v>
      </c>
    </row>
    <row r="89" spans="1:17" ht="15">
      <c r="A89" s="44" t="s">
        <v>118</v>
      </c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2" t="e">
        <f t="shared" ref="N89:N95" si="13">((M89/C89)*100)</f>
        <v>#DIV/0!</v>
      </c>
      <c r="O89" s="35">
        <v>15</v>
      </c>
      <c r="P89" s="32" t="e">
        <f t="shared" ref="P89:P95" si="14">((O89/C89)*100)</f>
        <v>#DIV/0!</v>
      </c>
      <c r="Q89" s="5"/>
    </row>
    <row r="90" spans="1:17" s="5" customFormat="1" ht="15">
      <c r="A90" s="44" t="s">
        <v>153</v>
      </c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2" t="e">
        <f t="shared" si="13"/>
        <v>#DIV/0!</v>
      </c>
      <c r="O90" s="35">
        <v>1</v>
      </c>
      <c r="P90" s="32" t="e">
        <f t="shared" si="14"/>
        <v>#DIV/0!</v>
      </c>
      <c r="Q90"/>
    </row>
    <row r="91" spans="1:17" s="5" customFormat="1" ht="15">
      <c r="A91" s="44" t="s">
        <v>154</v>
      </c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2" t="e">
        <f t="shared" si="13"/>
        <v>#DIV/0!</v>
      </c>
      <c r="O91" s="35">
        <v>1</v>
      </c>
      <c r="P91" s="32" t="e">
        <f t="shared" si="14"/>
        <v>#DIV/0!</v>
      </c>
      <c r="Q91"/>
    </row>
    <row r="92" spans="1:17" s="5" customFormat="1" ht="15">
      <c r="A92" s="44" t="s">
        <v>160</v>
      </c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2" t="e">
        <f t="shared" si="13"/>
        <v>#DIV/0!</v>
      </c>
      <c r="O92" s="35">
        <v>0</v>
      </c>
      <c r="P92" s="32" t="e">
        <f t="shared" si="14"/>
        <v>#DIV/0!</v>
      </c>
      <c r="Q92"/>
    </row>
    <row r="93" spans="1:17" s="5" customFormat="1" ht="15">
      <c r="A93" s="44" t="s">
        <v>163</v>
      </c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2" t="e">
        <f t="shared" si="13"/>
        <v>#DIV/0!</v>
      </c>
      <c r="O93" s="35">
        <v>15</v>
      </c>
      <c r="P93" s="32" t="e">
        <f t="shared" si="14"/>
        <v>#DIV/0!</v>
      </c>
    </row>
    <row r="94" spans="1:17" s="5" customFormat="1" ht="15">
      <c r="A94" s="44" t="s">
        <v>128</v>
      </c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2" t="e">
        <f t="shared" si="13"/>
        <v>#DIV/0!</v>
      </c>
      <c r="O94" s="35">
        <v>12</v>
      </c>
      <c r="P94" s="32" t="e">
        <f t="shared" si="14"/>
        <v>#DIV/0!</v>
      </c>
    </row>
    <row r="95" spans="1:17" ht="13.5" customHeight="1">
      <c r="A95" s="44" t="s">
        <v>136</v>
      </c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2" t="e">
        <f t="shared" si="13"/>
        <v>#DIV/0!</v>
      </c>
      <c r="O95" s="35">
        <v>13</v>
      </c>
      <c r="P95" s="32" t="e">
        <f t="shared" si="14"/>
        <v>#DIV/0!</v>
      </c>
    </row>
    <row r="96" spans="1:17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37" t="e">
        <f>AVERAGE(N89:N95)</f>
        <v>#DIV/0!</v>
      </c>
      <c r="O96" s="38"/>
      <c r="P96" s="37" t="e">
        <f>AVERAGE(P89:P95)</f>
        <v>#DIV/0!</v>
      </c>
    </row>
    <row r="97" spans="1:16" ht="15" customHeight="1">
      <c r="A97" s="40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37"/>
      <c r="O97" s="38"/>
      <c r="P97" s="37"/>
    </row>
    <row r="98" spans="1:16" ht="15" customHeight="1">
      <c r="A98" s="40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37"/>
      <c r="O98" s="38"/>
      <c r="P98" s="37"/>
    </row>
    <row r="99" spans="1:16" ht="19.5" customHeight="1">
      <c r="A99" s="40" t="s">
        <v>167</v>
      </c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</row>
    <row r="100" spans="1:16" ht="18" customHeight="1">
      <c r="A100" s="40"/>
      <c r="B100" s="40"/>
      <c r="C100" s="41"/>
      <c r="D100" s="250" t="s">
        <v>113</v>
      </c>
      <c r="E100" s="251"/>
      <c r="F100" s="250" t="s">
        <v>114</v>
      </c>
      <c r="G100" s="252"/>
      <c r="H100" s="252"/>
      <c r="I100" s="251"/>
      <c r="J100" s="250" t="s">
        <v>115</v>
      </c>
      <c r="K100" s="251"/>
      <c r="L100" s="42" t="s">
        <v>4</v>
      </c>
      <c r="M100" s="40"/>
      <c r="N100" s="40"/>
      <c r="O100" s="40"/>
      <c r="P100" s="40"/>
    </row>
    <row r="101" spans="1:16" ht="35.25" customHeight="1">
      <c r="A101" s="166" t="s">
        <v>141</v>
      </c>
      <c r="B101" s="166" t="s">
        <v>6</v>
      </c>
      <c r="C101" s="166" t="s">
        <v>7</v>
      </c>
      <c r="D101" s="166">
        <v>1</v>
      </c>
      <c r="E101" s="166">
        <v>2</v>
      </c>
      <c r="F101" s="166">
        <v>3</v>
      </c>
      <c r="G101" s="166">
        <v>4</v>
      </c>
      <c r="H101" s="166">
        <v>5</v>
      </c>
      <c r="I101" s="166">
        <v>6</v>
      </c>
      <c r="J101" s="166">
        <v>7</v>
      </c>
      <c r="K101" s="166">
        <v>8</v>
      </c>
      <c r="L101" s="166">
        <v>9</v>
      </c>
      <c r="M101" s="43" t="s">
        <v>17</v>
      </c>
      <c r="N101" s="43" t="s">
        <v>18</v>
      </c>
      <c r="O101" s="43" t="s">
        <v>19</v>
      </c>
      <c r="P101" s="43" t="s">
        <v>20</v>
      </c>
    </row>
    <row r="102" spans="1:16" ht="15" customHeight="1">
      <c r="A102" s="44" t="s">
        <v>118</v>
      </c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2" t="e">
        <f t="shared" ref="N102:N108" si="15">((M102/C102)*100)</f>
        <v>#DIV/0!</v>
      </c>
      <c r="O102" s="35">
        <v>16</v>
      </c>
      <c r="P102" s="32" t="e">
        <f t="shared" ref="P102:P108" si="16">((O102/C102)*100)</f>
        <v>#DIV/0!</v>
      </c>
    </row>
    <row r="103" spans="1:16" ht="15" customHeight="1">
      <c r="A103" s="44" t="s">
        <v>153</v>
      </c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2" t="e">
        <f t="shared" si="15"/>
        <v>#DIV/0!</v>
      </c>
      <c r="O103" s="35">
        <v>6</v>
      </c>
      <c r="P103" s="32" t="e">
        <f t="shared" si="16"/>
        <v>#DIV/0!</v>
      </c>
    </row>
    <row r="104" spans="1:16" ht="15" customHeight="1">
      <c r="A104" s="44" t="s">
        <v>154</v>
      </c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2" t="e">
        <f t="shared" si="15"/>
        <v>#DIV/0!</v>
      </c>
      <c r="O104" s="35">
        <v>0</v>
      </c>
      <c r="P104" s="32" t="e">
        <f t="shared" si="16"/>
        <v>#DIV/0!</v>
      </c>
    </row>
    <row r="105" spans="1:16" ht="15" customHeight="1">
      <c r="A105" s="44" t="s">
        <v>160</v>
      </c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2" t="e">
        <f t="shared" si="15"/>
        <v>#DIV/0!</v>
      </c>
      <c r="O105" s="35">
        <v>0</v>
      </c>
      <c r="P105" s="32" t="e">
        <f t="shared" si="16"/>
        <v>#DIV/0!</v>
      </c>
    </row>
    <row r="106" spans="1:16" ht="15.75" customHeight="1">
      <c r="A106" s="44" t="s">
        <v>163</v>
      </c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2" t="e">
        <f t="shared" si="15"/>
        <v>#DIV/0!</v>
      </c>
      <c r="O106" s="35">
        <v>16</v>
      </c>
      <c r="P106" s="32" t="e">
        <f t="shared" si="16"/>
        <v>#DIV/0!</v>
      </c>
    </row>
    <row r="107" spans="1:16" ht="15" customHeight="1">
      <c r="A107" s="44" t="s">
        <v>128</v>
      </c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2" t="e">
        <f t="shared" si="15"/>
        <v>#DIV/0!</v>
      </c>
      <c r="O107" s="35">
        <v>11</v>
      </c>
      <c r="P107" s="32" t="e">
        <f t="shared" si="16"/>
        <v>#DIV/0!</v>
      </c>
    </row>
    <row r="108" spans="1:16" ht="15" customHeight="1">
      <c r="A108" s="44" t="s">
        <v>136</v>
      </c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2" t="e">
        <f t="shared" si="15"/>
        <v>#DIV/0!</v>
      </c>
      <c r="O108" s="35">
        <v>12</v>
      </c>
      <c r="P108" s="32" t="e">
        <f t="shared" si="16"/>
        <v>#DIV/0!</v>
      </c>
    </row>
    <row r="109" spans="1:16" ht="18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37" t="e">
        <f>AVERAGE(N102:N108)</f>
        <v>#DIV/0!</v>
      </c>
      <c r="O109" s="38"/>
      <c r="P109" s="37" t="e">
        <f>AVERAGE(P102:P108)</f>
        <v>#DIV/0!</v>
      </c>
    </row>
    <row r="110" spans="1:16" ht="21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</row>
    <row r="111" spans="1:16" ht="21" customHeight="1"/>
    <row r="112" spans="1:16" ht="21" customHeight="1"/>
    <row r="113" spans="2:18" ht="21" customHeight="1"/>
    <row r="114" spans="2:18" ht="12.75" customHeight="1">
      <c r="Q114" s="10"/>
      <c r="R114" s="11"/>
    </row>
    <row r="115" spans="2:18" ht="18.75" customHeight="1">
      <c r="B115" s="29"/>
      <c r="C115" s="29"/>
      <c r="D115" s="253" t="s">
        <v>113</v>
      </c>
      <c r="E115" s="254"/>
      <c r="F115" s="253" t="s">
        <v>114</v>
      </c>
      <c r="G115" s="255"/>
      <c r="H115" s="255"/>
      <c r="I115" s="254"/>
      <c r="J115" s="253" t="s">
        <v>115</v>
      </c>
      <c r="K115" s="254"/>
      <c r="L115" s="166" t="s">
        <v>4</v>
      </c>
      <c r="M115" s="29"/>
      <c r="N115" s="29"/>
      <c r="O115" s="29"/>
      <c r="P115" s="29"/>
    </row>
    <row r="116" spans="2:18" ht="30" customHeight="1">
      <c r="B116" s="148"/>
      <c r="C116" s="148"/>
      <c r="D116" s="247" t="s">
        <v>113</v>
      </c>
      <c r="E116" s="248"/>
      <c r="F116" s="247" t="s">
        <v>114</v>
      </c>
      <c r="G116" s="249"/>
      <c r="H116" s="249"/>
      <c r="I116" s="248"/>
      <c r="J116" s="247" t="s">
        <v>115</v>
      </c>
      <c r="K116" s="248"/>
      <c r="L116" s="13" t="s">
        <v>4</v>
      </c>
      <c r="M116" s="148"/>
      <c r="N116" s="148"/>
      <c r="O116" s="148"/>
      <c r="P116" s="148"/>
    </row>
    <row r="117" spans="2:18" ht="32.25" customHeight="1">
      <c r="B117" s="13" t="s">
        <v>116</v>
      </c>
      <c r="C117" s="13" t="s">
        <v>7</v>
      </c>
      <c r="D117" s="13">
        <v>1</v>
      </c>
      <c r="E117" s="13">
        <v>2</v>
      </c>
      <c r="F117" s="13">
        <v>3</v>
      </c>
      <c r="G117" s="13">
        <v>4</v>
      </c>
      <c r="H117" s="13">
        <v>5</v>
      </c>
      <c r="I117" s="13">
        <v>6</v>
      </c>
      <c r="J117" s="13">
        <v>7</v>
      </c>
      <c r="K117" s="13">
        <v>8</v>
      </c>
      <c r="L117" s="13">
        <v>9</v>
      </c>
      <c r="M117" s="14" t="s">
        <v>17</v>
      </c>
      <c r="N117" s="14" t="s">
        <v>18</v>
      </c>
      <c r="O117" s="14" t="s">
        <v>19</v>
      </c>
      <c r="P117" s="14" t="s">
        <v>20</v>
      </c>
    </row>
    <row r="118" spans="2:18" ht="21.75" customHeight="1">
      <c r="B118" s="23" t="s">
        <v>168</v>
      </c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30"/>
      <c r="O118" s="23"/>
      <c r="P118" s="30"/>
    </row>
    <row r="119" spans="2:18" ht="21" customHeight="1">
      <c r="B119" s="23" t="s">
        <v>169</v>
      </c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1"/>
      <c r="O119" s="33"/>
      <c r="P119" s="31"/>
    </row>
    <row r="120" spans="2:18" ht="21" customHeight="1">
      <c r="B120" s="23" t="s">
        <v>154</v>
      </c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30"/>
      <c r="O120" s="23"/>
      <c r="P120" s="30"/>
    </row>
    <row r="121" spans="2:18" ht="21" customHeight="1">
      <c r="B121" s="23" t="s">
        <v>170</v>
      </c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30"/>
      <c r="O121" s="23"/>
      <c r="P121" s="30"/>
    </row>
    <row r="122" spans="2:18" ht="21" customHeight="1">
      <c r="B122" s="23" t="s">
        <v>171</v>
      </c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30"/>
      <c r="O122" s="23"/>
      <c r="P122" s="30"/>
    </row>
    <row r="123" spans="2:18" ht="15">
      <c r="B123" s="23" t="s">
        <v>172</v>
      </c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30"/>
      <c r="O123" s="23"/>
      <c r="P123" s="30"/>
    </row>
    <row r="124" spans="2:18" ht="21" customHeight="1">
      <c r="B124" s="23" t="s">
        <v>173</v>
      </c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30"/>
      <c r="O124" s="23"/>
      <c r="P124" s="30"/>
    </row>
    <row r="125" spans="2:18" ht="15">
      <c r="B125" s="23" t="s">
        <v>174</v>
      </c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30"/>
      <c r="O125" s="23"/>
      <c r="P125" s="30"/>
    </row>
    <row r="126" spans="2:18" ht="15">
      <c r="B126" s="23" t="s">
        <v>175</v>
      </c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30"/>
      <c r="O126" s="23"/>
      <c r="P126" s="30"/>
    </row>
    <row r="127" spans="2:18" ht="15">
      <c r="B127" s="23" t="s">
        <v>176</v>
      </c>
      <c r="C127" s="34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2"/>
    </row>
    <row r="128" spans="2:18" ht="15">
      <c r="B128" s="23" t="s">
        <v>128</v>
      </c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30"/>
      <c r="O128" s="23"/>
      <c r="P128" s="30"/>
    </row>
    <row r="129" spans="2:16" ht="15">
      <c r="B129" s="23" t="s">
        <v>177</v>
      </c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30"/>
      <c r="O129" s="23"/>
      <c r="P129" s="30"/>
    </row>
    <row r="130" spans="2:16" ht="15">
      <c r="B130" s="23" t="s">
        <v>178</v>
      </c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30"/>
      <c r="O130" s="33"/>
      <c r="P130" s="30"/>
    </row>
    <row r="131" spans="2:16" ht="15">
      <c r="B131" s="23" t="s">
        <v>179</v>
      </c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30"/>
      <c r="O131" s="33"/>
      <c r="P131" s="30"/>
    </row>
    <row r="132" spans="2:16" ht="15">
      <c r="B132" s="23" t="s">
        <v>158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1"/>
      <c r="O132" s="33"/>
      <c r="P132" s="31"/>
    </row>
    <row r="133" spans="2:16" ht="15">
      <c r="B133" s="23" t="s">
        <v>180</v>
      </c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30"/>
      <c r="O133" s="33"/>
      <c r="P133" s="30"/>
    </row>
    <row r="134" spans="2:16" ht="15">
      <c r="B134" s="23" t="s">
        <v>163</v>
      </c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30"/>
      <c r="O134" s="33"/>
      <c r="P134" s="30"/>
    </row>
    <row r="135" spans="2:16" ht="15">
      <c r="B135" s="23" t="s">
        <v>181</v>
      </c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30"/>
      <c r="O135" s="23"/>
      <c r="P135" s="30"/>
    </row>
    <row r="136" spans="2:16" ht="20.25"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8" t="s">
        <v>140</v>
      </c>
      <c r="M136" s="147"/>
      <c r="N136" s="19" t="e">
        <f>AVERAGE(N118:N135)</f>
        <v>#DIV/0!</v>
      </c>
      <c r="O136" s="19"/>
      <c r="P136" s="19" t="e">
        <f>AVERAGE(P118:P135)</f>
        <v>#DIV/0!</v>
      </c>
    </row>
    <row r="137" spans="2:16" ht="20.25">
      <c r="L137" s="20"/>
      <c r="N137" s="21"/>
      <c r="O137" s="21"/>
      <c r="P137" s="21"/>
    </row>
    <row r="142" spans="2:16" ht="31.5">
      <c r="B142" s="13"/>
      <c r="C142" s="14" t="s">
        <v>18</v>
      </c>
      <c r="D142" s="14" t="s">
        <v>20</v>
      </c>
    </row>
    <row r="143" spans="2:16" ht="18">
      <c r="B143" s="15" t="s">
        <v>168</v>
      </c>
      <c r="C143" s="16"/>
      <c r="D143" s="22"/>
    </row>
    <row r="144" spans="2:16" ht="18">
      <c r="B144" s="15" t="s">
        <v>169</v>
      </c>
      <c r="C144" s="17"/>
      <c r="D144" s="17"/>
    </row>
    <row r="145" spans="2:4" ht="18">
      <c r="B145" s="15" t="s">
        <v>154</v>
      </c>
      <c r="C145" s="16"/>
      <c r="D145" s="16"/>
    </row>
    <row r="146" spans="2:4" ht="18">
      <c r="B146" s="15" t="s">
        <v>170</v>
      </c>
      <c r="C146" s="16"/>
      <c r="D146" s="16"/>
    </row>
    <row r="147" spans="2:4" ht="18">
      <c r="B147" s="15" t="s">
        <v>171</v>
      </c>
      <c r="C147" s="16"/>
      <c r="D147" s="16"/>
    </row>
    <row r="148" spans="2:4" ht="18">
      <c r="B148" s="15" t="s">
        <v>172</v>
      </c>
      <c r="C148" s="16"/>
      <c r="D148" s="16"/>
    </row>
    <row r="149" spans="2:4" ht="18">
      <c r="B149" s="15" t="s">
        <v>173</v>
      </c>
      <c r="C149" s="16"/>
      <c r="D149" s="22"/>
    </row>
    <row r="150" spans="2:4" ht="18">
      <c r="B150" s="15" t="s">
        <v>174</v>
      </c>
      <c r="C150" s="16"/>
      <c r="D150" s="16"/>
    </row>
    <row r="151" spans="2:4" ht="18">
      <c r="B151" s="15" t="s">
        <v>175</v>
      </c>
      <c r="C151" s="16"/>
      <c r="D151" s="16"/>
    </row>
    <row r="152" spans="2:4" ht="18">
      <c r="B152" s="15" t="s">
        <v>176</v>
      </c>
      <c r="C152" s="16"/>
      <c r="D152" s="16"/>
    </row>
    <row r="153" spans="2:4" ht="18">
      <c r="B153" s="15" t="s">
        <v>128</v>
      </c>
      <c r="C153" s="16"/>
      <c r="D153" s="22"/>
    </row>
    <row r="154" spans="2:4" ht="18">
      <c r="B154" s="15" t="s">
        <v>177</v>
      </c>
      <c r="C154" s="22"/>
      <c r="D154" s="22"/>
    </row>
    <row r="155" spans="2:4" ht="18">
      <c r="B155" s="15" t="s">
        <v>178</v>
      </c>
      <c r="C155" s="16"/>
      <c r="D155" s="16"/>
    </row>
    <row r="156" spans="2:4" ht="18">
      <c r="B156" s="15" t="s">
        <v>179</v>
      </c>
      <c r="C156" s="22"/>
      <c r="D156" s="22"/>
    </row>
    <row r="157" spans="2:4" ht="18">
      <c r="B157" s="15" t="s">
        <v>158</v>
      </c>
      <c r="C157" s="17"/>
      <c r="D157" s="17"/>
    </row>
    <row r="158" spans="2:4" ht="18">
      <c r="B158" s="15" t="s">
        <v>180</v>
      </c>
      <c r="C158" s="16"/>
      <c r="D158" s="16"/>
    </row>
    <row r="159" spans="2:4" ht="18">
      <c r="B159" s="15" t="s">
        <v>163</v>
      </c>
      <c r="C159" s="22"/>
      <c r="D159" s="22"/>
    </row>
    <row r="160" spans="2:4" ht="18">
      <c r="B160" s="15" t="s">
        <v>181</v>
      </c>
      <c r="C160" s="16"/>
      <c r="D160" s="16"/>
    </row>
    <row r="163" spans="17:19" ht="30">
      <c r="Q163" s="23" t="s">
        <v>182</v>
      </c>
      <c r="R163" s="24" t="s">
        <v>18</v>
      </c>
      <c r="S163" s="24" t="s">
        <v>20</v>
      </c>
    </row>
    <row r="164" spans="17:19" ht="24" customHeight="1">
      <c r="Q164" s="25" t="s">
        <v>168</v>
      </c>
      <c r="R164" s="26">
        <v>97.979797979797979</v>
      </c>
      <c r="S164" s="27">
        <v>100</v>
      </c>
    </row>
    <row r="165" spans="17:19" ht="24" customHeight="1">
      <c r="Q165" s="25" t="s">
        <v>169</v>
      </c>
      <c r="R165" s="28">
        <v>22</v>
      </c>
      <c r="S165" s="28">
        <v>50</v>
      </c>
    </row>
    <row r="166" spans="17:19" ht="24" customHeight="1">
      <c r="Q166" s="25" t="s">
        <v>154</v>
      </c>
      <c r="R166" s="26">
        <v>40</v>
      </c>
      <c r="S166" s="26">
        <v>63</v>
      </c>
    </row>
    <row r="167" spans="17:19" ht="24" customHeight="1">
      <c r="Q167" s="25" t="s">
        <v>170</v>
      </c>
      <c r="R167" s="26">
        <v>81.818181818181827</v>
      </c>
      <c r="S167" s="26">
        <v>90.909090909090907</v>
      </c>
    </row>
    <row r="168" spans="17:19" ht="24" customHeight="1">
      <c r="Q168" s="25" t="s">
        <v>171</v>
      </c>
      <c r="R168" s="26">
        <v>76.666666666666671</v>
      </c>
      <c r="S168" s="26">
        <v>93.333333333333329</v>
      </c>
    </row>
    <row r="169" spans="17:19" ht="24" customHeight="1">
      <c r="Q169" s="25" t="s">
        <v>172</v>
      </c>
      <c r="R169" s="26">
        <v>64</v>
      </c>
      <c r="S169" s="26">
        <v>84</v>
      </c>
    </row>
    <row r="170" spans="17:19" ht="24" customHeight="1">
      <c r="Q170" s="25" t="s">
        <v>173</v>
      </c>
      <c r="R170" s="26">
        <v>93.333333333333329</v>
      </c>
      <c r="S170" s="27">
        <v>100</v>
      </c>
    </row>
    <row r="171" spans="17:19" ht="24" customHeight="1">
      <c r="Q171" s="25" t="s">
        <v>174</v>
      </c>
      <c r="R171" s="26">
        <v>84</v>
      </c>
      <c r="S171" s="26">
        <v>98</v>
      </c>
    </row>
    <row r="172" spans="17:19" ht="24" customHeight="1">
      <c r="Q172" s="25" t="s">
        <v>175</v>
      </c>
      <c r="R172" s="26">
        <v>52</v>
      </c>
      <c r="S172" s="26">
        <v>68</v>
      </c>
    </row>
    <row r="173" spans="17:19" ht="24" customHeight="1">
      <c r="Q173" s="25" t="s">
        <v>176</v>
      </c>
      <c r="R173" s="26">
        <v>20</v>
      </c>
      <c r="S173" s="26">
        <v>65</v>
      </c>
    </row>
    <row r="174" spans="17:19" ht="24" customHeight="1">
      <c r="Q174" s="25" t="s">
        <v>128</v>
      </c>
      <c r="R174" s="26">
        <v>97.368421052631575</v>
      </c>
      <c r="S174" s="27">
        <v>100</v>
      </c>
    </row>
    <row r="175" spans="17:19" ht="24" customHeight="1">
      <c r="Q175" s="25" t="s">
        <v>177</v>
      </c>
      <c r="R175" s="27">
        <v>100</v>
      </c>
      <c r="S175" s="27">
        <v>100</v>
      </c>
    </row>
    <row r="176" spans="17:19" ht="24" customHeight="1">
      <c r="Q176" s="25" t="s">
        <v>178</v>
      </c>
      <c r="R176" s="26">
        <v>15.384615384615385</v>
      </c>
      <c r="S176" s="26">
        <v>76.923076923076934</v>
      </c>
    </row>
    <row r="177" spans="17:19" ht="24" customHeight="1">
      <c r="Q177" s="25" t="s">
        <v>179</v>
      </c>
      <c r="R177" s="27">
        <v>100</v>
      </c>
      <c r="S177" s="27">
        <v>100</v>
      </c>
    </row>
    <row r="178" spans="17:19" ht="24" customHeight="1">
      <c r="Q178" s="25" t="s">
        <v>158</v>
      </c>
      <c r="R178" s="28">
        <v>43.478260869565219</v>
      </c>
      <c r="S178" s="28">
        <v>73.91304347826086</v>
      </c>
    </row>
    <row r="179" spans="17:19" ht="24" customHeight="1">
      <c r="Q179" s="25" t="s">
        <v>180</v>
      </c>
      <c r="R179" s="26">
        <v>80</v>
      </c>
      <c r="S179" s="26">
        <v>80</v>
      </c>
    </row>
    <row r="180" spans="17:19" ht="24" customHeight="1">
      <c r="Q180" s="25" t="s">
        <v>163</v>
      </c>
      <c r="R180" s="27">
        <v>100</v>
      </c>
      <c r="S180" s="27">
        <v>100</v>
      </c>
    </row>
    <row r="181" spans="17:19" ht="24" customHeight="1">
      <c r="Q181" s="25" t="s">
        <v>181</v>
      </c>
      <c r="R181" s="26">
        <v>86.956521739130437</v>
      </c>
      <c r="S181" s="26">
        <v>95.652173913043484</v>
      </c>
    </row>
    <row r="182" spans="17:19">
      <c r="Q182" s="149"/>
      <c r="R182" s="149"/>
      <c r="S182" s="149"/>
    </row>
  </sheetData>
  <mergeCells count="30">
    <mergeCell ref="D100:E100"/>
    <mergeCell ref="F100:I100"/>
    <mergeCell ref="J100:K100"/>
    <mergeCell ref="F73:I73"/>
    <mergeCell ref="J73:K73"/>
    <mergeCell ref="D87:E87"/>
    <mergeCell ref="F87:I87"/>
    <mergeCell ref="J87:K87"/>
    <mergeCell ref="D73:E73"/>
    <mergeCell ref="F17:I17"/>
    <mergeCell ref="J17:K17"/>
    <mergeCell ref="D32:E32"/>
    <mergeCell ref="F32:I32"/>
    <mergeCell ref="J32:K32"/>
    <mergeCell ref="D3:E3"/>
    <mergeCell ref="F3:I3"/>
    <mergeCell ref="J3:K3"/>
    <mergeCell ref="D116:E116"/>
    <mergeCell ref="F116:I116"/>
    <mergeCell ref="J116:K116"/>
    <mergeCell ref="D115:E115"/>
    <mergeCell ref="F115:I115"/>
    <mergeCell ref="J115:K115"/>
    <mergeCell ref="D46:E46"/>
    <mergeCell ref="D60:E60"/>
    <mergeCell ref="F60:I60"/>
    <mergeCell ref="J60:K60"/>
    <mergeCell ref="F46:I46"/>
    <mergeCell ref="J46:K46"/>
    <mergeCell ref="D17:E17"/>
  </mergeCells>
  <phoneticPr fontId="0" type="noConversion"/>
  <pageMargins left="0.75" right="0.67" top="1.07" bottom="0.44" header="0.45" footer="0.25"/>
  <pageSetup paperSize="9" firstPageNumber="17" orientation="landscape" useFirstPageNumber="1" horizontalDpi="360" verticalDpi="360" r:id="rId1"/>
  <headerFooter alignWithMargins="0">
    <oddHeader>&amp;C&amp;"Arial Narrow,Bold"&amp;12SEKOLAH MENENGAH PENGIRAN ANAK PUTERI HAJAH MASNA
END OF YEAR EXAMINATION ANALYSIS 2007, MEN 4 O LEVEL</oddHeader>
    <oddFooter>&amp;L&amp;8Exam Dept SMPAPHM&amp;CM4'O'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2"/>
  <sheetViews>
    <sheetView view="pageLayout" zoomScaleNormal="100" workbookViewId="0">
      <selection activeCell="M11" sqref="M11"/>
    </sheetView>
  </sheetViews>
  <sheetFormatPr defaultRowHeight="12.75"/>
  <sheetData>
    <row r="1" spans="1:20" ht="36">
      <c r="A1" s="256" t="s">
        <v>183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</row>
    <row r="2" spans="1:20" ht="28.5">
      <c r="A2" s="257" t="s">
        <v>184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</row>
    <row r="4" spans="1:20" s="77" customFormat="1" ht="18" customHeight="1">
      <c r="A4" s="76" t="s">
        <v>185</v>
      </c>
    </row>
    <row r="5" spans="1:20" s="77" customFormat="1" ht="18" customHeight="1">
      <c r="A5" s="76"/>
    </row>
    <row r="6" spans="1:20" s="77" customFormat="1" ht="18" customHeight="1">
      <c r="A6" s="149"/>
      <c r="B6" s="149"/>
      <c r="C6" s="258" t="s">
        <v>186</v>
      </c>
      <c r="D6" s="258"/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 t="s">
        <v>187</v>
      </c>
      <c r="P6" s="258"/>
      <c r="Q6" s="258"/>
      <c r="R6" s="258"/>
      <c r="S6" s="258"/>
      <c r="T6" s="258"/>
    </row>
    <row r="7" spans="1:20" s="77" customFormat="1" ht="18" customHeight="1">
      <c r="A7" s="148"/>
      <c r="B7" s="148"/>
      <c r="C7" s="259" t="s">
        <v>188</v>
      </c>
      <c r="D7" s="259"/>
      <c r="E7" s="260" t="s">
        <v>113</v>
      </c>
      <c r="F7" s="261"/>
      <c r="G7" s="259" t="s">
        <v>114</v>
      </c>
      <c r="H7" s="259"/>
      <c r="I7" s="260" t="s">
        <v>115</v>
      </c>
      <c r="J7" s="262"/>
      <c r="K7" s="262"/>
      <c r="L7" s="261"/>
      <c r="M7" s="167" t="s">
        <v>4</v>
      </c>
      <c r="N7" s="78" t="s">
        <v>189</v>
      </c>
      <c r="O7" s="79" t="s">
        <v>113</v>
      </c>
      <c r="P7" s="79" t="s">
        <v>114</v>
      </c>
      <c r="Q7" s="79" t="s">
        <v>115</v>
      </c>
      <c r="R7" s="79" t="s">
        <v>4</v>
      </c>
      <c r="S7" s="150" t="s">
        <v>114</v>
      </c>
      <c r="T7" s="150" t="s">
        <v>115</v>
      </c>
    </row>
    <row r="8" spans="1:20" s="77" customFormat="1" ht="23.25" customHeight="1">
      <c r="A8" s="260" t="s">
        <v>116</v>
      </c>
      <c r="B8" s="261"/>
      <c r="C8" s="78" t="s">
        <v>190</v>
      </c>
      <c r="D8" s="167" t="s">
        <v>191</v>
      </c>
      <c r="E8" s="167" t="s">
        <v>8</v>
      </c>
      <c r="F8" s="167" t="s">
        <v>42</v>
      </c>
      <c r="G8" s="167" t="s">
        <v>43</v>
      </c>
      <c r="H8" s="167" t="s">
        <v>44</v>
      </c>
      <c r="I8" s="167" t="s">
        <v>45</v>
      </c>
      <c r="J8" s="167" t="s">
        <v>46</v>
      </c>
      <c r="K8" s="167" t="s">
        <v>47</v>
      </c>
      <c r="L8" s="167" t="s">
        <v>48</v>
      </c>
      <c r="M8" s="167" t="s">
        <v>16</v>
      </c>
      <c r="N8" s="167" t="s">
        <v>192</v>
      </c>
      <c r="O8" s="80" t="s">
        <v>193</v>
      </c>
      <c r="P8" s="80" t="s">
        <v>194</v>
      </c>
      <c r="Q8" s="80" t="s">
        <v>195</v>
      </c>
      <c r="R8" s="80" t="s">
        <v>16</v>
      </c>
      <c r="S8" s="81" t="s">
        <v>196</v>
      </c>
      <c r="T8" s="81" t="s">
        <v>197</v>
      </c>
    </row>
    <row r="9" spans="1:20" s="77" customFormat="1" ht="28.7" customHeight="1">
      <c r="A9" s="265" t="s">
        <v>198</v>
      </c>
      <c r="B9" s="266"/>
      <c r="C9" s="33">
        <f>'ANALYSIS BY SUBJECTS'!$C$45</f>
        <v>0</v>
      </c>
      <c r="D9" s="33">
        <f>'ANALYSIS BY SUBJECTS'!$C$45</f>
        <v>0</v>
      </c>
      <c r="E9" s="82"/>
      <c r="F9" s="82"/>
      <c r="G9" s="82"/>
      <c r="H9" s="33">
        <f>'ANALYSIS BY SUBJECTS'!D45</f>
        <v>0</v>
      </c>
      <c r="I9" s="33">
        <f>'ANALYSIS BY SUBJECTS'!E45</f>
        <v>0</v>
      </c>
      <c r="J9" s="33">
        <f>'ANALYSIS BY SUBJECTS'!F45</f>
        <v>0</v>
      </c>
      <c r="K9" s="33">
        <f>'ANALYSIS BY SUBJECTS'!G45</f>
        <v>0</v>
      </c>
      <c r="L9" s="33">
        <f>'ANALYSIS BY SUBJECTS'!H45</f>
        <v>0</v>
      </c>
      <c r="M9" s="33">
        <f>'ANALYSIS BY SUBJECTS'!I45</f>
        <v>0</v>
      </c>
      <c r="N9" s="33"/>
      <c r="O9" s="83" t="e">
        <f>((E9+F9)/C9)</f>
        <v>#DIV/0!</v>
      </c>
      <c r="P9" s="83" t="e">
        <f>(SUM(G9:H9)/C9)</f>
        <v>#DIV/0!</v>
      </c>
      <c r="Q9" s="83" t="e">
        <f>(SUM(I9:L9)/C9)</f>
        <v>#DIV/0!</v>
      </c>
      <c r="R9" s="83" t="e">
        <f>M9/C9</f>
        <v>#DIV/0!</v>
      </c>
      <c r="S9" s="84" t="e">
        <f>(SUM(E9:H9)/C9)</f>
        <v>#DIV/0!</v>
      </c>
      <c r="T9" s="84" t="e">
        <f>(SUM(E9:L9)/D9)</f>
        <v>#DIV/0!</v>
      </c>
    </row>
    <row r="10" spans="1:20" s="77" customFormat="1" ht="28.7" customHeight="1">
      <c r="A10" s="263" t="s">
        <v>199</v>
      </c>
      <c r="B10" s="264"/>
      <c r="C10" s="33">
        <f>'ANALYSIS BY SUBJECTS'!$C$63</f>
        <v>39</v>
      </c>
      <c r="D10" s="33">
        <f>'ANALYSIS BY SUBJECTS'!$C$63</f>
        <v>39</v>
      </c>
      <c r="E10" s="82"/>
      <c r="F10" s="82"/>
      <c r="G10" s="82"/>
      <c r="H10" s="33">
        <v>1</v>
      </c>
      <c r="I10" s="33" t="e">
        <f>'ANALYSIS BY SUBJECTS'!#REF!</f>
        <v>#REF!</v>
      </c>
      <c r="J10" s="33">
        <v>2</v>
      </c>
      <c r="K10" s="33">
        <v>15</v>
      </c>
      <c r="L10" s="33">
        <v>38</v>
      </c>
      <c r="M10" s="33">
        <v>27</v>
      </c>
      <c r="N10" s="33"/>
      <c r="O10" s="83">
        <f>((E10+F10)/C10)</f>
        <v>0</v>
      </c>
      <c r="P10" s="83">
        <f>(SUM(G10:H10)/C10)</f>
        <v>2.564102564102564E-2</v>
      </c>
      <c r="Q10" s="83" t="e">
        <f>(SUM(I10:L10)/C10)</f>
        <v>#REF!</v>
      </c>
      <c r="R10" s="83">
        <f>M10/C10</f>
        <v>0.69230769230769229</v>
      </c>
      <c r="S10" s="84">
        <f>(SUM(E10:H10)/C10)</f>
        <v>2.564102564102564E-2</v>
      </c>
      <c r="T10" s="84" t="e">
        <f>(SUM(E10:L10)/D10)</f>
        <v>#REF!</v>
      </c>
    </row>
    <row r="11" spans="1:20" s="77" customFormat="1" ht="28.7" customHeight="1">
      <c r="A11" s="265" t="s">
        <v>200</v>
      </c>
      <c r="B11" s="266"/>
      <c r="C11" s="33">
        <v>21</v>
      </c>
      <c r="D11" s="33">
        <v>21</v>
      </c>
      <c r="E11" s="101" t="e">
        <f>'ANALYSIS BY SUBJECTS'!#REF!</f>
        <v>#REF!</v>
      </c>
      <c r="F11" s="101" t="e">
        <f>'ANALYSIS BY SUBJECTS'!#REF!</f>
        <v>#REF!</v>
      </c>
      <c r="G11" s="101">
        <v>2</v>
      </c>
      <c r="H11" s="33">
        <v>7</v>
      </c>
      <c r="I11" s="33">
        <v>4</v>
      </c>
      <c r="J11" s="33">
        <v>1</v>
      </c>
      <c r="K11" s="33">
        <v>0</v>
      </c>
      <c r="L11" s="33">
        <v>0</v>
      </c>
      <c r="M11" s="33" t="e">
        <f>'ANALYSIS BY SUBJECTS'!#REF!</f>
        <v>#REF!</v>
      </c>
      <c r="N11" s="33"/>
      <c r="O11" s="83" t="e">
        <f>((E11+F11)/C11)</f>
        <v>#REF!</v>
      </c>
      <c r="P11" s="83">
        <f>(SUM(G11:H11)/C11)</f>
        <v>0.42857142857142855</v>
      </c>
      <c r="Q11" s="83">
        <f>(SUM(I11:L11)/C11)</f>
        <v>0.23809523809523808</v>
      </c>
      <c r="R11" s="83" t="e">
        <f>M11/C11</f>
        <v>#REF!</v>
      </c>
      <c r="S11" s="84" t="e">
        <f>(SUM(E11:H11)/C11)</f>
        <v>#REF!</v>
      </c>
      <c r="T11" s="84" t="e">
        <f>(SUM(E11:L11)/D11)</f>
        <v>#REF!</v>
      </c>
    </row>
    <row r="12" spans="1:20" s="77" customFormat="1" ht="28.7" hidden="1" customHeight="1">
      <c r="A12" s="265" t="s">
        <v>201</v>
      </c>
      <c r="B12" s="266"/>
      <c r="C12" s="33"/>
      <c r="D12" s="33"/>
      <c r="E12" s="33"/>
      <c r="F12" s="33"/>
      <c r="G12" s="33"/>
      <c r="H12" s="33"/>
      <c r="I12" s="33"/>
      <c r="J12" s="33"/>
      <c r="K12" s="82"/>
      <c r="L12" s="82"/>
      <c r="M12" s="33"/>
      <c r="N12" s="33"/>
      <c r="O12" s="83" t="e">
        <f>((E12+F12)/C12)</f>
        <v>#DIV/0!</v>
      </c>
      <c r="P12" s="83" t="e">
        <f>(SUM(G12:H12)/C12)</f>
        <v>#DIV/0!</v>
      </c>
      <c r="Q12" s="83" t="e">
        <f>(SUM(I12:L12)/C12)</f>
        <v>#DIV/0!</v>
      </c>
      <c r="R12" s="83" t="e">
        <f>M12/C12</f>
        <v>#DIV/0!</v>
      </c>
      <c r="S12" s="84" t="e">
        <f>(SUM(E12:H12)/C12)</f>
        <v>#DIV/0!</v>
      </c>
      <c r="T12" s="84" t="e">
        <f>(SUM(E12:L12)/D12)</f>
        <v>#DIV/0!</v>
      </c>
    </row>
  </sheetData>
  <mergeCells count="13">
    <mergeCell ref="A10:B10"/>
    <mergeCell ref="A12:B12"/>
    <mergeCell ref="A8:B8"/>
    <mergeCell ref="A9:B9"/>
    <mergeCell ref="A11:B11"/>
    <mergeCell ref="A1:T1"/>
    <mergeCell ref="A2:T2"/>
    <mergeCell ref="C6:N6"/>
    <mergeCell ref="O6:T6"/>
    <mergeCell ref="C7:D7"/>
    <mergeCell ref="E7:F7"/>
    <mergeCell ref="G7:H7"/>
    <mergeCell ref="I7:L7"/>
  </mergeCells>
  <pageMargins left="0.7" right="0.7" top="0.75" bottom="0.75" header="0.3" footer="0.3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6"/>
  <sheetViews>
    <sheetView view="pageLayout" zoomScaleNormal="100" workbookViewId="0">
      <selection activeCell="N6" sqref="N6"/>
    </sheetView>
  </sheetViews>
  <sheetFormatPr defaultColWidth="9.140625" defaultRowHeight="11.25"/>
  <cols>
    <col min="1" max="1" width="14.7109375" style="87" customWidth="1"/>
    <col min="2" max="2" width="8.28515625" style="87" customWidth="1"/>
    <col min="3" max="3" width="12.7109375" style="87" bestFit="1" customWidth="1"/>
    <col min="4" max="13" width="5.7109375" style="87" customWidth="1"/>
    <col min="14" max="14" width="8.42578125" style="87" bestFit="1" customWidth="1"/>
    <col min="15" max="18" width="8.42578125" style="87" customWidth="1"/>
    <col min="19" max="23" width="8.7109375" style="87" customWidth="1"/>
    <col min="24" max="16384" width="9.140625" style="87"/>
  </cols>
  <sheetData>
    <row r="1" spans="1:21" ht="26.25">
      <c r="A1" s="267" t="s">
        <v>202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</row>
    <row r="2" spans="1:21" ht="23.25">
      <c r="A2" s="268" t="s">
        <v>203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</row>
    <row r="4" spans="1:21" ht="18" customHeight="1">
      <c r="A4" s="70"/>
      <c r="B4" s="70"/>
      <c r="C4" s="269" t="s">
        <v>186</v>
      </c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 t="s">
        <v>187</v>
      </c>
      <c r="P4" s="269"/>
      <c r="Q4" s="269"/>
      <c r="R4" s="269"/>
      <c r="S4" s="269"/>
      <c r="T4" s="269"/>
      <c r="U4" s="88" t="s">
        <v>204</v>
      </c>
    </row>
    <row r="5" spans="1:21" ht="18" customHeight="1">
      <c r="A5" s="89"/>
      <c r="B5" s="89"/>
      <c r="C5" s="270" t="s">
        <v>188</v>
      </c>
      <c r="D5" s="270"/>
      <c r="E5" s="271" t="s">
        <v>113</v>
      </c>
      <c r="F5" s="272"/>
      <c r="G5" s="271" t="s">
        <v>114</v>
      </c>
      <c r="H5" s="273"/>
      <c r="I5" s="273"/>
      <c r="J5" s="272"/>
      <c r="K5" s="271" t="s">
        <v>115</v>
      </c>
      <c r="L5" s="272"/>
      <c r="M5" s="168" t="s">
        <v>4</v>
      </c>
      <c r="N5" s="168" t="s">
        <v>189</v>
      </c>
      <c r="O5" s="90" t="s">
        <v>113</v>
      </c>
      <c r="P5" s="90" t="s">
        <v>114</v>
      </c>
      <c r="Q5" s="90" t="s">
        <v>115</v>
      </c>
      <c r="R5" s="90" t="s">
        <v>4</v>
      </c>
      <c r="S5" s="91" t="s">
        <v>114</v>
      </c>
      <c r="T5" s="91" t="s">
        <v>115</v>
      </c>
      <c r="U5" s="92"/>
    </row>
    <row r="6" spans="1:21" ht="26.25" customHeight="1">
      <c r="A6" s="271" t="s">
        <v>116</v>
      </c>
      <c r="B6" s="272"/>
      <c r="C6" s="168" t="s">
        <v>190</v>
      </c>
      <c r="D6" s="168" t="s">
        <v>191</v>
      </c>
      <c r="E6" s="13" t="s">
        <v>117</v>
      </c>
      <c r="F6" s="13" t="s">
        <v>9</v>
      </c>
      <c r="G6" s="13" t="s">
        <v>10</v>
      </c>
      <c r="H6" s="13" t="s">
        <v>11</v>
      </c>
      <c r="I6" s="13" t="s">
        <v>12</v>
      </c>
      <c r="J6" s="13" t="s">
        <v>13</v>
      </c>
      <c r="K6" s="13" t="s">
        <v>14</v>
      </c>
      <c r="L6" s="13" t="s">
        <v>15</v>
      </c>
      <c r="M6" s="13" t="s">
        <v>16</v>
      </c>
      <c r="N6" s="168" t="s">
        <v>192</v>
      </c>
      <c r="O6" s="93" t="s">
        <v>205</v>
      </c>
      <c r="P6" s="93" t="s">
        <v>206</v>
      </c>
      <c r="Q6" s="93" t="s">
        <v>207</v>
      </c>
      <c r="R6" s="93" t="s">
        <v>208</v>
      </c>
      <c r="S6" s="94" t="s">
        <v>18</v>
      </c>
      <c r="T6" s="94" t="s">
        <v>20</v>
      </c>
      <c r="U6" s="92"/>
    </row>
    <row r="7" spans="1:21" ht="18" customHeight="1">
      <c r="A7" s="276" t="s">
        <v>118</v>
      </c>
      <c r="B7" s="277"/>
      <c r="C7" s="95">
        <f>'ANALYSIS BY SUBJECTS'!C210</f>
        <v>162</v>
      </c>
      <c r="D7" s="95">
        <f>'ANALYSIS BY SUBJECTS'!C210</f>
        <v>162</v>
      </c>
      <c r="E7" s="95">
        <f>'ANALYSIS BY SUBJECTS'!D210</f>
        <v>0</v>
      </c>
      <c r="F7" s="95">
        <f>'ANALYSIS BY SUBJECTS'!E210</f>
        <v>1</v>
      </c>
      <c r="G7" s="95">
        <f>'ANALYSIS BY SUBJECTS'!F210</f>
        <v>10</v>
      </c>
      <c r="H7" s="95">
        <f>'ANALYSIS BY SUBJECTS'!G210</f>
        <v>25</v>
      </c>
      <c r="I7" s="95">
        <f>'ANALYSIS BY SUBJECTS'!H210</f>
        <v>29</v>
      </c>
      <c r="J7" s="95">
        <f>'ANALYSIS BY SUBJECTS'!I210</f>
        <v>32</v>
      </c>
      <c r="K7" s="95">
        <f>'ANALYSIS BY SUBJECTS'!J210</f>
        <v>52</v>
      </c>
      <c r="L7" s="95">
        <f>'ANALYSIS BY SUBJECTS'!K210</f>
        <v>12</v>
      </c>
      <c r="M7" s="95">
        <f>'ANALYSIS BY SUBJECTS'!L210</f>
        <v>1</v>
      </c>
      <c r="N7" s="95">
        <v>0</v>
      </c>
      <c r="O7" s="96">
        <f>((E7+F7)/C7)</f>
        <v>6.1728395061728392E-3</v>
      </c>
      <c r="P7" s="96">
        <f>(SUM(G7:J7)/C7)</f>
        <v>0.59259259259259256</v>
      </c>
      <c r="Q7" s="96">
        <f>(SUM(K7:L7)/C7)</f>
        <v>0.39506172839506171</v>
      </c>
      <c r="R7" s="96">
        <f>M7/C7</f>
        <v>6.1728395061728392E-3</v>
      </c>
      <c r="S7" s="97">
        <f>'OVERALL PERFORMANCES'!B3</f>
        <v>59.876543209876544</v>
      </c>
      <c r="T7" s="97">
        <f>'OVERALL PERFORMANCES'!C3</f>
        <v>99.382716049382708</v>
      </c>
      <c r="U7" s="92"/>
    </row>
    <row r="8" spans="1:21" ht="18" customHeight="1">
      <c r="A8" s="276" t="s">
        <v>119</v>
      </c>
      <c r="B8" s="277"/>
      <c r="C8" s="95">
        <f>'ANALYSIS BY SUBJECTS'!C211</f>
        <v>139</v>
      </c>
      <c r="D8" s="95">
        <f>'ANALYSIS BY SUBJECTS'!C211</f>
        <v>139</v>
      </c>
      <c r="E8" s="95">
        <f>'ANALYSIS BY SUBJECTS'!D211</f>
        <v>0</v>
      </c>
      <c r="F8" s="95">
        <f>'ANALYSIS BY SUBJECTS'!E211</f>
        <v>15</v>
      </c>
      <c r="G8" s="95">
        <f>'ANALYSIS BY SUBJECTS'!F211</f>
        <v>19</v>
      </c>
      <c r="H8" s="95">
        <f>'ANALYSIS BY SUBJECTS'!G211</f>
        <v>25</v>
      </c>
      <c r="I8" s="95">
        <f>'ANALYSIS BY SUBJECTS'!H211</f>
        <v>21</v>
      </c>
      <c r="J8" s="95">
        <f>'ANALYSIS BY SUBJECTS'!I211</f>
        <v>16</v>
      </c>
      <c r="K8" s="95">
        <f>'ANALYSIS BY SUBJECTS'!J211</f>
        <v>18</v>
      </c>
      <c r="L8" s="95">
        <f>'ANALYSIS BY SUBJECTS'!K211</f>
        <v>16</v>
      </c>
      <c r="M8" s="95">
        <f>'ANALYSIS BY SUBJECTS'!L211</f>
        <v>9</v>
      </c>
      <c r="N8" s="95">
        <v>0</v>
      </c>
      <c r="O8" s="96">
        <f>((E8+F8)/C8)</f>
        <v>0.1079136690647482</v>
      </c>
      <c r="P8" s="96">
        <f>(SUM(G8:J8)/C8)</f>
        <v>0.58273381294964033</v>
      </c>
      <c r="Q8" s="96">
        <f>(SUM(K8:L8)/C8)</f>
        <v>0.2446043165467626</v>
      </c>
      <c r="R8" s="96">
        <f>M8/C8</f>
        <v>6.4748201438848921E-2</v>
      </c>
      <c r="S8" s="97">
        <f>'OVERALL PERFORMANCES'!B4</f>
        <v>69.064748201438846</v>
      </c>
      <c r="T8" s="97">
        <f>'OVERALL PERFORMANCES'!C4</f>
        <v>93.525179856115102</v>
      </c>
      <c r="U8" s="92"/>
    </row>
    <row r="9" spans="1:21" ht="18" customHeight="1">
      <c r="A9" s="276" t="s">
        <v>120</v>
      </c>
      <c r="B9" s="277"/>
      <c r="C9" s="95">
        <f>'ANALYSIS BY SUBJECTS'!C212</f>
        <v>19</v>
      </c>
      <c r="D9" s="95">
        <f>'ANALYSIS BY SUBJECTS'!C212</f>
        <v>19</v>
      </c>
      <c r="E9" s="95">
        <f>'ANALYSIS BY SUBJECTS'!D212</f>
        <v>0</v>
      </c>
      <c r="F9" s="95">
        <f>'ANALYSIS BY SUBJECTS'!E212</f>
        <v>5</v>
      </c>
      <c r="G9" s="95">
        <f>'ANALYSIS BY SUBJECTS'!F212</f>
        <v>2</v>
      </c>
      <c r="H9" s="95">
        <f>'ANALYSIS BY SUBJECTS'!G212</f>
        <v>0</v>
      </c>
      <c r="I9" s="95">
        <f>'ANALYSIS BY SUBJECTS'!H212</f>
        <v>1</v>
      </c>
      <c r="J9" s="95">
        <f>'ANALYSIS BY SUBJECTS'!I212</f>
        <v>2</v>
      </c>
      <c r="K9" s="95">
        <f>'ANALYSIS BY SUBJECTS'!J212</f>
        <v>2</v>
      </c>
      <c r="L9" s="95">
        <f>'ANALYSIS BY SUBJECTS'!K212</f>
        <v>4</v>
      </c>
      <c r="M9" s="95">
        <f>'ANALYSIS BY SUBJECTS'!L212</f>
        <v>3</v>
      </c>
      <c r="N9" s="95">
        <v>0</v>
      </c>
      <c r="O9" s="96">
        <f>((E9+F9)/C9)</f>
        <v>0.26315789473684209</v>
      </c>
      <c r="P9" s="96">
        <f>(SUM(G9:J9)/C9)</f>
        <v>0.26315789473684209</v>
      </c>
      <c r="Q9" s="96">
        <f>(SUM(K9:L9)/C9)</f>
        <v>0.31578947368421051</v>
      </c>
      <c r="R9" s="96">
        <f>M9/C9</f>
        <v>0.15789473684210525</v>
      </c>
      <c r="S9" s="97">
        <f>'ANALYSIS BY SUBJECTS'!N212</f>
        <v>52.631578947368418</v>
      </c>
      <c r="T9" s="97">
        <f>'ANALYSIS BY SUBJECTS'!P212</f>
        <v>84.210526315789465</v>
      </c>
      <c r="U9" s="92"/>
    </row>
    <row r="10" spans="1:21" ht="18" customHeight="1">
      <c r="A10" s="276" t="s">
        <v>121</v>
      </c>
      <c r="B10" s="277"/>
      <c r="C10" s="95">
        <f>'ANALYSIS BY SUBJECTS'!C213</f>
        <v>124</v>
      </c>
      <c r="D10" s="95">
        <f>'ANALYSIS BY SUBJECTS'!C213</f>
        <v>124</v>
      </c>
      <c r="E10" s="95">
        <f>'ANALYSIS BY SUBJECTS'!D213</f>
        <v>3</v>
      </c>
      <c r="F10" s="95">
        <f>'ANALYSIS BY SUBJECTS'!E213</f>
        <v>9</v>
      </c>
      <c r="G10" s="95">
        <f>'ANALYSIS BY SUBJECTS'!F213</f>
        <v>7</v>
      </c>
      <c r="H10" s="95">
        <f>'ANALYSIS BY SUBJECTS'!G213</f>
        <v>14</v>
      </c>
      <c r="I10" s="95">
        <f>'ANALYSIS BY SUBJECTS'!H213</f>
        <v>8</v>
      </c>
      <c r="J10" s="95">
        <f>'ANALYSIS BY SUBJECTS'!I213</f>
        <v>4</v>
      </c>
      <c r="K10" s="95">
        <f>'ANALYSIS BY SUBJECTS'!J213</f>
        <v>16</v>
      </c>
      <c r="L10" s="95">
        <f>'ANALYSIS BY SUBJECTS'!K213</f>
        <v>28</v>
      </c>
      <c r="M10" s="95">
        <f>'ANALYSIS BY SUBJECTS'!L213</f>
        <v>35</v>
      </c>
      <c r="N10" s="95">
        <v>0</v>
      </c>
      <c r="O10" s="96">
        <f t="shared" ref="O10:O28" si="0">((E10+F10)/C10)</f>
        <v>9.6774193548387094E-2</v>
      </c>
      <c r="P10" s="96">
        <f t="shared" ref="P10:P28" si="1">(SUM(G10:J10)/C10)</f>
        <v>0.2661290322580645</v>
      </c>
      <c r="Q10" s="96">
        <f t="shared" ref="Q10:Q28" si="2">(SUM(K10:L10)/C10)</f>
        <v>0.35483870967741937</v>
      </c>
      <c r="R10" s="96">
        <f t="shared" ref="R10:R28" si="3">M10/C10</f>
        <v>0.28225806451612906</v>
      </c>
      <c r="S10" s="97">
        <f>'OVERALL PERFORMANCES'!B6</f>
        <v>36.29032258064516</v>
      </c>
      <c r="T10" s="97">
        <f>'OVERALL PERFORMANCES'!C6</f>
        <v>71.774193548387103</v>
      </c>
      <c r="U10" s="92"/>
    </row>
    <row r="11" spans="1:21" ht="18" customHeight="1">
      <c r="A11" s="276" t="s">
        <v>122</v>
      </c>
      <c r="B11" s="277"/>
      <c r="C11" s="95">
        <f>'ANALYSIS BY SUBJECTS'!C214</f>
        <v>18</v>
      </c>
      <c r="D11" s="95">
        <f>'ANALYSIS BY SUBJECTS'!C214</f>
        <v>18</v>
      </c>
      <c r="E11" s="95">
        <f>'ANALYSIS BY SUBJECTS'!D214</f>
        <v>0</v>
      </c>
      <c r="F11" s="95">
        <f>'ANALYSIS BY SUBJECTS'!E214</f>
        <v>0</v>
      </c>
      <c r="G11" s="95">
        <f>'ANALYSIS BY SUBJECTS'!F214</f>
        <v>0</v>
      </c>
      <c r="H11" s="95">
        <f>'ANALYSIS BY SUBJECTS'!G214</f>
        <v>2</v>
      </c>
      <c r="I11" s="95">
        <f>'ANALYSIS BY SUBJECTS'!H214</f>
        <v>0</v>
      </c>
      <c r="J11" s="95">
        <f>'ANALYSIS BY SUBJECTS'!I214</f>
        <v>1</v>
      </c>
      <c r="K11" s="95">
        <f>'ANALYSIS BY SUBJECTS'!J214</f>
        <v>2</v>
      </c>
      <c r="L11" s="95">
        <f>'ANALYSIS BY SUBJECTS'!K214</f>
        <v>4</v>
      </c>
      <c r="M11" s="95">
        <f>'ANALYSIS BY SUBJECTS'!L214</f>
        <v>9</v>
      </c>
      <c r="N11" s="95">
        <v>0</v>
      </c>
      <c r="O11" s="96">
        <f t="shared" si="0"/>
        <v>0</v>
      </c>
      <c r="P11" s="96">
        <f t="shared" si="1"/>
        <v>0.16666666666666666</v>
      </c>
      <c r="Q11" s="96">
        <f t="shared" si="2"/>
        <v>0.33333333333333331</v>
      </c>
      <c r="R11" s="96">
        <f t="shared" si="3"/>
        <v>0.5</v>
      </c>
      <c r="S11" s="97">
        <f>'OVERALL PERFORMANCES'!B7</f>
        <v>16.666666666666664</v>
      </c>
      <c r="T11" s="97">
        <f>'OVERALL PERFORMANCES'!C7</f>
        <v>50</v>
      </c>
      <c r="U11" s="92"/>
    </row>
    <row r="12" spans="1:21" ht="18" customHeight="1">
      <c r="A12" s="276" t="s">
        <v>123</v>
      </c>
      <c r="B12" s="277"/>
      <c r="C12" s="95">
        <f>'ANALYSIS BY SUBJECTS'!C215</f>
        <v>100</v>
      </c>
      <c r="D12" s="95">
        <f>'ANALYSIS BY SUBJECTS'!C215</f>
        <v>100</v>
      </c>
      <c r="E12" s="95">
        <f>'ANALYSIS BY SUBJECTS'!D215</f>
        <v>0</v>
      </c>
      <c r="F12" s="95">
        <f>'ANALYSIS BY SUBJECTS'!E215</f>
        <v>1</v>
      </c>
      <c r="G12" s="95">
        <f>'ANALYSIS BY SUBJECTS'!F215</f>
        <v>1</v>
      </c>
      <c r="H12" s="95">
        <f>'ANALYSIS BY SUBJECTS'!G215</f>
        <v>4</v>
      </c>
      <c r="I12" s="95">
        <f>'ANALYSIS BY SUBJECTS'!H215</f>
        <v>8</v>
      </c>
      <c r="J12" s="95">
        <f>'ANALYSIS BY SUBJECTS'!I215</f>
        <v>11</v>
      </c>
      <c r="K12" s="95">
        <f>'ANALYSIS BY SUBJECTS'!J215</f>
        <v>23</v>
      </c>
      <c r="L12" s="95">
        <f>'ANALYSIS BY SUBJECTS'!K215</f>
        <v>25</v>
      </c>
      <c r="M12" s="95">
        <f>'ANALYSIS BY SUBJECTS'!L215</f>
        <v>27</v>
      </c>
      <c r="N12" s="95">
        <v>0</v>
      </c>
      <c r="O12" s="96">
        <f t="shared" si="0"/>
        <v>0.01</v>
      </c>
      <c r="P12" s="96">
        <f t="shared" si="1"/>
        <v>0.24</v>
      </c>
      <c r="Q12" s="96">
        <f t="shared" si="2"/>
        <v>0.48</v>
      </c>
      <c r="R12" s="96">
        <f t="shared" si="3"/>
        <v>0.27</v>
      </c>
      <c r="S12" s="97">
        <f>'OVERALL PERFORMANCES'!B8</f>
        <v>25</v>
      </c>
      <c r="T12" s="97">
        <f>'OVERALL PERFORMANCES'!C8</f>
        <v>73</v>
      </c>
      <c r="U12" s="92"/>
    </row>
    <row r="13" spans="1:21" ht="18" customHeight="1">
      <c r="A13" s="276" t="s">
        <v>124</v>
      </c>
      <c r="B13" s="277"/>
      <c r="C13" s="95">
        <f>'ANALYSIS BY SUBJECTS'!C216</f>
        <v>81</v>
      </c>
      <c r="D13" s="95">
        <f>'ANALYSIS BY SUBJECTS'!C216</f>
        <v>81</v>
      </c>
      <c r="E13" s="95">
        <f>'ANALYSIS BY SUBJECTS'!D216</f>
        <v>0</v>
      </c>
      <c r="F13" s="95">
        <f>'ANALYSIS BY SUBJECTS'!E216</f>
        <v>0</v>
      </c>
      <c r="G13" s="95">
        <f>'ANALYSIS BY SUBJECTS'!F216</f>
        <v>1</v>
      </c>
      <c r="H13" s="95">
        <f>'ANALYSIS BY SUBJECTS'!G216</f>
        <v>4</v>
      </c>
      <c r="I13" s="95">
        <f>'ANALYSIS BY SUBJECTS'!H216</f>
        <v>4</v>
      </c>
      <c r="J13" s="95">
        <f>'ANALYSIS BY SUBJECTS'!I216</f>
        <v>5</v>
      </c>
      <c r="K13" s="95">
        <f>'ANALYSIS BY SUBJECTS'!J216</f>
        <v>24</v>
      </c>
      <c r="L13" s="95">
        <f>'ANALYSIS BY SUBJECTS'!K216</f>
        <v>23</v>
      </c>
      <c r="M13" s="95">
        <f>'ANALYSIS BY SUBJECTS'!L216</f>
        <v>20</v>
      </c>
      <c r="N13" s="95">
        <v>0</v>
      </c>
      <c r="O13" s="96">
        <f t="shared" si="0"/>
        <v>0</v>
      </c>
      <c r="P13" s="96">
        <f t="shared" si="1"/>
        <v>0.1728395061728395</v>
      </c>
      <c r="Q13" s="96">
        <f t="shared" si="2"/>
        <v>0.58024691358024694</v>
      </c>
      <c r="R13" s="96">
        <f t="shared" si="3"/>
        <v>0.24691358024691357</v>
      </c>
      <c r="S13" s="97">
        <f>'OVERALL PERFORMANCES'!B9</f>
        <v>17.283950617283949</v>
      </c>
      <c r="T13" s="97">
        <f>'OVERALL PERFORMANCES'!C9</f>
        <v>75.308641975308646</v>
      </c>
      <c r="U13" s="92"/>
    </row>
    <row r="14" spans="1:21" ht="18" customHeight="1">
      <c r="A14" s="276" t="s">
        <v>125</v>
      </c>
      <c r="B14" s="277"/>
      <c r="C14" s="95">
        <f>'ANALYSIS BY SUBJECTS'!C217</f>
        <v>38</v>
      </c>
      <c r="D14" s="95">
        <f>'ANALYSIS BY SUBJECTS'!C217</f>
        <v>38</v>
      </c>
      <c r="E14" s="95">
        <f>'ANALYSIS BY SUBJECTS'!D217</f>
        <v>0</v>
      </c>
      <c r="F14" s="95">
        <f>'ANALYSIS BY SUBJECTS'!E217</f>
        <v>0</v>
      </c>
      <c r="G14" s="95">
        <f>'ANALYSIS BY SUBJECTS'!F217</f>
        <v>0</v>
      </c>
      <c r="H14" s="95">
        <f>'ANALYSIS BY SUBJECTS'!G217</f>
        <v>0</v>
      </c>
      <c r="I14" s="95">
        <f>'ANALYSIS BY SUBJECTS'!H217</f>
        <v>0</v>
      </c>
      <c r="J14" s="95">
        <f>'ANALYSIS BY SUBJECTS'!I217</f>
        <v>2</v>
      </c>
      <c r="K14" s="95">
        <f>'ANALYSIS BY SUBJECTS'!J217</f>
        <v>6</v>
      </c>
      <c r="L14" s="95">
        <f>'ANALYSIS BY SUBJECTS'!K217</f>
        <v>12</v>
      </c>
      <c r="M14" s="95">
        <f>'ANALYSIS BY SUBJECTS'!L217</f>
        <v>18</v>
      </c>
      <c r="N14" s="95">
        <v>0</v>
      </c>
      <c r="O14" s="96">
        <f t="shared" si="0"/>
        <v>0</v>
      </c>
      <c r="P14" s="96">
        <f t="shared" si="1"/>
        <v>5.2631578947368418E-2</v>
      </c>
      <c r="Q14" s="96">
        <f t="shared" si="2"/>
        <v>0.47368421052631576</v>
      </c>
      <c r="R14" s="96">
        <f t="shared" si="3"/>
        <v>0.47368421052631576</v>
      </c>
      <c r="S14" s="97">
        <f>'OVERALL PERFORMANCES'!B10</f>
        <v>5.2631578947368416</v>
      </c>
      <c r="T14" s="97">
        <f>'OVERALL PERFORMANCES'!C10</f>
        <v>52.631578947368418</v>
      </c>
      <c r="U14" s="92"/>
    </row>
    <row r="15" spans="1:21" ht="18" customHeight="1">
      <c r="A15" s="276" t="s">
        <v>126</v>
      </c>
      <c r="B15" s="277"/>
      <c r="C15" s="95">
        <f>'ANALYSIS BY SUBJECTS'!C218</f>
        <v>38</v>
      </c>
      <c r="D15" s="95">
        <f>'ANALYSIS BY SUBJECTS'!C218</f>
        <v>38</v>
      </c>
      <c r="E15" s="95">
        <f>'ANALYSIS BY SUBJECTS'!D218</f>
        <v>0</v>
      </c>
      <c r="F15" s="95">
        <f>'ANALYSIS BY SUBJECTS'!E218</f>
        <v>0</v>
      </c>
      <c r="G15" s="95">
        <f>'ANALYSIS BY SUBJECTS'!F218</f>
        <v>0</v>
      </c>
      <c r="H15" s="95">
        <f>'ANALYSIS BY SUBJECTS'!G218</f>
        <v>0</v>
      </c>
      <c r="I15" s="95">
        <f>'ANALYSIS BY SUBJECTS'!H218</f>
        <v>0</v>
      </c>
      <c r="J15" s="95">
        <f>'ANALYSIS BY SUBJECTS'!I218</f>
        <v>2</v>
      </c>
      <c r="K15" s="95">
        <f>'ANALYSIS BY SUBJECTS'!J218</f>
        <v>6</v>
      </c>
      <c r="L15" s="95">
        <f>'ANALYSIS BY SUBJECTS'!K218</f>
        <v>12</v>
      </c>
      <c r="M15" s="95">
        <f>'ANALYSIS BY SUBJECTS'!L218</f>
        <v>18</v>
      </c>
      <c r="N15" s="95">
        <v>0</v>
      </c>
      <c r="O15" s="96">
        <f t="shared" si="0"/>
        <v>0</v>
      </c>
      <c r="P15" s="96">
        <f t="shared" si="1"/>
        <v>5.2631578947368418E-2</v>
      </c>
      <c r="Q15" s="96">
        <f t="shared" si="2"/>
        <v>0.47368421052631576</v>
      </c>
      <c r="R15" s="96">
        <f t="shared" si="3"/>
        <v>0.47368421052631576</v>
      </c>
      <c r="S15" s="97">
        <f>'OVERALL PERFORMANCES'!B11</f>
        <v>5.2631578947368416</v>
      </c>
      <c r="T15" s="97">
        <f>'OVERALL PERFORMANCES'!C11</f>
        <v>52.631578947368418</v>
      </c>
      <c r="U15" s="92"/>
    </row>
    <row r="16" spans="1:21" ht="18" customHeight="1">
      <c r="A16" s="276" t="s">
        <v>127</v>
      </c>
      <c r="B16" s="277"/>
      <c r="C16" s="95">
        <f>'ANALYSIS BY SUBJECTS'!C219</f>
        <v>63</v>
      </c>
      <c r="D16" s="95">
        <f>'ANALYSIS BY SUBJECTS'!C219</f>
        <v>63</v>
      </c>
      <c r="E16" s="95">
        <f>'ANALYSIS BY SUBJECTS'!D219</f>
        <v>0</v>
      </c>
      <c r="F16" s="95">
        <f>'ANALYSIS BY SUBJECTS'!E219</f>
        <v>0</v>
      </c>
      <c r="G16" s="95">
        <f>'ANALYSIS BY SUBJECTS'!F219</f>
        <v>0</v>
      </c>
      <c r="H16" s="95">
        <f>'ANALYSIS BY SUBJECTS'!G219</f>
        <v>1</v>
      </c>
      <c r="I16" s="95">
        <f>'ANALYSIS BY SUBJECTS'!H219</f>
        <v>2</v>
      </c>
      <c r="J16" s="95">
        <f>'ANALYSIS BY SUBJECTS'!I219</f>
        <v>4</v>
      </c>
      <c r="K16" s="95">
        <f>'ANALYSIS BY SUBJECTS'!J219</f>
        <v>10</v>
      </c>
      <c r="L16" s="95">
        <f>'ANALYSIS BY SUBJECTS'!K219</f>
        <v>11</v>
      </c>
      <c r="M16" s="95">
        <f>'ANALYSIS BY SUBJECTS'!L219</f>
        <v>35</v>
      </c>
      <c r="N16" s="95">
        <v>0</v>
      </c>
      <c r="O16" s="96">
        <f t="shared" si="0"/>
        <v>0</v>
      </c>
      <c r="P16" s="96">
        <f t="shared" si="1"/>
        <v>0.1111111111111111</v>
      </c>
      <c r="Q16" s="96">
        <f t="shared" si="2"/>
        <v>0.33333333333333331</v>
      </c>
      <c r="R16" s="96">
        <f t="shared" si="3"/>
        <v>0.55555555555555558</v>
      </c>
      <c r="S16" s="97">
        <f>'OVERALL PERFORMANCES'!B12</f>
        <v>11.111111111111111</v>
      </c>
      <c r="T16" s="97">
        <f>'OVERALL PERFORMANCES'!C12</f>
        <v>44.444444444444443</v>
      </c>
      <c r="U16" s="92"/>
    </row>
    <row r="17" spans="1:21" ht="18" customHeight="1">
      <c r="A17" s="276" t="s">
        <v>128</v>
      </c>
      <c r="B17" s="277"/>
      <c r="C17" s="95">
        <f>'ANALYSIS BY SUBJECTS'!C220</f>
        <v>162</v>
      </c>
      <c r="D17" s="95">
        <f>'ANALYSIS BY SUBJECTS'!C220</f>
        <v>162</v>
      </c>
      <c r="E17" s="95">
        <f>'ANALYSIS BY SUBJECTS'!D220</f>
        <v>26</v>
      </c>
      <c r="F17" s="95">
        <f>'ANALYSIS BY SUBJECTS'!E220</f>
        <v>19</v>
      </c>
      <c r="G17" s="95">
        <f>'ANALYSIS BY SUBJECTS'!F220</f>
        <v>14</v>
      </c>
      <c r="H17" s="95">
        <f>'ANALYSIS BY SUBJECTS'!G220</f>
        <v>15</v>
      </c>
      <c r="I17" s="95">
        <f>'ANALYSIS BY SUBJECTS'!H220</f>
        <v>16</v>
      </c>
      <c r="J17" s="95">
        <f>'ANALYSIS BY SUBJECTS'!I220</f>
        <v>13</v>
      </c>
      <c r="K17" s="95">
        <f>'ANALYSIS BY SUBJECTS'!J220</f>
        <v>20</v>
      </c>
      <c r="L17" s="95">
        <f>'ANALYSIS BY SUBJECTS'!K220</f>
        <v>14</v>
      </c>
      <c r="M17" s="95">
        <f>'ANALYSIS BY SUBJECTS'!L220</f>
        <v>25</v>
      </c>
      <c r="N17" s="95">
        <v>0</v>
      </c>
      <c r="O17" s="96">
        <f t="shared" si="0"/>
        <v>0.27777777777777779</v>
      </c>
      <c r="P17" s="96">
        <f t="shared" si="1"/>
        <v>0.35802469135802467</v>
      </c>
      <c r="Q17" s="96">
        <f t="shared" si="2"/>
        <v>0.20987654320987653</v>
      </c>
      <c r="R17" s="96">
        <f t="shared" si="3"/>
        <v>0.15432098765432098</v>
      </c>
      <c r="S17" s="97">
        <f>'OVERALL PERFORMANCES'!B13</f>
        <v>63.580246913580254</v>
      </c>
      <c r="T17" s="97">
        <f>'OVERALL PERFORMANCES'!C13</f>
        <v>84.567901234567898</v>
      </c>
      <c r="U17" s="92"/>
    </row>
    <row r="18" spans="1:21" ht="18" customHeight="1">
      <c r="A18" s="276" t="s">
        <v>129</v>
      </c>
      <c r="B18" s="277"/>
      <c r="C18" s="95">
        <f>'ANALYSIS BY SUBJECTS'!C221</f>
        <v>63</v>
      </c>
      <c r="D18" s="95">
        <f>'ANALYSIS BY SUBJECTS'!C221</f>
        <v>63</v>
      </c>
      <c r="E18" s="95">
        <f>'ANALYSIS BY SUBJECTS'!D221</f>
        <v>3</v>
      </c>
      <c r="F18" s="95">
        <f>'ANALYSIS BY SUBJECTS'!E221</f>
        <v>2</v>
      </c>
      <c r="G18" s="95">
        <f>'ANALYSIS BY SUBJECTS'!F221</f>
        <v>0</v>
      </c>
      <c r="H18" s="95">
        <f>'ANALYSIS BY SUBJECTS'!G221</f>
        <v>12</v>
      </c>
      <c r="I18" s="95">
        <f>'ANALYSIS BY SUBJECTS'!H221</f>
        <v>0</v>
      </c>
      <c r="J18" s="95">
        <f>'ANALYSIS BY SUBJECTS'!I221</f>
        <v>14</v>
      </c>
      <c r="K18" s="95">
        <f>'ANALYSIS BY SUBJECTS'!J221</f>
        <v>7</v>
      </c>
      <c r="L18" s="95">
        <f>'ANALYSIS BY SUBJECTS'!K221</f>
        <v>3</v>
      </c>
      <c r="M18" s="95">
        <f>'ANALYSIS BY SUBJECTS'!L221</f>
        <v>22</v>
      </c>
      <c r="N18" s="95">
        <v>0</v>
      </c>
      <c r="O18" s="96">
        <f t="shared" si="0"/>
        <v>7.9365079365079361E-2</v>
      </c>
      <c r="P18" s="96">
        <f t="shared" si="1"/>
        <v>0.41269841269841268</v>
      </c>
      <c r="Q18" s="96">
        <f t="shared" si="2"/>
        <v>0.15873015873015872</v>
      </c>
      <c r="R18" s="96">
        <f t="shared" si="3"/>
        <v>0.34920634920634919</v>
      </c>
      <c r="S18" s="97">
        <f>'OVERALL PERFORMANCES'!B14</f>
        <v>49.206349206349202</v>
      </c>
      <c r="T18" s="97">
        <f>'OVERALL PERFORMANCES'!C14</f>
        <v>65.079365079365076</v>
      </c>
      <c r="U18" s="92"/>
    </row>
    <row r="19" spans="1:21" ht="18" customHeight="1">
      <c r="A19" s="276" t="s">
        <v>130</v>
      </c>
      <c r="B19" s="277"/>
      <c r="C19" s="95">
        <f>'ANALYSIS BY SUBJECTS'!C222</f>
        <v>24</v>
      </c>
      <c r="D19" s="95">
        <f>'ANALYSIS BY SUBJECTS'!C222</f>
        <v>24</v>
      </c>
      <c r="E19" s="95">
        <f>'ANALYSIS BY SUBJECTS'!D222</f>
        <v>0</v>
      </c>
      <c r="F19" s="95">
        <f>'ANALYSIS BY SUBJECTS'!E222</f>
        <v>0</v>
      </c>
      <c r="G19" s="95">
        <f>'ANALYSIS BY SUBJECTS'!F222</f>
        <v>1</v>
      </c>
      <c r="H19" s="95">
        <f>'ANALYSIS BY SUBJECTS'!G222</f>
        <v>3</v>
      </c>
      <c r="I19" s="95">
        <f>'ANALYSIS BY SUBJECTS'!H222</f>
        <v>3</v>
      </c>
      <c r="J19" s="95">
        <f>'ANALYSIS BY SUBJECTS'!I222</f>
        <v>5</v>
      </c>
      <c r="K19" s="95">
        <f>'ANALYSIS BY SUBJECTS'!J222</f>
        <v>9</v>
      </c>
      <c r="L19" s="95">
        <f>'ANALYSIS BY SUBJECTS'!K222</f>
        <v>2</v>
      </c>
      <c r="M19" s="95">
        <f>'ANALYSIS BY SUBJECTS'!L222</f>
        <v>1</v>
      </c>
      <c r="N19" s="95">
        <v>0</v>
      </c>
      <c r="O19" s="96">
        <f t="shared" si="0"/>
        <v>0</v>
      </c>
      <c r="P19" s="96">
        <f t="shared" si="1"/>
        <v>0.5</v>
      </c>
      <c r="Q19" s="96">
        <f t="shared" si="2"/>
        <v>0.45833333333333331</v>
      </c>
      <c r="R19" s="96">
        <f t="shared" si="3"/>
        <v>4.1666666666666664E-2</v>
      </c>
      <c r="S19" s="97">
        <f>'OVERALL PERFORMANCES'!B15</f>
        <v>50</v>
      </c>
      <c r="T19" s="97">
        <f>'OVERALL PERFORMANCES'!C15</f>
        <v>95.833333333333343</v>
      </c>
      <c r="U19" s="92"/>
    </row>
    <row r="20" spans="1:21" ht="18" customHeight="1">
      <c r="A20" s="276" t="s">
        <v>131</v>
      </c>
      <c r="B20" s="277"/>
      <c r="C20" s="95">
        <f>'ANALYSIS BY SUBJECTS'!C223</f>
        <v>18</v>
      </c>
      <c r="D20" s="95">
        <f>'ANALYSIS BY SUBJECTS'!C223</f>
        <v>18</v>
      </c>
      <c r="E20" s="95">
        <f>'ANALYSIS BY SUBJECTS'!D223</f>
        <v>0</v>
      </c>
      <c r="F20" s="95">
        <f>'ANALYSIS BY SUBJECTS'!E223</f>
        <v>0</v>
      </c>
      <c r="G20" s="95">
        <f>'ANALYSIS BY SUBJECTS'!F223</f>
        <v>0</v>
      </c>
      <c r="H20" s="95">
        <f>'ANALYSIS BY SUBJECTS'!G223</f>
        <v>2</v>
      </c>
      <c r="I20" s="95">
        <f>'ANALYSIS BY SUBJECTS'!H223</f>
        <v>2</v>
      </c>
      <c r="J20" s="95">
        <f>'ANALYSIS BY SUBJECTS'!I223</f>
        <v>5</v>
      </c>
      <c r="K20" s="95">
        <f>'ANALYSIS BY SUBJECTS'!J223</f>
        <v>8</v>
      </c>
      <c r="L20" s="95">
        <f>'ANALYSIS BY SUBJECTS'!K223</f>
        <v>0</v>
      </c>
      <c r="M20" s="95">
        <f>'ANALYSIS BY SUBJECTS'!L223</f>
        <v>1</v>
      </c>
      <c r="N20" s="95">
        <v>0</v>
      </c>
      <c r="O20" s="96">
        <f>((E20+F20)/C20)</f>
        <v>0</v>
      </c>
      <c r="P20" s="96">
        <f>(SUM(G20:J20)/C20)</f>
        <v>0.5</v>
      </c>
      <c r="Q20" s="96">
        <f>(SUM(K20:L20)/C20)</f>
        <v>0.44444444444444442</v>
      </c>
      <c r="R20" s="96">
        <f>M20/C20</f>
        <v>5.5555555555555552E-2</v>
      </c>
      <c r="S20" s="97">
        <f>'OVERALL PERFORMANCES'!B16</f>
        <v>50</v>
      </c>
      <c r="T20" s="97">
        <f>'OVERALL PERFORMANCES'!C16</f>
        <v>94.444444444444443</v>
      </c>
      <c r="U20" s="92"/>
    </row>
    <row r="21" spans="1:21" ht="18" customHeight="1">
      <c r="A21" s="276" t="s">
        <v>132</v>
      </c>
      <c r="B21" s="277"/>
      <c r="C21" s="95">
        <f>'ANALYSIS BY SUBJECTS'!C224</f>
        <v>43</v>
      </c>
      <c r="D21" s="95">
        <f>'ANALYSIS BY SUBJECTS'!C224</f>
        <v>43</v>
      </c>
      <c r="E21" s="95">
        <f>'ANALYSIS BY SUBJECTS'!D224</f>
        <v>0</v>
      </c>
      <c r="F21" s="95">
        <f>'ANALYSIS BY SUBJECTS'!E224</f>
        <v>0</v>
      </c>
      <c r="G21" s="95">
        <f>'ANALYSIS BY SUBJECTS'!F224</f>
        <v>0</v>
      </c>
      <c r="H21" s="95">
        <f>'ANALYSIS BY SUBJECTS'!G224</f>
        <v>0</v>
      </c>
      <c r="I21" s="95">
        <f>'ANALYSIS BY SUBJECTS'!H224</f>
        <v>0</v>
      </c>
      <c r="J21" s="95">
        <f>'ANALYSIS BY SUBJECTS'!I224</f>
        <v>3</v>
      </c>
      <c r="K21" s="95">
        <f>'ANALYSIS BY SUBJECTS'!J224</f>
        <v>5</v>
      </c>
      <c r="L21" s="95">
        <f>'ANALYSIS BY SUBJECTS'!K224</f>
        <v>5</v>
      </c>
      <c r="M21" s="95">
        <f>'ANALYSIS BY SUBJECTS'!L224</f>
        <v>30</v>
      </c>
      <c r="N21" s="95">
        <v>0</v>
      </c>
      <c r="O21" s="96">
        <f t="shared" si="0"/>
        <v>0</v>
      </c>
      <c r="P21" s="96">
        <f t="shared" si="1"/>
        <v>6.9767441860465115E-2</v>
      </c>
      <c r="Q21" s="96">
        <f t="shared" si="2"/>
        <v>0.23255813953488372</v>
      </c>
      <c r="R21" s="96">
        <f t="shared" si="3"/>
        <v>0.69767441860465118</v>
      </c>
      <c r="S21" s="97">
        <f>'OVERALL PERFORMANCES'!B17</f>
        <v>6.9767441860465116</v>
      </c>
      <c r="T21" s="97">
        <f>'OVERALL PERFORMANCES'!C17</f>
        <v>30.232558139534881</v>
      </c>
      <c r="U21" s="92"/>
    </row>
    <row r="22" spans="1:21" ht="18" customHeight="1">
      <c r="A22" s="276" t="s">
        <v>133</v>
      </c>
      <c r="B22" s="277"/>
      <c r="C22" s="95">
        <f>'ANALYSIS BY SUBJECTS'!C225</f>
        <v>37</v>
      </c>
      <c r="D22" s="95">
        <f>'ANALYSIS BY SUBJECTS'!C225</f>
        <v>37</v>
      </c>
      <c r="E22" s="95">
        <f>'ANALYSIS BY SUBJECTS'!D225</f>
        <v>0</v>
      </c>
      <c r="F22" s="95">
        <f>'ANALYSIS BY SUBJECTS'!E225</f>
        <v>0</v>
      </c>
      <c r="G22" s="95">
        <f>'ANALYSIS BY SUBJECTS'!F225</f>
        <v>0</v>
      </c>
      <c r="H22" s="95">
        <f>'ANALYSIS BY SUBJECTS'!G225</f>
        <v>3</v>
      </c>
      <c r="I22" s="95">
        <f>'ANALYSIS BY SUBJECTS'!H225</f>
        <v>7</v>
      </c>
      <c r="J22" s="95">
        <f>'ANALYSIS BY SUBJECTS'!I225</f>
        <v>4</v>
      </c>
      <c r="K22" s="95">
        <f>'ANALYSIS BY SUBJECTS'!J225</f>
        <v>5</v>
      </c>
      <c r="L22" s="95">
        <f>'ANALYSIS BY SUBJECTS'!K225</f>
        <v>0</v>
      </c>
      <c r="M22" s="95">
        <f>'ANALYSIS BY SUBJECTS'!L225</f>
        <v>18</v>
      </c>
      <c r="N22" s="95">
        <v>0</v>
      </c>
      <c r="O22" s="96">
        <f t="shared" si="0"/>
        <v>0</v>
      </c>
      <c r="P22" s="96">
        <f t="shared" si="1"/>
        <v>0.3783783783783784</v>
      </c>
      <c r="Q22" s="96">
        <f t="shared" si="2"/>
        <v>0.13513513513513514</v>
      </c>
      <c r="R22" s="96">
        <f t="shared" si="3"/>
        <v>0.48648648648648651</v>
      </c>
      <c r="S22" s="97">
        <f>'OVERALL PERFORMANCES'!B18</f>
        <v>37.837837837837839</v>
      </c>
      <c r="T22" s="97">
        <f>'OVERALL PERFORMANCES'!C18</f>
        <v>51.351351351351347</v>
      </c>
      <c r="U22" s="92"/>
    </row>
    <row r="23" spans="1:21" ht="18" customHeight="1">
      <c r="A23" s="276" t="s">
        <v>134</v>
      </c>
      <c r="B23" s="277"/>
      <c r="C23" s="95">
        <f>'ANALYSIS BY SUBJECTS'!C226</f>
        <v>38</v>
      </c>
      <c r="D23" s="95">
        <f>'ANALYSIS BY SUBJECTS'!C226</f>
        <v>38</v>
      </c>
      <c r="E23" s="95">
        <f>'ANALYSIS BY SUBJECTS'!D226</f>
        <v>0</v>
      </c>
      <c r="F23" s="95">
        <f>'ANALYSIS BY SUBJECTS'!E226</f>
        <v>0</v>
      </c>
      <c r="G23" s="95">
        <f>'ANALYSIS BY SUBJECTS'!F226</f>
        <v>0</v>
      </c>
      <c r="H23" s="95">
        <f>'ANALYSIS BY SUBJECTS'!G226</f>
        <v>2</v>
      </c>
      <c r="I23" s="95">
        <f>'ANALYSIS BY SUBJECTS'!H226</f>
        <v>0</v>
      </c>
      <c r="J23" s="95">
        <f>'ANALYSIS BY SUBJECTS'!I226</f>
        <v>4</v>
      </c>
      <c r="K23" s="95">
        <f>'ANALYSIS BY SUBJECTS'!J226</f>
        <v>7</v>
      </c>
      <c r="L23" s="95">
        <f>'ANALYSIS BY SUBJECTS'!K226</f>
        <v>5</v>
      </c>
      <c r="M23" s="95">
        <f>'ANALYSIS BY SUBJECTS'!L226</f>
        <v>20</v>
      </c>
      <c r="N23" s="95">
        <v>0</v>
      </c>
      <c r="O23" s="96">
        <f t="shared" si="0"/>
        <v>0</v>
      </c>
      <c r="P23" s="96">
        <f t="shared" si="1"/>
        <v>0.15789473684210525</v>
      </c>
      <c r="Q23" s="96">
        <f t="shared" si="2"/>
        <v>0.31578947368421051</v>
      </c>
      <c r="R23" s="96">
        <f t="shared" si="3"/>
        <v>0.52631578947368418</v>
      </c>
      <c r="S23" s="97">
        <f>'OVERALL PERFORMANCES'!B19</f>
        <v>15.789473684210526</v>
      </c>
      <c r="T23" s="97">
        <f>'OVERALL PERFORMANCES'!C19</f>
        <v>47.368421052631575</v>
      </c>
      <c r="U23" s="92"/>
    </row>
    <row r="24" spans="1:21" ht="18" customHeight="1">
      <c r="A24" s="276" t="s">
        <v>135</v>
      </c>
      <c r="B24" s="277"/>
      <c r="C24" s="95">
        <f>'ANALYSIS BY SUBJECTS'!C227</f>
        <v>43</v>
      </c>
      <c r="D24" s="95">
        <f>'ANALYSIS BY SUBJECTS'!C227</f>
        <v>43</v>
      </c>
      <c r="E24" s="95">
        <f>'ANALYSIS BY SUBJECTS'!D227</f>
        <v>0</v>
      </c>
      <c r="F24" s="95">
        <f>'ANALYSIS BY SUBJECTS'!E227</f>
        <v>1</v>
      </c>
      <c r="G24" s="95">
        <f>'ANALYSIS BY SUBJECTS'!F227</f>
        <v>1</v>
      </c>
      <c r="H24" s="95">
        <f>'ANALYSIS BY SUBJECTS'!G227</f>
        <v>1</v>
      </c>
      <c r="I24" s="95">
        <f>'ANALYSIS BY SUBJECTS'!H227</f>
        <v>2</v>
      </c>
      <c r="J24" s="95">
        <f>'ANALYSIS BY SUBJECTS'!I227</f>
        <v>5</v>
      </c>
      <c r="K24" s="95">
        <f>'ANALYSIS BY SUBJECTS'!J227</f>
        <v>16</v>
      </c>
      <c r="L24" s="95">
        <f>'ANALYSIS BY SUBJECTS'!K227</f>
        <v>7</v>
      </c>
      <c r="M24" s="95">
        <f>'ANALYSIS BY SUBJECTS'!L227</f>
        <v>10</v>
      </c>
      <c r="N24" s="95">
        <v>0</v>
      </c>
      <c r="O24" s="96">
        <f t="shared" si="0"/>
        <v>2.3255813953488372E-2</v>
      </c>
      <c r="P24" s="96">
        <f t="shared" si="1"/>
        <v>0.20930232558139536</v>
      </c>
      <c r="Q24" s="96">
        <f t="shared" si="2"/>
        <v>0.53488372093023251</v>
      </c>
      <c r="R24" s="96">
        <f t="shared" si="3"/>
        <v>0.23255813953488372</v>
      </c>
      <c r="S24" s="97">
        <f>'OVERALL PERFORMANCES'!B20</f>
        <v>23.255813953488371</v>
      </c>
      <c r="T24" s="97">
        <f>'OVERALL PERFORMANCES'!C20</f>
        <v>76.744186046511629</v>
      </c>
      <c r="U24" s="92"/>
    </row>
    <row r="25" spans="1:21" ht="18" customHeight="1">
      <c r="A25" s="276" t="s">
        <v>136</v>
      </c>
      <c r="B25" s="277"/>
      <c r="C25" s="95">
        <f>'ANALYSIS BY SUBJECTS'!C228</f>
        <v>35</v>
      </c>
      <c r="D25" s="95">
        <f>'ANALYSIS BY SUBJECTS'!C228</f>
        <v>35</v>
      </c>
      <c r="E25" s="95">
        <f>'ANALYSIS BY SUBJECTS'!D228</f>
        <v>1</v>
      </c>
      <c r="F25" s="95">
        <f>'ANALYSIS BY SUBJECTS'!E228</f>
        <v>8</v>
      </c>
      <c r="G25" s="95">
        <f>'ANALYSIS BY SUBJECTS'!F228</f>
        <v>5</v>
      </c>
      <c r="H25" s="95">
        <f>'ANALYSIS BY SUBJECTS'!G228</f>
        <v>2</v>
      </c>
      <c r="I25" s="95">
        <f>'ANALYSIS BY SUBJECTS'!H228</f>
        <v>4</v>
      </c>
      <c r="J25" s="95">
        <f>'ANALYSIS BY SUBJECTS'!I228</f>
        <v>3</v>
      </c>
      <c r="K25" s="95">
        <f>'ANALYSIS BY SUBJECTS'!J228</f>
        <v>6</v>
      </c>
      <c r="L25" s="95">
        <f>'ANALYSIS BY SUBJECTS'!K228</f>
        <v>3</v>
      </c>
      <c r="M25" s="95">
        <f>'ANALYSIS BY SUBJECTS'!L228</f>
        <v>3</v>
      </c>
      <c r="N25" s="95">
        <v>0</v>
      </c>
      <c r="O25" s="96">
        <f t="shared" si="0"/>
        <v>0.25714285714285712</v>
      </c>
      <c r="P25" s="96">
        <f t="shared" si="1"/>
        <v>0.4</v>
      </c>
      <c r="Q25" s="96">
        <f t="shared" si="2"/>
        <v>0.25714285714285712</v>
      </c>
      <c r="R25" s="96">
        <f t="shared" si="3"/>
        <v>8.5714285714285715E-2</v>
      </c>
      <c r="S25" s="97">
        <f>'OVERALL PERFORMANCES'!B21</f>
        <v>65.714285714285708</v>
      </c>
      <c r="T25" s="97">
        <f>'OVERALL PERFORMANCES'!C21</f>
        <v>91.428571428571431</v>
      </c>
      <c r="U25" s="92"/>
    </row>
    <row r="26" spans="1:21" ht="18" customHeight="1">
      <c r="A26" s="276" t="s">
        <v>137</v>
      </c>
      <c r="B26" s="277"/>
      <c r="C26" s="95">
        <f>'ANALYSIS BY SUBJECTS'!C229</f>
        <v>48</v>
      </c>
      <c r="D26" s="95">
        <f>'ANALYSIS BY SUBJECTS'!C229</f>
        <v>48</v>
      </c>
      <c r="E26" s="95">
        <f>'ANALYSIS BY SUBJECTS'!D229</f>
        <v>0</v>
      </c>
      <c r="F26" s="95">
        <f>'ANALYSIS BY SUBJECTS'!E229</f>
        <v>4</v>
      </c>
      <c r="G26" s="95">
        <f>'ANALYSIS BY SUBJECTS'!F229</f>
        <v>1</v>
      </c>
      <c r="H26" s="95">
        <f>'ANALYSIS BY SUBJECTS'!G229</f>
        <v>5</v>
      </c>
      <c r="I26" s="95">
        <f>'ANALYSIS BY SUBJECTS'!H229</f>
        <v>5</v>
      </c>
      <c r="J26" s="95">
        <f>'ANALYSIS BY SUBJECTS'!I229</f>
        <v>7</v>
      </c>
      <c r="K26" s="95">
        <f>'ANALYSIS BY SUBJECTS'!J229</f>
        <v>6</v>
      </c>
      <c r="L26" s="95">
        <f>'ANALYSIS BY SUBJECTS'!K229</f>
        <v>3</v>
      </c>
      <c r="M26" s="95">
        <f>'ANALYSIS BY SUBJECTS'!L229</f>
        <v>17</v>
      </c>
      <c r="N26" s="95">
        <v>0</v>
      </c>
      <c r="O26" s="96">
        <f>((E26+F26)/C26)</f>
        <v>8.3333333333333329E-2</v>
      </c>
      <c r="P26" s="96">
        <f>(SUM(G26:J26)/C26)</f>
        <v>0.375</v>
      </c>
      <c r="Q26" s="96">
        <f>(SUM(K26:L26)/C26)</f>
        <v>0.1875</v>
      </c>
      <c r="R26" s="96">
        <f>M26/C26</f>
        <v>0.35416666666666669</v>
      </c>
      <c r="S26" s="97">
        <f>'OVERALL PERFORMANCES'!B22</f>
        <v>45.833333333333329</v>
      </c>
      <c r="T26" s="97">
        <f>'OVERALL PERFORMANCES'!C22</f>
        <v>64.583333333333343</v>
      </c>
      <c r="U26" s="92"/>
    </row>
    <row r="27" spans="1:21" ht="18" customHeight="1">
      <c r="A27" s="276" t="s">
        <v>138</v>
      </c>
      <c r="B27" s="277"/>
      <c r="C27" s="95">
        <f>'ANALYSIS BY SUBJECTS'!C189</f>
        <v>39</v>
      </c>
      <c r="D27" s="95">
        <f>'ANALYSIS BY SUBJECTS'!C189</f>
        <v>39</v>
      </c>
      <c r="E27" s="95">
        <f>'ANALYSIS BY SUBJECTS'!D189</f>
        <v>0</v>
      </c>
      <c r="F27" s="95">
        <f>'ANALYSIS BY SUBJECTS'!E189</f>
        <v>1</v>
      </c>
      <c r="G27" s="95">
        <f>'ANALYSIS BY SUBJECTS'!F189</f>
        <v>0</v>
      </c>
      <c r="H27" s="95">
        <f>'ANALYSIS BY SUBJECTS'!G189</f>
        <v>0</v>
      </c>
      <c r="I27" s="95">
        <f>'ANALYSIS BY SUBJECTS'!H189</f>
        <v>0</v>
      </c>
      <c r="J27" s="95">
        <f>'ANALYSIS BY SUBJECTS'!I189</f>
        <v>4</v>
      </c>
      <c r="K27" s="95">
        <f>'ANALYSIS BY SUBJECTS'!J189</f>
        <v>8</v>
      </c>
      <c r="L27" s="95">
        <f>'ANALYSIS BY SUBJECTS'!K189</f>
        <v>9</v>
      </c>
      <c r="M27" s="95">
        <f>'ANALYSIS BY SUBJECTS'!L189</f>
        <v>17</v>
      </c>
      <c r="N27" s="95">
        <v>0</v>
      </c>
      <c r="O27" s="96">
        <f>((E27+F27)/C27)</f>
        <v>2.564102564102564E-2</v>
      </c>
      <c r="P27" s="96">
        <f t="shared" ref="P27" si="4">(SUM(G27:J27)/C27)</f>
        <v>0.10256410256410256</v>
      </c>
      <c r="Q27" s="96">
        <f t="shared" ref="Q27" si="5">(SUM(K27:L27)/C27)</f>
        <v>0.4358974358974359</v>
      </c>
      <c r="R27" s="96">
        <f t="shared" ref="R27" si="6">M27/C27</f>
        <v>0.4358974358974359</v>
      </c>
      <c r="S27" s="97">
        <f>'OVERALL PERFORMANCES'!B23</f>
        <v>12.820512820512819</v>
      </c>
      <c r="T27" s="97">
        <f>'OVERALL PERFORMANCES'!C23</f>
        <v>56.410256410256409</v>
      </c>
      <c r="U27" s="92"/>
    </row>
    <row r="28" spans="1:21" ht="18" hidden="1" customHeight="1">
      <c r="A28" s="280" t="s">
        <v>209</v>
      </c>
      <c r="B28" s="281"/>
      <c r="C28" s="95">
        <v>4</v>
      </c>
      <c r="D28" s="95">
        <v>4</v>
      </c>
      <c r="E28" s="95">
        <v>0</v>
      </c>
      <c r="F28" s="95">
        <v>0</v>
      </c>
      <c r="G28" s="95">
        <v>1</v>
      </c>
      <c r="H28" s="95">
        <v>1</v>
      </c>
      <c r="I28" s="95">
        <v>1</v>
      </c>
      <c r="J28" s="95">
        <v>1</v>
      </c>
      <c r="K28" s="95">
        <f>'ANALYSIS BY SUBJECTS'!J230</f>
        <v>8</v>
      </c>
      <c r="L28" s="95">
        <f>'ANALYSIS BY SUBJECTS'!K230</f>
        <v>9</v>
      </c>
      <c r="M28" s="95">
        <f>'ANALYSIS BY SUBJECTS'!L230</f>
        <v>17</v>
      </c>
      <c r="N28" s="95">
        <v>0</v>
      </c>
      <c r="O28" s="96">
        <f t="shared" si="0"/>
        <v>0</v>
      </c>
      <c r="P28" s="96">
        <f t="shared" si="1"/>
        <v>1</v>
      </c>
      <c r="Q28" s="96">
        <f t="shared" si="2"/>
        <v>4.25</v>
      </c>
      <c r="R28" s="96">
        <f t="shared" si="3"/>
        <v>4.25</v>
      </c>
      <c r="S28" s="97">
        <f>'OVERALL PERFORMANCES'!B23</f>
        <v>12.820512820512819</v>
      </c>
      <c r="T28" s="97">
        <f>'OVERALL PERFORMANCES'!C23</f>
        <v>56.410256410256409</v>
      </c>
      <c r="U28" s="92"/>
    </row>
    <row r="29" spans="1:21" ht="24.75" customHeight="1">
      <c r="A29" s="157"/>
      <c r="B29" s="157"/>
    </row>
    <row r="30" spans="1:21" ht="14.25" customHeight="1">
      <c r="A30" s="70"/>
      <c r="B30" s="70"/>
      <c r="C30" s="269" t="s">
        <v>186</v>
      </c>
      <c r="D30" s="269"/>
      <c r="E30" s="269"/>
      <c r="F30" s="269"/>
      <c r="G30" s="269"/>
      <c r="H30" s="269"/>
      <c r="I30" s="269"/>
      <c r="J30" s="269"/>
      <c r="K30" s="269"/>
      <c r="L30" s="269"/>
      <c r="M30" s="269"/>
      <c r="N30" s="269"/>
      <c r="O30" s="269" t="s">
        <v>187</v>
      </c>
      <c r="P30" s="269"/>
      <c r="Q30" s="269"/>
      <c r="R30" s="269"/>
      <c r="S30" s="269"/>
      <c r="T30" s="269"/>
      <c r="U30" s="88" t="s">
        <v>204</v>
      </c>
    </row>
    <row r="31" spans="1:21" ht="15" customHeight="1">
      <c r="A31" s="89"/>
      <c r="B31" s="89"/>
      <c r="C31" s="270" t="s">
        <v>188</v>
      </c>
      <c r="D31" s="270"/>
      <c r="E31" s="271" t="s">
        <v>113</v>
      </c>
      <c r="F31" s="272"/>
      <c r="G31" s="270" t="s">
        <v>114</v>
      </c>
      <c r="H31" s="270"/>
      <c r="I31" s="271" t="s">
        <v>115</v>
      </c>
      <c r="J31" s="273"/>
      <c r="K31" s="273"/>
      <c r="L31" s="272"/>
      <c r="M31" s="168" t="s">
        <v>4</v>
      </c>
      <c r="N31" s="168" t="s">
        <v>189</v>
      </c>
      <c r="O31" s="90" t="s">
        <v>113</v>
      </c>
      <c r="P31" s="90" t="s">
        <v>114</v>
      </c>
      <c r="Q31" s="90" t="s">
        <v>115</v>
      </c>
      <c r="R31" s="90" t="s">
        <v>4</v>
      </c>
      <c r="S31" s="91" t="s">
        <v>114</v>
      </c>
      <c r="T31" s="91" t="s">
        <v>115</v>
      </c>
      <c r="U31" s="92"/>
    </row>
    <row r="32" spans="1:21" ht="23.25" customHeight="1">
      <c r="A32" s="271" t="s">
        <v>116</v>
      </c>
      <c r="B32" s="272"/>
      <c r="C32" s="168" t="s">
        <v>190</v>
      </c>
      <c r="D32" s="168" t="s">
        <v>191</v>
      </c>
      <c r="E32" s="168" t="s">
        <v>8</v>
      </c>
      <c r="F32" s="168" t="s">
        <v>42</v>
      </c>
      <c r="G32" s="168" t="s">
        <v>43</v>
      </c>
      <c r="H32" s="168" t="s">
        <v>44</v>
      </c>
      <c r="I32" s="168" t="s">
        <v>45</v>
      </c>
      <c r="J32" s="168" t="s">
        <v>46</v>
      </c>
      <c r="K32" s="168" t="s">
        <v>47</v>
      </c>
      <c r="L32" s="168" t="s">
        <v>48</v>
      </c>
      <c r="M32" s="168" t="s">
        <v>16</v>
      </c>
      <c r="N32" s="168" t="s">
        <v>192</v>
      </c>
      <c r="O32" s="93" t="s">
        <v>193</v>
      </c>
      <c r="P32" s="93" t="s">
        <v>194</v>
      </c>
      <c r="Q32" s="93" t="s">
        <v>195</v>
      </c>
      <c r="R32" s="93" t="s">
        <v>16</v>
      </c>
      <c r="S32" s="94" t="s">
        <v>196</v>
      </c>
      <c r="T32" s="94" t="s">
        <v>197</v>
      </c>
      <c r="U32" s="92"/>
    </row>
    <row r="33" spans="1:21" ht="28.7" hidden="1" customHeight="1">
      <c r="A33" s="278" t="s">
        <v>198</v>
      </c>
      <c r="B33" s="279"/>
      <c r="C33" s="95">
        <f>'ANALYSIS BY SUBJECTS'!$C$45</f>
        <v>0</v>
      </c>
      <c r="D33" s="95">
        <f>'ANALYSIS BY SUBJECTS'!$C$45</f>
        <v>0</v>
      </c>
      <c r="E33" s="98"/>
      <c r="F33" s="98"/>
      <c r="G33" s="98"/>
      <c r="H33" s="95">
        <f>'ANALYSIS BY SUBJECTS'!D45</f>
        <v>0</v>
      </c>
      <c r="I33" s="95">
        <f>'ANALYSIS BY SUBJECTS'!E45</f>
        <v>0</v>
      </c>
      <c r="J33" s="95">
        <f>'ANALYSIS BY SUBJECTS'!F45</f>
        <v>0</v>
      </c>
      <c r="K33" s="95">
        <f>'ANALYSIS BY SUBJECTS'!G45</f>
        <v>0</v>
      </c>
      <c r="L33" s="95">
        <f>'ANALYSIS BY SUBJECTS'!H45</f>
        <v>0</v>
      </c>
      <c r="M33" s="95">
        <f>'ANALYSIS BY SUBJECTS'!I45</f>
        <v>0</v>
      </c>
      <c r="N33" s="95">
        <v>0</v>
      </c>
      <c r="O33" s="99" t="e">
        <f>((E33+F33)/C33)</f>
        <v>#DIV/0!</v>
      </c>
      <c r="P33" s="99" t="e">
        <f>(SUM(G33:H33)/C33)</f>
        <v>#DIV/0!</v>
      </c>
      <c r="Q33" s="99" t="e">
        <f>(SUM(I33:L33)/C33)</f>
        <v>#DIV/0!</v>
      </c>
      <c r="R33" s="99" t="e">
        <f>M33/C33</f>
        <v>#DIV/0!</v>
      </c>
      <c r="S33" s="100" t="e">
        <f>(SUM(E33:H33)/C33)</f>
        <v>#DIV/0!</v>
      </c>
      <c r="T33" s="100" t="e">
        <f>(SUM(E33:L33)/D33)</f>
        <v>#DIV/0!</v>
      </c>
      <c r="U33" s="92"/>
    </row>
    <row r="34" spans="1:21" ht="28.7" customHeight="1">
      <c r="A34" s="274" t="s">
        <v>199</v>
      </c>
      <c r="B34" s="275"/>
      <c r="C34" s="95">
        <f>'ANALYSIS BY SUBJECTS'!$C$63</f>
        <v>39</v>
      </c>
      <c r="D34" s="95">
        <f>'ANALYSIS BY SUBJECTS'!$C$63</f>
        <v>39</v>
      </c>
      <c r="E34" s="228"/>
      <c r="F34" s="228"/>
      <c r="G34" s="228"/>
      <c r="H34" s="95">
        <f>'ANALYSIS BY SUBJECTS'!D63</f>
        <v>16</v>
      </c>
      <c r="I34" s="95">
        <f>'ANALYSIS BY SUBJECTS'!E63</f>
        <v>11</v>
      </c>
      <c r="J34" s="95">
        <f>'ANALYSIS BY SUBJECTS'!F63</f>
        <v>7</v>
      </c>
      <c r="K34" s="95">
        <f>'ANALYSIS BY SUBJECTS'!G63</f>
        <v>3</v>
      </c>
      <c r="L34" s="95">
        <f>'ANALYSIS BY SUBJECTS'!H63</f>
        <v>1</v>
      </c>
      <c r="M34" s="95">
        <f>'ANALYSIS BY SUBJECTS'!I63</f>
        <v>0</v>
      </c>
      <c r="N34" s="95">
        <v>0</v>
      </c>
      <c r="O34" s="99">
        <f>((E34+F34)/C34)</f>
        <v>0</v>
      </c>
      <c r="P34" s="99">
        <f>(SUM(G34:H34)/C34)</f>
        <v>0.41025641025641024</v>
      </c>
      <c r="Q34" s="99">
        <f>(SUM(I34:L34)/C34)</f>
        <v>0.5641025641025641</v>
      </c>
      <c r="R34" s="99">
        <f>M34/C34</f>
        <v>0</v>
      </c>
      <c r="S34" s="100">
        <f>(SUM(E34:H34)/C34)</f>
        <v>0.41025641025641024</v>
      </c>
      <c r="T34" s="100">
        <f>(SUM(E34:L34)/D34)</f>
        <v>0.97435897435897434</v>
      </c>
      <c r="U34" s="92"/>
    </row>
    <row r="35" spans="1:21" ht="28.7" customHeight="1">
      <c r="A35" s="274" t="s">
        <v>139</v>
      </c>
      <c r="B35" s="275"/>
      <c r="C35" s="95">
        <f>'ANALYSIS BY SUBJECTS'!C231</f>
        <v>78</v>
      </c>
      <c r="D35" s="95">
        <v>39</v>
      </c>
      <c r="E35" s="227">
        <v>0</v>
      </c>
      <c r="F35" s="227">
        <v>3</v>
      </c>
      <c r="G35" s="227">
        <v>29</v>
      </c>
      <c r="H35" s="95">
        <v>7</v>
      </c>
      <c r="I35" s="95">
        <v>0</v>
      </c>
      <c r="J35" s="95">
        <v>0</v>
      </c>
      <c r="K35" s="95">
        <v>0</v>
      </c>
      <c r="L35" s="95">
        <v>0</v>
      </c>
      <c r="M35" s="95">
        <v>0</v>
      </c>
      <c r="N35" s="95">
        <v>0</v>
      </c>
      <c r="O35" s="99">
        <f>((E35+F35)/C35)</f>
        <v>3.8461538461538464E-2</v>
      </c>
      <c r="P35" s="99">
        <f>(SUM(G35:H35)/C35)</f>
        <v>0.46153846153846156</v>
      </c>
      <c r="Q35" s="99">
        <f>(SUM(I35:L35)/C35)</f>
        <v>0</v>
      </c>
      <c r="R35" s="99">
        <f>M35/C35</f>
        <v>0</v>
      </c>
      <c r="S35" s="100">
        <f>(SUM(E35:H35)/C35)</f>
        <v>0.5</v>
      </c>
      <c r="T35" s="100">
        <f>(SUM(E35:L35)/D35)</f>
        <v>1</v>
      </c>
      <c r="U35" s="92"/>
    </row>
    <row r="36" spans="1:21">
      <c r="E36" s="103"/>
      <c r="F36" s="103"/>
      <c r="G36" s="103"/>
      <c r="H36" s="103"/>
    </row>
  </sheetData>
  <mergeCells count="41">
    <mergeCell ref="A13:B13"/>
    <mergeCell ref="A14:B14"/>
    <mergeCell ref="A15:B15"/>
    <mergeCell ref="A16:B16"/>
    <mergeCell ref="A17:B17"/>
    <mergeCell ref="A23:B23"/>
    <mergeCell ref="A20:B20"/>
    <mergeCell ref="A19:B19"/>
    <mergeCell ref="A18:B18"/>
    <mergeCell ref="A21:B21"/>
    <mergeCell ref="A22:B22"/>
    <mergeCell ref="C30:N30"/>
    <mergeCell ref="O30:T30"/>
    <mergeCell ref="C31:D31"/>
    <mergeCell ref="E31:F31"/>
    <mergeCell ref="G31:H31"/>
    <mergeCell ref="I31:L31"/>
    <mergeCell ref="A35:B35"/>
    <mergeCell ref="A6:B6"/>
    <mergeCell ref="A7:B7"/>
    <mergeCell ref="A8:B8"/>
    <mergeCell ref="A10:B10"/>
    <mergeCell ref="A11:B11"/>
    <mergeCell ref="A12:B12"/>
    <mergeCell ref="A24:B24"/>
    <mergeCell ref="A9:B9"/>
    <mergeCell ref="A32:B32"/>
    <mergeCell ref="A33:B33"/>
    <mergeCell ref="A34:B34"/>
    <mergeCell ref="A28:B28"/>
    <mergeCell ref="A25:B25"/>
    <mergeCell ref="A26:B26"/>
    <mergeCell ref="A27:B27"/>
    <mergeCell ref="A1:U1"/>
    <mergeCell ref="A2:U2"/>
    <mergeCell ref="C4:N4"/>
    <mergeCell ref="O4:T4"/>
    <mergeCell ref="C5:D5"/>
    <mergeCell ref="E5:F5"/>
    <mergeCell ref="G5:J5"/>
    <mergeCell ref="K5:L5"/>
  </mergeCells>
  <pageMargins left="0.42708333333333298" right="0.34375" top="0.41249999999999998" bottom="0.30249999999999999" header="0.3" footer="0.3"/>
  <pageSetup paperSize="5" scale="8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4"/>
  <sheetViews>
    <sheetView view="pageLayout" zoomScaleNormal="100" workbookViewId="0">
      <selection activeCell="F5" sqref="F5"/>
    </sheetView>
  </sheetViews>
  <sheetFormatPr defaultColWidth="9.140625" defaultRowHeight="12.75"/>
  <cols>
    <col min="1" max="1" width="10.7109375" customWidth="1"/>
    <col min="2" max="19" width="6.85546875" customWidth="1"/>
  </cols>
  <sheetData>
    <row r="1" spans="1:19" ht="36">
      <c r="A1" s="256" t="s">
        <v>183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</row>
    <row r="2" spans="1:19" ht="28.5">
      <c r="A2" s="257" t="s">
        <v>184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</row>
    <row r="4" spans="1:19" s="65" customFormat="1" ht="15.75">
      <c r="A4" s="287" t="s">
        <v>210</v>
      </c>
      <c r="B4" s="288"/>
      <c r="C4" s="288"/>
      <c r="D4" s="289"/>
      <c r="E4" s="63">
        <v>195</v>
      </c>
      <c r="F4" s="64"/>
      <c r="G4" s="64"/>
      <c r="H4" s="64"/>
      <c r="I4" s="64"/>
      <c r="J4" s="64"/>
      <c r="K4" s="64"/>
      <c r="L4" s="64"/>
    </row>
    <row r="5" spans="1:19" s="65" customFormat="1" ht="15.75">
      <c r="A5" s="287" t="s">
        <v>211</v>
      </c>
      <c r="B5" s="288"/>
      <c r="C5" s="288"/>
      <c r="D5" s="289"/>
      <c r="E5" s="63">
        <v>195</v>
      </c>
      <c r="F5" s="64"/>
      <c r="G5" s="64"/>
      <c r="H5" s="64"/>
      <c r="I5" s="64"/>
      <c r="J5" s="64"/>
      <c r="K5" s="64"/>
      <c r="L5" s="64"/>
    </row>
    <row r="6" spans="1:19" s="65" customFormat="1" ht="15.75">
      <c r="A6" s="287" t="s">
        <v>212</v>
      </c>
      <c r="B6" s="288"/>
      <c r="C6" s="288"/>
      <c r="D6" s="289"/>
      <c r="E6" s="63">
        <v>0</v>
      </c>
      <c r="F6" s="64"/>
      <c r="G6" s="64"/>
      <c r="H6" s="64"/>
      <c r="I6" s="64"/>
      <c r="J6" s="64"/>
      <c r="K6" s="64"/>
      <c r="L6" s="64"/>
    </row>
    <row r="7" spans="1:19" s="65" customFormat="1" ht="15.75"/>
    <row r="8" spans="1:19" s="65" customFormat="1" ht="63" customHeight="1">
      <c r="A8" s="66" t="s">
        <v>213</v>
      </c>
      <c r="B8" s="290" t="s">
        <v>214</v>
      </c>
      <c r="C8" s="291"/>
      <c r="D8" s="67" t="s">
        <v>215</v>
      </c>
      <c r="E8" s="68"/>
      <c r="F8" s="68"/>
      <c r="G8" s="68"/>
      <c r="H8" s="68"/>
      <c r="I8" s="68"/>
      <c r="J8" s="68"/>
      <c r="K8" s="68"/>
      <c r="L8" s="64"/>
    </row>
    <row r="9" spans="1:19" s="65" customFormat="1" ht="15.75">
      <c r="A9" s="63">
        <v>9</v>
      </c>
      <c r="B9" s="284"/>
      <c r="C9" s="285"/>
      <c r="D9" s="69"/>
      <c r="E9" s="64"/>
      <c r="F9" s="64"/>
      <c r="G9" s="64"/>
      <c r="H9" s="64"/>
      <c r="I9" s="64"/>
      <c r="J9" s="64"/>
      <c r="K9" s="64"/>
      <c r="L9" s="64"/>
    </row>
    <row r="10" spans="1:19" s="65" customFormat="1" ht="15.75">
      <c r="A10" s="63">
        <v>8</v>
      </c>
      <c r="B10" s="284"/>
      <c r="C10" s="285"/>
      <c r="D10" s="69"/>
      <c r="E10" s="64"/>
      <c r="F10" s="64"/>
      <c r="G10" s="64"/>
      <c r="H10" s="64"/>
      <c r="I10" s="64"/>
      <c r="J10" s="64"/>
      <c r="K10" s="64"/>
      <c r="L10" s="64"/>
    </row>
    <row r="11" spans="1:19" s="65" customFormat="1" ht="15.75">
      <c r="A11" s="63">
        <v>7</v>
      </c>
      <c r="B11" s="284"/>
      <c r="C11" s="285"/>
      <c r="D11" s="69"/>
      <c r="E11" s="64"/>
      <c r="F11" s="64"/>
      <c r="G11" s="64"/>
      <c r="H11" s="64"/>
      <c r="I11" s="64"/>
      <c r="J11" s="64"/>
      <c r="K11" s="64"/>
      <c r="L11" s="64"/>
    </row>
    <row r="12" spans="1:19" s="65" customFormat="1" ht="15.75">
      <c r="A12" s="63">
        <v>6</v>
      </c>
      <c r="B12" s="284"/>
      <c r="C12" s="285"/>
      <c r="D12" s="69"/>
      <c r="E12" s="64"/>
      <c r="F12" s="64"/>
      <c r="G12" s="64"/>
      <c r="H12" s="64"/>
      <c r="I12" s="64"/>
      <c r="J12" s="64"/>
      <c r="K12" s="64"/>
      <c r="L12" s="64"/>
    </row>
    <row r="13" spans="1:19" s="65" customFormat="1" ht="15.75">
      <c r="A13" s="63">
        <v>5</v>
      </c>
      <c r="B13" s="284"/>
      <c r="C13" s="285"/>
      <c r="D13" s="69"/>
      <c r="E13" s="64"/>
      <c r="F13" s="64"/>
      <c r="G13" s="64"/>
      <c r="H13" s="64"/>
      <c r="I13" s="64"/>
      <c r="J13" s="64"/>
      <c r="K13" s="64"/>
      <c r="L13" s="64"/>
    </row>
    <row r="14" spans="1:19" s="65" customFormat="1" ht="15.75">
      <c r="A14" s="63">
        <v>4</v>
      </c>
      <c r="B14" s="284"/>
      <c r="C14" s="285"/>
      <c r="D14" s="69"/>
      <c r="E14" s="64"/>
      <c r="F14" s="64"/>
      <c r="G14" s="64"/>
      <c r="H14" s="64"/>
      <c r="I14" s="64"/>
      <c r="J14" s="64"/>
      <c r="K14" s="64"/>
      <c r="L14" s="64"/>
    </row>
    <row r="15" spans="1:19" s="65" customFormat="1" ht="15.75">
      <c r="A15" s="63">
        <v>3</v>
      </c>
      <c r="B15" s="284"/>
      <c r="C15" s="285"/>
      <c r="D15" s="69"/>
    </row>
    <row r="16" spans="1:19" s="65" customFormat="1" ht="15.75">
      <c r="A16" s="63">
        <v>2</v>
      </c>
      <c r="B16" s="284"/>
      <c r="C16" s="285"/>
      <c r="D16" s="69"/>
    </row>
    <row r="17" spans="1:19" s="65" customFormat="1" ht="15.75">
      <c r="A17" s="63">
        <v>1</v>
      </c>
      <c r="B17" s="284"/>
      <c r="C17" s="285"/>
      <c r="D17" s="69"/>
    </row>
    <row r="18" spans="1:19" s="65" customFormat="1" ht="15.75">
      <c r="A18" s="63">
        <v>0</v>
      </c>
      <c r="B18" s="284"/>
      <c r="C18" s="285"/>
      <c r="D18" s="69"/>
    </row>
    <row r="19" spans="1:19" s="65" customFormat="1" ht="15.75">
      <c r="A19" s="67" t="s">
        <v>7</v>
      </c>
      <c r="B19" s="286">
        <v>195</v>
      </c>
      <c r="C19" s="286"/>
    </row>
    <row r="21" spans="1:19" ht="19.5">
      <c r="A21" s="70"/>
      <c r="B21" s="71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</row>
    <row r="22" spans="1:19" ht="24.75" customHeight="1">
      <c r="A22" s="70"/>
      <c r="B22" s="70"/>
      <c r="C22" s="72" t="s">
        <v>216</v>
      </c>
      <c r="D22" s="73" t="s">
        <v>215</v>
      </c>
    </row>
    <row r="23" spans="1:19" ht="21.6" customHeight="1">
      <c r="A23" s="282" t="s">
        <v>217</v>
      </c>
      <c r="B23" s="283"/>
      <c r="C23" s="74"/>
      <c r="D23" s="75">
        <f>C23/B19</f>
        <v>0</v>
      </c>
    </row>
    <row r="24" spans="1:19" ht="21.6" customHeight="1">
      <c r="A24" s="282" t="s">
        <v>218</v>
      </c>
      <c r="B24" s="283"/>
      <c r="C24" s="74"/>
      <c r="D24" s="75">
        <f>C24/B19</f>
        <v>0</v>
      </c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</row>
  </sheetData>
  <mergeCells count="19">
    <mergeCell ref="B14:C14"/>
    <mergeCell ref="A1:S1"/>
    <mergeCell ref="A2:S2"/>
    <mergeCell ref="A4:D4"/>
    <mergeCell ref="A5:D5"/>
    <mergeCell ref="A6:D6"/>
    <mergeCell ref="B8:C8"/>
    <mergeCell ref="B9:C9"/>
    <mergeCell ref="B10:C10"/>
    <mergeCell ref="B11:C11"/>
    <mergeCell ref="B12:C12"/>
    <mergeCell ref="B13:C13"/>
    <mergeCell ref="A24:B24"/>
    <mergeCell ref="B15:C15"/>
    <mergeCell ref="B16:C16"/>
    <mergeCell ref="B17:C17"/>
    <mergeCell ref="B18:C18"/>
    <mergeCell ref="B19:C19"/>
    <mergeCell ref="A23:B23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C3" sqref="C3:C21"/>
    </sheetView>
  </sheetViews>
  <sheetFormatPr defaultRowHeight="12.7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6"/>
  <sheetViews>
    <sheetView tabSelected="1" view="pageLayout" topLeftCell="A3" zoomScale="78" zoomScaleNormal="100" zoomScalePageLayoutView="78" workbookViewId="0">
      <selection activeCell="I16" sqref="I16"/>
    </sheetView>
  </sheetViews>
  <sheetFormatPr defaultColWidth="11.42578125" defaultRowHeight="15"/>
  <cols>
    <col min="1" max="1" width="15.28515625" style="116" customWidth="1"/>
    <col min="2" max="2" width="11.28515625" style="116" customWidth="1"/>
    <col min="3" max="12" width="5.140625" style="116" customWidth="1"/>
    <col min="13" max="13" width="12.28515625" style="116" customWidth="1"/>
    <col min="14" max="14" width="10.7109375" style="116" customWidth="1"/>
    <col min="15" max="15" width="12" style="116" customWidth="1"/>
    <col min="16" max="16" width="14.42578125" style="116" customWidth="1"/>
    <col min="17" max="16384" width="11.42578125" style="116"/>
  </cols>
  <sheetData>
    <row r="1" spans="1:16" ht="30">
      <c r="A1" s="292" t="s">
        <v>219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</row>
    <row r="2" spans="1:16" ht="17.25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</row>
    <row r="3" spans="1:16" s="119" customFormat="1" ht="32.25" customHeight="1" thickBot="1">
      <c r="A3" s="118"/>
      <c r="B3" s="293" t="s">
        <v>220</v>
      </c>
      <c r="C3" s="297" t="s">
        <v>221</v>
      </c>
      <c r="D3" s="297"/>
      <c r="E3" s="297"/>
      <c r="F3" s="297"/>
      <c r="G3" s="297"/>
      <c r="H3" s="297"/>
      <c r="I3" s="297"/>
      <c r="J3" s="297"/>
      <c r="K3" s="297"/>
      <c r="L3" s="298"/>
      <c r="M3" s="295" t="s">
        <v>222</v>
      </c>
      <c r="N3" s="296"/>
      <c r="O3" s="295" t="s">
        <v>223</v>
      </c>
      <c r="P3" s="296"/>
    </row>
    <row r="4" spans="1:16" s="119" customFormat="1" ht="32.25" customHeight="1">
      <c r="A4" s="118"/>
      <c r="B4" s="294"/>
      <c r="C4" s="172">
        <v>9</v>
      </c>
      <c r="D4" s="173">
        <v>8</v>
      </c>
      <c r="E4" s="173">
        <v>7</v>
      </c>
      <c r="F4" s="173">
        <v>6</v>
      </c>
      <c r="G4" s="173">
        <v>5</v>
      </c>
      <c r="H4" s="173">
        <v>4</v>
      </c>
      <c r="I4" s="173">
        <v>3</v>
      </c>
      <c r="J4" s="173">
        <v>2</v>
      </c>
      <c r="K4" s="173">
        <v>1</v>
      </c>
      <c r="L4" s="179">
        <v>0</v>
      </c>
      <c r="M4" s="182" t="s">
        <v>220</v>
      </c>
      <c r="N4" s="183" t="s">
        <v>215</v>
      </c>
      <c r="O4" s="182" t="s">
        <v>220</v>
      </c>
      <c r="P4" s="183" t="s">
        <v>215</v>
      </c>
    </row>
    <row r="5" spans="1:16" s="119" customFormat="1" ht="29.25" customHeight="1">
      <c r="A5" s="138" t="s">
        <v>224</v>
      </c>
      <c r="B5" s="199">
        <f>SUM(C5:L5)</f>
        <v>18</v>
      </c>
      <c r="C5" s="174">
        <f>[1]Master!$AZ$47</f>
        <v>2</v>
      </c>
      <c r="D5" s="170">
        <f>[1]Master!$AZ$48</f>
        <v>4</v>
      </c>
      <c r="E5" s="170">
        <f>[1]Master!$AZ$49</f>
        <v>3</v>
      </c>
      <c r="F5" s="170">
        <f>[1]Master!$AZ$50</f>
        <v>6</v>
      </c>
      <c r="G5" s="170">
        <f>[1]Master!$AZ$51</f>
        <v>1</v>
      </c>
      <c r="H5" s="170">
        <f>[1]Master!$AZ$52</f>
        <v>1</v>
      </c>
      <c r="I5" s="170">
        <f>[1]Master!$AZ$53</f>
        <v>1</v>
      </c>
      <c r="J5" s="170">
        <f>[1]Master!$AZ$54</f>
        <v>0</v>
      </c>
      <c r="K5" s="170">
        <f>[1]Master!$AZ$55</f>
        <v>0</v>
      </c>
      <c r="L5" s="180">
        <f>[1]Master!$AZ$56</f>
        <v>0</v>
      </c>
      <c r="M5" s="184">
        <f>SUM(C5:G5)</f>
        <v>16</v>
      </c>
      <c r="N5" s="185">
        <f>M5/B5</f>
        <v>0.88888888888888884</v>
      </c>
      <c r="O5" s="184">
        <f>SUM(C5:I5)</f>
        <v>18</v>
      </c>
      <c r="P5" s="187">
        <f t="shared" ref="P5:P12" si="0">O5/B5</f>
        <v>1</v>
      </c>
    </row>
    <row r="6" spans="1:16" s="119" customFormat="1" ht="29.25" customHeight="1">
      <c r="A6" s="138" t="s">
        <v>225</v>
      </c>
      <c r="B6" s="199">
        <f t="shared" ref="B6:B11" si="1">SUM(C6:L6)</f>
        <v>15</v>
      </c>
      <c r="C6" s="174">
        <f>[2]Master!$AZ$47</f>
        <v>0</v>
      </c>
      <c r="D6" s="170">
        <f>[2]Master!$AZ$48</f>
        <v>1</v>
      </c>
      <c r="E6" s="170">
        <f>[2]Master!$AZ$49</f>
        <v>3</v>
      </c>
      <c r="F6" s="170">
        <f>[2]Master!$AZ$50</f>
        <v>3</v>
      </c>
      <c r="G6" s="170">
        <f>[2]Master!$AZ$51</f>
        <v>5</v>
      </c>
      <c r="H6" s="170">
        <f>[2]Master!$AZ$52</f>
        <v>2</v>
      </c>
      <c r="I6" s="170">
        <f>[2]Master!$AZ$53</f>
        <v>0</v>
      </c>
      <c r="J6" s="170">
        <f>[2]Master!$AZ$54</f>
        <v>1</v>
      </c>
      <c r="K6" s="170">
        <f>[2]Master!$AZ$55</f>
        <v>0</v>
      </c>
      <c r="L6" s="180">
        <f>[2]Master!$AZ$56</f>
        <v>0</v>
      </c>
      <c r="M6" s="184">
        <f t="shared" ref="M6:M10" si="2">SUM(C6:G6)</f>
        <v>12</v>
      </c>
      <c r="N6" s="185">
        <f t="shared" ref="N6:N12" si="3">M6/B6</f>
        <v>0.8</v>
      </c>
      <c r="O6" s="184">
        <f t="shared" ref="O6:O12" si="4">SUM(C6:I6)</f>
        <v>14</v>
      </c>
      <c r="P6" s="187">
        <f t="shared" si="0"/>
        <v>0.93333333333333335</v>
      </c>
    </row>
    <row r="7" spans="1:16" s="119" customFormat="1" ht="29.25" customHeight="1">
      <c r="A7" s="138" t="s">
        <v>226</v>
      </c>
      <c r="B7" s="199">
        <f t="shared" si="1"/>
        <v>19</v>
      </c>
      <c r="C7" s="174">
        <v>2</v>
      </c>
      <c r="D7" s="170">
        <v>1</v>
      </c>
      <c r="E7" s="170">
        <v>0</v>
      </c>
      <c r="F7" s="170">
        <v>0</v>
      </c>
      <c r="G7" s="170">
        <v>0</v>
      </c>
      <c r="H7" s="170">
        <v>2</v>
      </c>
      <c r="I7" s="170">
        <v>8</v>
      </c>
      <c r="J7" s="170">
        <v>2</v>
      </c>
      <c r="K7" s="170">
        <v>4</v>
      </c>
      <c r="L7" s="180">
        <v>0</v>
      </c>
      <c r="M7" s="184">
        <f t="shared" si="2"/>
        <v>3</v>
      </c>
      <c r="N7" s="185">
        <f t="shared" si="3"/>
        <v>0.15789473684210525</v>
      </c>
      <c r="O7" s="184">
        <f t="shared" si="4"/>
        <v>13</v>
      </c>
      <c r="P7" s="187">
        <f t="shared" si="0"/>
        <v>0.68421052631578949</v>
      </c>
    </row>
    <row r="8" spans="1:16" s="119" customFormat="1" ht="29.25" customHeight="1">
      <c r="A8" s="138" t="s">
        <v>27</v>
      </c>
      <c r="B8" s="199">
        <f t="shared" si="1"/>
        <v>24</v>
      </c>
      <c r="C8" s="174">
        <v>0</v>
      </c>
      <c r="D8" s="170">
        <v>0</v>
      </c>
      <c r="E8" s="170">
        <v>0</v>
      </c>
      <c r="F8" s="170">
        <v>3</v>
      </c>
      <c r="G8" s="170">
        <v>4</v>
      </c>
      <c r="H8" s="170">
        <v>5</v>
      </c>
      <c r="I8" s="170">
        <v>5</v>
      </c>
      <c r="J8" s="170">
        <v>5</v>
      </c>
      <c r="K8" s="170">
        <v>2</v>
      </c>
      <c r="L8" s="180">
        <v>0</v>
      </c>
      <c r="M8" s="184">
        <f t="shared" si="2"/>
        <v>7</v>
      </c>
      <c r="N8" s="185">
        <f t="shared" si="3"/>
        <v>0.29166666666666669</v>
      </c>
      <c r="O8" s="184">
        <f t="shared" si="4"/>
        <v>17</v>
      </c>
      <c r="P8" s="187">
        <f t="shared" si="0"/>
        <v>0.70833333333333337</v>
      </c>
    </row>
    <row r="9" spans="1:16" s="119" customFormat="1" ht="29.25" customHeight="1">
      <c r="A9" s="138" t="s">
        <v>29</v>
      </c>
      <c r="B9" s="199">
        <f t="shared" si="1"/>
        <v>19</v>
      </c>
      <c r="C9" s="174">
        <v>0</v>
      </c>
      <c r="D9" s="170">
        <v>0</v>
      </c>
      <c r="E9" s="170">
        <v>1</v>
      </c>
      <c r="F9" s="170">
        <v>0</v>
      </c>
      <c r="G9" s="170">
        <v>5</v>
      </c>
      <c r="H9" s="170">
        <v>4</v>
      </c>
      <c r="I9" s="170">
        <v>4</v>
      </c>
      <c r="J9" s="170">
        <v>4</v>
      </c>
      <c r="K9" s="170">
        <v>1</v>
      </c>
      <c r="L9" s="180">
        <v>0</v>
      </c>
      <c r="M9" s="184">
        <f t="shared" si="2"/>
        <v>6</v>
      </c>
      <c r="N9" s="185">
        <f t="shared" si="3"/>
        <v>0.31578947368421051</v>
      </c>
      <c r="O9" s="184">
        <f>SUM(C9:I9)</f>
        <v>14</v>
      </c>
      <c r="P9" s="187">
        <f t="shared" si="0"/>
        <v>0.73684210526315785</v>
      </c>
    </row>
    <row r="10" spans="1:16" s="119" customFormat="1" ht="29.25" customHeight="1">
      <c r="A10" s="138" t="s">
        <v>30</v>
      </c>
      <c r="B10" s="199">
        <f t="shared" si="1"/>
        <v>24</v>
      </c>
      <c r="C10" s="174">
        <v>0</v>
      </c>
      <c r="D10" s="170">
        <v>0</v>
      </c>
      <c r="E10" s="170">
        <v>0</v>
      </c>
      <c r="F10" s="170">
        <v>1</v>
      </c>
      <c r="G10" s="170">
        <v>2</v>
      </c>
      <c r="H10" s="170">
        <v>6</v>
      </c>
      <c r="I10" s="170">
        <v>5</v>
      </c>
      <c r="J10" s="170">
        <v>5</v>
      </c>
      <c r="K10" s="170">
        <v>1</v>
      </c>
      <c r="L10" s="180">
        <v>4</v>
      </c>
      <c r="M10" s="184">
        <f t="shared" si="2"/>
        <v>3</v>
      </c>
      <c r="N10" s="185">
        <f t="shared" ref="N10" si="5">M10/B10</f>
        <v>0.125</v>
      </c>
      <c r="O10" s="184">
        <f>SUM(C10:I10)</f>
        <v>14</v>
      </c>
      <c r="P10" s="187">
        <f t="shared" ref="P10" si="6">O10/B10</f>
        <v>0.58333333333333337</v>
      </c>
    </row>
    <row r="11" spans="1:16" s="119" customFormat="1" ht="29.25" customHeight="1">
      <c r="A11" s="138" t="s">
        <v>31</v>
      </c>
      <c r="B11" s="199">
        <f t="shared" si="1"/>
        <v>19</v>
      </c>
      <c r="C11" s="174">
        <v>0</v>
      </c>
      <c r="D11" s="170">
        <v>0</v>
      </c>
      <c r="E11" s="170">
        <v>0</v>
      </c>
      <c r="F11" s="170">
        <v>1</v>
      </c>
      <c r="G11" s="170">
        <v>4</v>
      </c>
      <c r="H11" s="170">
        <v>0</v>
      </c>
      <c r="I11" s="170">
        <v>6</v>
      </c>
      <c r="J11" s="170">
        <v>0</v>
      </c>
      <c r="K11" s="170">
        <v>4</v>
      </c>
      <c r="L11" s="180">
        <v>4</v>
      </c>
      <c r="M11" s="184">
        <f>SUM(C11:G11)</f>
        <v>5</v>
      </c>
      <c r="N11" s="185">
        <f t="shared" si="3"/>
        <v>0.26315789473684209</v>
      </c>
      <c r="O11" s="184">
        <f t="shared" si="4"/>
        <v>11</v>
      </c>
      <c r="P11" s="187">
        <f t="shared" si="0"/>
        <v>0.57894736842105265</v>
      </c>
    </row>
    <row r="12" spans="1:16" s="119" customFormat="1" ht="29.25" customHeight="1">
      <c r="A12" s="138" t="s">
        <v>32</v>
      </c>
      <c r="B12" s="199">
        <f>SUM(C12:L12)</f>
        <v>19</v>
      </c>
      <c r="C12" s="174">
        <v>0</v>
      </c>
      <c r="D12" s="170">
        <v>0</v>
      </c>
      <c r="E12" s="170">
        <v>0</v>
      </c>
      <c r="F12" s="170">
        <v>2</v>
      </c>
      <c r="G12" s="170">
        <v>1</v>
      </c>
      <c r="H12" s="170">
        <v>4</v>
      </c>
      <c r="I12" s="170">
        <v>6</v>
      </c>
      <c r="J12" s="170">
        <v>1</v>
      </c>
      <c r="K12" s="170">
        <v>1</v>
      </c>
      <c r="L12" s="180">
        <v>4</v>
      </c>
      <c r="M12" s="184">
        <f>SUM(C12:L12)</f>
        <v>19</v>
      </c>
      <c r="N12" s="185">
        <f t="shared" si="3"/>
        <v>1</v>
      </c>
      <c r="O12" s="184">
        <f t="shared" si="4"/>
        <v>13</v>
      </c>
      <c r="P12" s="187">
        <f t="shared" si="0"/>
        <v>0.68421052631578949</v>
      </c>
    </row>
    <row r="13" spans="1:16" s="119" customFormat="1" ht="29.25" customHeight="1" thickBot="1">
      <c r="A13" s="139" t="s">
        <v>227</v>
      </c>
      <c r="B13" s="171">
        <f>SUM(C13:L13)</f>
        <v>157</v>
      </c>
      <c r="C13" s="175">
        <f t="shared" ref="C13:L13" si="7">SUM(C5:C12)</f>
        <v>4</v>
      </c>
      <c r="D13" s="176">
        <f t="shared" si="7"/>
        <v>6</v>
      </c>
      <c r="E13" s="176">
        <f t="shared" si="7"/>
        <v>7</v>
      </c>
      <c r="F13" s="176">
        <f t="shared" si="7"/>
        <v>16</v>
      </c>
      <c r="G13" s="176">
        <f t="shared" si="7"/>
        <v>22</v>
      </c>
      <c r="H13" s="176">
        <f t="shared" si="7"/>
        <v>24</v>
      </c>
      <c r="I13" s="176">
        <f t="shared" si="7"/>
        <v>35</v>
      </c>
      <c r="J13" s="176">
        <f t="shared" si="7"/>
        <v>18</v>
      </c>
      <c r="K13" s="176">
        <f t="shared" si="7"/>
        <v>13</v>
      </c>
      <c r="L13" s="181">
        <f t="shared" si="7"/>
        <v>12</v>
      </c>
      <c r="M13" s="186">
        <f>SUM(M5:M12)</f>
        <v>71</v>
      </c>
      <c r="N13" s="121">
        <f>M13/B13</f>
        <v>0.45222929936305734</v>
      </c>
      <c r="O13" s="186">
        <f>SUM(O5:O12)</f>
        <v>114</v>
      </c>
      <c r="P13" s="188">
        <f>O13/B13</f>
        <v>0.72611464968152861</v>
      </c>
    </row>
    <row r="14" spans="1:16" ht="15.75" thickBot="1"/>
    <row r="15" spans="1:16" ht="32.25" customHeight="1">
      <c r="A15" s="134" t="s">
        <v>228</v>
      </c>
      <c r="B15" s="120">
        <f>$N$13</f>
        <v>0.45222929936305734</v>
      </c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18"/>
      <c r="N15" s="118"/>
      <c r="O15" s="118"/>
      <c r="P15" s="118"/>
    </row>
    <row r="16" spans="1:16" ht="32.25" customHeight="1" thickBot="1">
      <c r="A16" s="135" t="s">
        <v>229</v>
      </c>
      <c r="B16" s="121">
        <f>$P$13</f>
        <v>0.72611464968152861</v>
      </c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18"/>
      <c r="N16" s="118"/>
      <c r="O16" s="118"/>
      <c r="P16" s="118"/>
    </row>
  </sheetData>
  <mergeCells count="5">
    <mergeCell ref="A1:P1"/>
    <mergeCell ref="B3:B4"/>
    <mergeCell ref="M3:N3"/>
    <mergeCell ref="O3:P3"/>
    <mergeCell ref="C3:L3"/>
  </mergeCells>
  <pageMargins left="0.97916666666666663" right="0.33333333333333331" top="0.59375" bottom="0.75" header="0.3" footer="0.3"/>
  <pageSetup paperSize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5"/>
  <sheetViews>
    <sheetView view="pageLayout" zoomScaleNormal="100" workbookViewId="0">
      <selection activeCell="U10" sqref="U10"/>
    </sheetView>
  </sheetViews>
  <sheetFormatPr defaultColWidth="11.42578125" defaultRowHeight="12.75"/>
  <cols>
    <col min="1" max="1" width="10.7109375" style="70" customWidth="1"/>
    <col min="2" max="3" width="6.85546875" style="70" customWidth="1"/>
    <col min="4" max="4" width="7.85546875" style="70" customWidth="1"/>
    <col min="5" max="19" width="6.85546875" style="70" customWidth="1"/>
    <col min="20" max="16384" width="11.42578125" style="70"/>
  </cols>
  <sheetData>
    <row r="1" spans="1:29" ht="31.5">
      <c r="A1" s="303" t="s">
        <v>219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151"/>
    </row>
    <row r="2" spans="1:29" ht="28.5">
      <c r="A2" s="299" t="s">
        <v>184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</row>
    <row r="4" spans="1:29" s="124" customFormat="1" ht="15.75" hidden="1">
      <c r="A4" s="300" t="s">
        <v>210</v>
      </c>
      <c r="B4" s="301"/>
      <c r="C4" s="301"/>
      <c r="D4" s="302"/>
      <c r="E4" s="122">
        <v>200</v>
      </c>
      <c r="F4" s="123"/>
      <c r="G4" s="123"/>
      <c r="H4" s="123"/>
      <c r="I4" s="123"/>
      <c r="J4" s="123"/>
      <c r="K4" s="123"/>
      <c r="L4" s="123"/>
    </row>
    <row r="5" spans="1:29" s="124" customFormat="1" ht="15.75">
      <c r="A5" s="300" t="s">
        <v>211</v>
      </c>
      <c r="B5" s="301"/>
      <c r="C5" s="301"/>
      <c r="D5" s="302"/>
      <c r="E5" s="122">
        <f>$B$19</f>
        <v>166</v>
      </c>
      <c r="F5" s="123"/>
      <c r="G5" s="123"/>
      <c r="H5" s="123"/>
      <c r="I5" s="123"/>
      <c r="J5" s="123"/>
      <c r="K5" s="123"/>
      <c r="L5" s="123"/>
      <c r="AC5" s="124">
        <v>29</v>
      </c>
    </row>
    <row r="6" spans="1:29" s="124" customFormat="1" ht="15.75">
      <c r="A6" s="300" t="s">
        <v>212</v>
      </c>
      <c r="B6" s="301"/>
      <c r="C6" s="301"/>
      <c r="D6" s="302"/>
      <c r="E6" s="122">
        <v>0</v>
      </c>
      <c r="F6" s="123"/>
      <c r="G6" s="123"/>
      <c r="H6" s="123"/>
      <c r="I6" s="123"/>
      <c r="J6" s="123"/>
      <c r="K6" s="123"/>
      <c r="L6" s="123"/>
    </row>
    <row r="7" spans="1:29" s="124" customFormat="1" ht="15.75"/>
    <row r="8" spans="1:29" s="124" customFormat="1" ht="63" customHeight="1">
      <c r="A8" s="125" t="s">
        <v>213</v>
      </c>
      <c r="B8" s="304" t="s">
        <v>214</v>
      </c>
      <c r="C8" s="305"/>
      <c r="D8" s="126" t="s">
        <v>215</v>
      </c>
      <c r="E8" s="127"/>
      <c r="F8" s="127"/>
      <c r="G8" s="127"/>
      <c r="H8" s="127"/>
      <c r="I8" s="127"/>
      <c r="J8" s="127"/>
      <c r="K8" s="127"/>
      <c r="L8" s="123"/>
    </row>
    <row r="9" spans="1:29" s="124" customFormat="1" ht="15.75">
      <c r="A9" s="122">
        <v>9</v>
      </c>
      <c r="B9" s="306">
        <v>3</v>
      </c>
      <c r="C9" s="307"/>
      <c r="D9" s="128">
        <f>B9/B19</f>
        <v>1.8072289156626505E-2</v>
      </c>
      <c r="E9" s="123"/>
      <c r="F9" s="123"/>
      <c r="G9" s="123"/>
      <c r="H9" s="123"/>
      <c r="I9" s="123"/>
      <c r="J9" s="123"/>
      <c r="K9" s="123"/>
      <c r="L9" s="123"/>
    </row>
    <row r="10" spans="1:29" s="124" customFormat="1" ht="15.75">
      <c r="A10" s="122">
        <v>8</v>
      </c>
      <c r="B10" s="306">
        <v>12</v>
      </c>
      <c r="C10" s="307"/>
      <c r="D10" s="128">
        <f>B10/B19</f>
        <v>7.2289156626506021E-2</v>
      </c>
      <c r="E10" s="123"/>
      <c r="F10" s="123"/>
      <c r="G10" s="123"/>
      <c r="H10" s="123"/>
      <c r="I10" s="123"/>
      <c r="J10" s="123"/>
      <c r="K10" s="123"/>
      <c r="L10" s="123"/>
    </row>
    <row r="11" spans="1:29" s="124" customFormat="1" ht="15.75">
      <c r="A11" s="122">
        <v>7</v>
      </c>
      <c r="B11" s="306">
        <v>20</v>
      </c>
      <c r="C11" s="307"/>
      <c r="D11" s="128">
        <f>B11/B19</f>
        <v>0.12048192771084337</v>
      </c>
      <c r="E11" s="123"/>
      <c r="F11" s="123"/>
      <c r="G11" s="123"/>
      <c r="H11" s="123"/>
      <c r="I11" s="123"/>
      <c r="J11" s="123"/>
      <c r="K11" s="123"/>
      <c r="L11" s="123"/>
    </row>
    <row r="12" spans="1:29" s="124" customFormat="1" ht="15.75">
      <c r="A12" s="122">
        <v>6</v>
      </c>
      <c r="B12" s="306">
        <v>31</v>
      </c>
      <c r="C12" s="307"/>
      <c r="D12" s="128">
        <f>B12/B19</f>
        <v>0.18674698795180722</v>
      </c>
      <c r="E12" s="123"/>
      <c r="F12" s="123"/>
      <c r="G12" s="123"/>
      <c r="H12" s="123"/>
      <c r="I12" s="123"/>
      <c r="J12" s="123"/>
      <c r="K12" s="123"/>
      <c r="L12" s="123"/>
    </row>
    <row r="13" spans="1:29" s="124" customFormat="1" ht="15.75">
      <c r="A13" s="122">
        <v>5</v>
      </c>
      <c r="B13" s="306">
        <v>25</v>
      </c>
      <c r="C13" s="307"/>
      <c r="D13" s="128">
        <f>B13/B19</f>
        <v>0.15060240963855423</v>
      </c>
      <c r="E13" s="123"/>
      <c r="F13" s="123"/>
      <c r="G13" s="123"/>
      <c r="H13" s="123"/>
      <c r="I13" s="123"/>
      <c r="J13" s="123"/>
      <c r="K13" s="123"/>
      <c r="L13" s="123"/>
    </row>
    <row r="14" spans="1:29" s="124" customFormat="1" ht="15.75">
      <c r="A14" s="122">
        <v>4</v>
      </c>
      <c r="B14" s="306">
        <v>27</v>
      </c>
      <c r="C14" s="307"/>
      <c r="D14" s="128">
        <f>B14/B19</f>
        <v>0.16265060240963855</v>
      </c>
      <c r="E14" s="123"/>
      <c r="F14" s="123"/>
      <c r="G14" s="123"/>
      <c r="H14" s="123"/>
      <c r="I14" s="123"/>
      <c r="J14" s="123"/>
      <c r="K14" s="123"/>
      <c r="L14" s="123"/>
    </row>
    <row r="15" spans="1:29" s="124" customFormat="1" ht="15.75">
      <c r="A15" s="122">
        <v>3</v>
      </c>
      <c r="B15" s="306">
        <v>25</v>
      </c>
      <c r="C15" s="307"/>
      <c r="D15" s="128">
        <f>B15/B19</f>
        <v>0.15060240963855423</v>
      </c>
    </row>
    <row r="16" spans="1:29" s="124" customFormat="1" ht="15.75">
      <c r="A16" s="122">
        <v>2</v>
      </c>
      <c r="B16" s="306">
        <v>15</v>
      </c>
      <c r="C16" s="307"/>
      <c r="D16" s="128">
        <f>B16/B19</f>
        <v>9.036144578313253E-2</v>
      </c>
    </row>
    <row r="17" spans="1:4" s="124" customFormat="1" ht="15.75">
      <c r="A17" s="122">
        <v>1</v>
      </c>
      <c r="B17" s="306">
        <v>2</v>
      </c>
      <c r="C17" s="307"/>
      <c r="D17" s="128">
        <f>B17/B19</f>
        <v>1.2048192771084338E-2</v>
      </c>
    </row>
    <row r="18" spans="1:4" s="124" customFormat="1" ht="15.75">
      <c r="A18" s="122">
        <v>0</v>
      </c>
      <c r="B18" s="306">
        <v>6</v>
      </c>
      <c r="C18" s="307"/>
      <c r="D18" s="128">
        <f>B18/B19</f>
        <v>3.614457831325301E-2</v>
      </c>
    </row>
    <row r="19" spans="1:4" s="124" customFormat="1" ht="15.75">
      <c r="A19" s="126" t="s">
        <v>7</v>
      </c>
      <c r="B19" s="310">
        <f>SUM(B9:C18)</f>
        <v>166</v>
      </c>
      <c r="C19" s="310"/>
    </row>
    <row r="21" spans="1:4" ht="19.5">
      <c r="B21" s="71"/>
    </row>
    <row r="22" spans="1:4" ht="24.75" customHeight="1">
      <c r="C22" s="129" t="s">
        <v>216</v>
      </c>
      <c r="D22" s="130" t="s">
        <v>215</v>
      </c>
    </row>
    <row r="23" spans="1:4" ht="21.6" customHeight="1">
      <c r="A23" s="308" t="s">
        <v>230</v>
      </c>
      <c r="B23" s="309"/>
      <c r="C23" s="131">
        <f>SUM(B9:C15)</f>
        <v>143</v>
      </c>
      <c r="D23" s="132">
        <f>C23/B19</f>
        <v>0.86144578313253017</v>
      </c>
    </row>
    <row r="24" spans="1:4" ht="21.6" customHeight="1">
      <c r="A24" s="308" t="s">
        <v>217</v>
      </c>
      <c r="B24" s="309"/>
      <c r="C24" s="131">
        <f>SUM(B9:C14)</f>
        <v>118</v>
      </c>
      <c r="D24" s="132">
        <f>C24/B19</f>
        <v>0.71084337349397586</v>
      </c>
    </row>
    <row r="25" spans="1:4" ht="18.75">
      <c r="A25" s="308" t="s">
        <v>218</v>
      </c>
      <c r="B25" s="309"/>
      <c r="C25" s="131">
        <f>SUM(B9:C13)</f>
        <v>91</v>
      </c>
      <c r="D25" s="132">
        <f>C25/B19</f>
        <v>0.54819277108433739</v>
      </c>
    </row>
  </sheetData>
  <mergeCells count="20">
    <mergeCell ref="B13:C13"/>
    <mergeCell ref="B14:C14"/>
    <mergeCell ref="A24:B24"/>
    <mergeCell ref="A25:B25"/>
    <mergeCell ref="B15:C15"/>
    <mergeCell ref="B16:C16"/>
    <mergeCell ref="B17:C17"/>
    <mergeCell ref="B18:C18"/>
    <mergeCell ref="B19:C19"/>
    <mergeCell ref="A23:B23"/>
    <mergeCell ref="B8:C8"/>
    <mergeCell ref="B9:C9"/>
    <mergeCell ref="B10:C10"/>
    <mergeCell ref="B11:C11"/>
    <mergeCell ref="B12:C12"/>
    <mergeCell ref="A2:S2"/>
    <mergeCell ref="A4:D4"/>
    <mergeCell ref="A5:D5"/>
    <mergeCell ref="A6:D6"/>
    <mergeCell ref="A1:S1"/>
  </mergeCells>
  <pageMargins left="0.53125" right="6.9444444444444448E-2" top="0.75" bottom="0.75" header="0.3" footer="1.3888888888888888E-2"/>
  <pageSetup paperSize="5" orientation="landscape" horizontalDpi="4294967292" verticalDpi="4294967292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654dc4-867b-4591-8088-9c5fa2ce1fc8">
      <Terms xmlns="http://schemas.microsoft.com/office/infopath/2007/PartnerControls"/>
    </lcf76f155ced4ddcb4097134ff3c332f>
    <TaxCatchAll xmlns="0737c322-3a19-4541-9cff-efbbbad6ee0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EA2EE18CB3E64ABAFABBB6986B9A32" ma:contentTypeVersion="14" ma:contentTypeDescription="Create a new document." ma:contentTypeScope="" ma:versionID="77c17746d369f830365a0228d73cb1b5">
  <xsd:schema xmlns:xsd="http://www.w3.org/2001/XMLSchema" xmlns:xs="http://www.w3.org/2001/XMLSchema" xmlns:p="http://schemas.microsoft.com/office/2006/metadata/properties" xmlns:ns2="22654dc4-867b-4591-8088-9c5fa2ce1fc8" xmlns:ns3="0737c322-3a19-4541-9cff-efbbbad6ee01" targetNamespace="http://schemas.microsoft.com/office/2006/metadata/properties" ma:root="true" ma:fieldsID="3736ab6d7162001d2a86e1ec8790087a" ns2:_="" ns3:_="">
    <xsd:import namespace="22654dc4-867b-4591-8088-9c5fa2ce1fc8"/>
    <xsd:import namespace="0737c322-3a19-4541-9cff-efbbbad6ee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654dc4-867b-4591-8088-9c5fa2ce1f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d106d83-448a-4aa3-89fb-861fa519b0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7c322-3a19-4541-9cff-efbbbad6ee0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a653ab-a2e0-46a8-b5e6-02da2c4d25bd}" ma:internalName="TaxCatchAll" ma:showField="CatchAllData" ma:web="0737c322-3a19-4541-9cff-efbbbad6ee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57C52D-DA10-4736-ABCC-FEA3950F3B69}"/>
</file>

<file path=customXml/itemProps2.xml><?xml version="1.0" encoding="utf-8"?>
<ds:datastoreItem xmlns:ds="http://schemas.openxmlformats.org/officeDocument/2006/customXml" ds:itemID="{DB551DED-F782-4A69-87AC-32AE128DB795}"/>
</file>

<file path=customXml/itemProps3.xml><?xml version="1.0" encoding="utf-8"?>
<ds:datastoreItem xmlns:ds="http://schemas.openxmlformats.org/officeDocument/2006/customXml" ds:itemID="{EF7EA58F-72B2-4FFF-9507-87B8DC3F90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COMPAQ ITD</dc:creator>
  <cp:keywords/>
  <dc:description/>
  <cp:lastModifiedBy>exam section SMPAPHM 2025</cp:lastModifiedBy>
  <cp:revision/>
  <dcterms:created xsi:type="dcterms:W3CDTF">2005-03-29T23:57:46Z</dcterms:created>
  <dcterms:modified xsi:type="dcterms:W3CDTF">2025-11-30T13:14:55Z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0x0101004FEA2EE18CB3E64ABAFABBB6986B9A32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_activity">
    <vt:lpwstr>{"FileActivityType":"9","FileActivityTimeStamp":"2025-07-29T12:05:09.490Z","FileActivityUsersOnPage":[{"DisplayName":"exam section SMPAPHM 2025","Id":"exam.section@smpapmasna.edu.moe.bn"}],"FileActivityNavigationId":null}</vt:lpwstr>
  </property>
  <property fmtid="{D5CDD505-2E9C-101B-9397-08002B2CF9AE}" pid="9" name="TriggerFlowInfo">
    <vt:lpwstr/>
  </property>
</Properties>
</file>