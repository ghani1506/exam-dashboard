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updateLinks="always"/>
  <mc:AlternateContent xmlns:mc="http://schemas.openxmlformats.org/markup-compatibility/2006">
    <mc:Choice Requires="x15">
      <x15ac:absPath xmlns:x15ac="http://schemas.microsoft.com/office/spreadsheetml/2010/11/ac" url="C:\Users\C24\Downloads\"/>
    </mc:Choice>
  </mc:AlternateContent>
  <xr:revisionPtr revIDLastSave="742" documentId="13_ncr:1_{4BE2A80B-88A6-4298-BA46-DE1C90A1CD60}" xr6:coauthVersionLast="47" xr6:coauthVersionMax="47" xr10:uidLastSave="{D1AE5458-9A9A-4F50-98D9-9A38E5170C24}"/>
  <bookViews>
    <workbookView xWindow="4170" yWindow="2250" windowWidth="21630" windowHeight="10755" xr2:uid="{00000000-000D-0000-FFFF-FFFF00000000}"/>
  </bookViews>
  <sheets>
    <sheet name="YEAR 7" sheetId="19" r:id="rId1"/>
    <sheet name="CHART" sheetId="20" r:id="rId2"/>
    <sheet name="3'O' and 5'O' &amp; above" sheetId="22" r:id="rId3"/>
    <sheet name="No.of Credits Attained" sheetId="23" r:id="rId4"/>
    <sheet name="class avg" sheetId="18" state="hidden" r:id="rId5"/>
    <sheet name="By Class" sheetId="21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Print_Area" localSheetId="5">'By Class'!$A$85:$P$110</definedName>
    <definedName name="_xlnm.Print_Area" localSheetId="4">'class avg'!$A$1:$N$35</definedName>
    <definedName name="_xlnm.Print_Area" localSheetId="0">'YEAR 7'!$A$1:$P$116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9" l="1" a="1"/>
  <c r="D76" i="19"/>
  <c r="A1" i="23"/>
  <c r="C11" i="22" a="1"/>
  <c r="C11" i="22"/>
  <c r="L11" i="22" s="1"/>
  <c r="C10" i="22" a="1"/>
  <c r="C10" i="22"/>
  <c r="L10" i="22" s="1"/>
  <c r="C9" i="22" a="1"/>
  <c r="C9" i="22"/>
  <c r="L9" i="22" s="1"/>
  <c r="C8" i="22" a="1"/>
  <c r="C8" i="22"/>
  <c r="L8" i="22" s="1"/>
  <c r="C7" i="22" a="1"/>
  <c r="C7" i="22"/>
  <c r="L7" i="22" s="1"/>
  <c r="C6" i="22" a="1"/>
  <c r="C6" i="22"/>
  <c r="L6" i="22" s="1"/>
  <c r="B6" i="22"/>
  <c r="B7" i="22"/>
  <c r="B8" i="22"/>
  <c r="B9" i="22"/>
  <c r="B10" i="22"/>
  <c r="B11" i="22"/>
  <c r="C5" i="22" a="1"/>
  <c r="C5" i="22"/>
  <c r="D91" i="19" a="1"/>
  <c r="D91" i="19"/>
  <c r="D70" i="19" a="1"/>
  <c r="D70" i="19"/>
  <c r="D58" i="19" a="1"/>
  <c r="D58" i="19"/>
  <c r="D46" i="19" a="1"/>
  <c r="D46" i="19"/>
  <c r="D34" i="19" a="1"/>
  <c r="D34" i="19"/>
  <c r="D22" i="19" a="1"/>
  <c r="D22" i="19"/>
  <c r="D10" i="19" a="1"/>
  <c r="D10" i="19"/>
  <c r="D90" i="19" a="1"/>
  <c r="D90" i="19"/>
  <c r="D45" i="19" a="1"/>
  <c r="D45" i="19"/>
  <c r="D69" i="19" a="1"/>
  <c r="D69" i="19"/>
  <c r="D33" i="19" a="1"/>
  <c r="D33" i="19"/>
  <c r="D57" i="19" a="1"/>
  <c r="D57" i="19"/>
  <c r="D21" i="19" a="1"/>
  <c r="D21" i="19"/>
  <c r="D9" i="19" a="1"/>
  <c r="D9" i="19"/>
  <c r="D56" i="19" a="1"/>
  <c r="D56" i="19"/>
  <c r="D54" i="19" a="1"/>
  <c r="D54" i="19"/>
  <c r="D55" i="19" a="1"/>
  <c r="D55" i="19"/>
  <c r="D79" i="19" a="1"/>
  <c r="D79" i="19"/>
  <c r="D89" i="19" a="1"/>
  <c r="D89" i="19"/>
  <c r="D44" i="19" a="1"/>
  <c r="D44" i="19"/>
  <c r="D68" i="19" a="1"/>
  <c r="D68" i="19"/>
  <c r="D67" i="19" a="1"/>
  <c r="D67" i="19"/>
  <c r="D32" i="19" a="1"/>
  <c r="D32" i="19"/>
  <c r="D8" i="19" a="1"/>
  <c r="D8" i="19"/>
  <c r="D20" i="19" a="1"/>
  <c r="D20" i="19"/>
  <c r="D78" i="19" a="1"/>
  <c r="D78" i="19"/>
  <c r="D88" i="19" a="1"/>
  <c r="D88" i="19"/>
  <c r="D43" i="19" a="1"/>
  <c r="D43" i="19"/>
  <c r="D66" i="19" a="1"/>
  <c r="D66" i="19"/>
  <c r="D31" i="19" a="1"/>
  <c r="D31" i="19"/>
  <c r="D19" i="19" a="1"/>
  <c r="D19" i="19"/>
  <c r="D7" i="19" a="1"/>
  <c r="D7" i="19"/>
  <c r="D77" i="19" a="1"/>
  <c r="D77" i="19"/>
  <c r="D87" i="19" a="1"/>
  <c r="D87" i="19"/>
  <c r="D42" i="19" a="1"/>
  <c r="D42" i="19"/>
  <c r="D30" i="19" a="1"/>
  <c r="D30" i="19"/>
  <c r="D18" i="19" a="1"/>
  <c r="D18" i="19"/>
  <c r="D6" i="19" a="1"/>
  <c r="D6" i="19"/>
  <c r="D98" i="19" a="1"/>
  <c r="D98" i="19"/>
  <c r="D86" i="19" a="1"/>
  <c r="D86" i="19"/>
  <c r="D41" i="19" a="1"/>
  <c r="D41" i="19"/>
  <c r="D65" i="19" a="1"/>
  <c r="D65" i="19"/>
  <c r="D29" i="19" a="1"/>
  <c r="D29" i="19"/>
  <c r="D53" i="19" a="1"/>
  <c r="D53" i="19"/>
  <c r="D17" i="19" a="1"/>
  <c r="D17" i="19"/>
  <c r="D5" i="19" a="1"/>
  <c r="D5" i="19"/>
  <c r="D40" i="19" a="1"/>
  <c r="D40" i="19"/>
  <c r="D28" i="19" a="1"/>
  <c r="D28" i="19"/>
  <c r="D97" i="19" a="1"/>
  <c r="D97" i="19"/>
  <c r="D85" i="19" a="1"/>
  <c r="D85" i="19"/>
  <c r="D64" i="19" a="1"/>
  <c r="D64" i="19"/>
  <c r="D52" i="19" a="1"/>
  <c r="D52" i="19"/>
  <c r="D16" i="19" a="1"/>
  <c r="D16" i="19"/>
  <c r="D4" i="19" a="1"/>
  <c r="D4" i="19"/>
  <c r="C17" i="19"/>
  <c r="O98" i="19"/>
  <c r="M98" i="19"/>
  <c r="C98" i="19"/>
  <c r="O97" i="19"/>
  <c r="M97" i="19"/>
  <c r="C97" i="19"/>
  <c r="L92" i="19"/>
  <c r="K92" i="19"/>
  <c r="J92" i="19"/>
  <c r="I92" i="19"/>
  <c r="H92" i="19"/>
  <c r="G92" i="19"/>
  <c r="F92" i="19"/>
  <c r="E92" i="19"/>
  <c r="D92" i="19"/>
  <c r="O91" i="19"/>
  <c r="M91" i="19"/>
  <c r="C91" i="19"/>
  <c r="O90" i="19"/>
  <c r="M90" i="19"/>
  <c r="C90" i="19"/>
  <c r="O89" i="19"/>
  <c r="M89" i="19"/>
  <c r="C89" i="19"/>
  <c r="O88" i="19"/>
  <c r="M88" i="19"/>
  <c r="C88" i="19"/>
  <c r="O87" i="19"/>
  <c r="M87" i="19"/>
  <c r="C87" i="19"/>
  <c r="O86" i="19"/>
  <c r="M86" i="19"/>
  <c r="C86" i="19"/>
  <c r="O85" i="19"/>
  <c r="M85" i="19"/>
  <c r="C85" i="19"/>
  <c r="O79" i="19"/>
  <c r="M79" i="19"/>
  <c r="O78" i="19"/>
  <c r="M78" i="19"/>
  <c r="O77" i="19"/>
  <c r="M77" i="19"/>
  <c r="O76" i="19"/>
  <c r="M76" i="19"/>
  <c r="L71" i="19"/>
  <c r="K71" i="19"/>
  <c r="J71" i="19"/>
  <c r="I71" i="19"/>
  <c r="H71" i="19"/>
  <c r="G71" i="19"/>
  <c r="F71" i="19"/>
  <c r="E71" i="19"/>
  <c r="D71" i="19"/>
  <c r="O70" i="19"/>
  <c r="M70" i="19"/>
  <c r="C70" i="19"/>
  <c r="O69" i="19"/>
  <c r="M69" i="19"/>
  <c r="C69" i="19"/>
  <c r="O68" i="19"/>
  <c r="M68" i="19"/>
  <c r="C68" i="19"/>
  <c r="O67" i="19"/>
  <c r="M67" i="19"/>
  <c r="C67" i="19"/>
  <c r="O66" i="19"/>
  <c r="M66" i="19"/>
  <c r="C66" i="19"/>
  <c r="O65" i="19"/>
  <c r="M65" i="19"/>
  <c r="C65" i="19"/>
  <c r="O64" i="19"/>
  <c r="M64" i="19"/>
  <c r="C64" i="19"/>
  <c r="L59" i="19"/>
  <c r="K59" i="19"/>
  <c r="J59" i="19"/>
  <c r="I59" i="19"/>
  <c r="H59" i="19"/>
  <c r="G59" i="19"/>
  <c r="F59" i="19"/>
  <c r="E59" i="19"/>
  <c r="D59" i="19"/>
  <c r="O58" i="19"/>
  <c r="M58" i="19"/>
  <c r="C58" i="19"/>
  <c r="O57" i="19"/>
  <c r="M57" i="19"/>
  <c r="C57" i="19"/>
  <c r="O56" i="19"/>
  <c r="M56" i="19"/>
  <c r="C56" i="19"/>
  <c r="O55" i="19"/>
  <c r="M55" i="19"/>
  <c r="C55" i="19"/>
  <c r="O54" i="19"/>
  <c r="M54" i="19"/>
  <c r="C54" i="19"/>
  <c r="O53" i="19"/>
  <c r="M53" i="19"/>
  <c r="C53" i="19"/>
  <c r="O52" i="19"/>
  <c r="M52" i="19"/>
  <c r="C52" i="19"/>
  <c r="L47" i="19"/>
  <c r="K47" i="19"/>
  <c r="J47" i="19"/>
  <c r="I47" i="19"/>
  <c r="H47" i="19"/>
  <c r="G47" i="19"/>
  <c r="F47" i="19"/>
  <c r="E47" i="19"/>
  <c r="D47" i="19"/>
  <c r="O46" i="19"/>
  <c r="M46" i="19"/>
  <c r="C46" i="19"/>
  <c r="O45" i="19"/>
  <c r="M45" i="19"/>
  <c r="C45" i="19"/>
  <c r="O44" i="19"/>
  <c r="M44" i="19"/>
  <c r="C44" i="19"/>
  <c r="O43" i="19"/>
  <c r="M43" i="19"/>
  <c r="C43" i="19"/>
  <c r="O42" i="19"/>
  <c r="M42" i="19"/>
  <c r="C42" i="19"/>
  <c r="O41" i="19"/>
  <c r="M41" i="19"/>
  <c r="C41" i="19"/>
  <c r="O40" i="19"/>
  <c r="M40" i="19"/>
  <c r="C40" i="19"/>
  <c r="L35" i="19"/>
  <c r="K35" i="19"/>
  <c r="J35" i="19"/>
  <c r="I35" i="19"/>
  <c r="H35" i="19"/>
  <c r="G35" i="19"/>
  <c r="F35" i="19"/>
  <c r="E35" i="19"/>
  <c r="D35" i="19"/>
  <c r="O34" i="19"/>
  <c r="M34" i="19"/>
  <c r="C34" i="19"/>
  <c r="O33" i="19"/>
  <c r="M33" i="19"/>
  <c r="C33" i="19"/>
  <c r="O32" i="19"/>
  <c r="M32" i="19"/>
  <c r="C32" i="19"/>
  <c r="O31" i="19"/>
  <c r="M31" i="19"/>
  <c r="C31" i="19"/>
  <c r="O30" i="19"/>
  <c r="M30" i="19"/>
  <c r="C30" i="19"/>
  <c r="O29" i="19"/>
  <c r="M29" i="19"/>
  <c r="C29" i="19"/>
  <c r="O28" i="19"/>
  <c r="M28" i="19"/>
  <c r="C28" i="19"/>
  <c r="L23" i="19"/>
  <c r="K23" i="19"/>
  <c r="J23" i="19"/>
  <c r="I23" i="19"/>
  <c r="H23" i="19"/>
  <c r="G23" i="19"/>
  <c r="F23" i="19"/>
  <c r="E23" i="19"/>
  <c r="D23" i="19"/>
  <c r="O22" i="19"/>
  <c r="M22" i="19"/>
  <c r="C22" i="19"/>
  <c r="O21" i="19"/>
  <c r="M21" i="19"/>
  <c r="C21" i="19"/>
  <c r="O20" i="19"/>
  <c r="M20" i="19"/>
  <c r="C20" i="19"/>
  <c r="O19" i="19"/>
  <c r="M19" i="19"/>
  <c r="C19" i="19"/>
  <c r="O18" i="19"/>
  <c r="M18" i="19"/>
  <c r="C18" i="19"/>
  <c r="O17" i="19"/>
  <c r="M17" i="19"/>
  <c r="O16" i="19"/>
  <c r="M16" i="19"/>
  <c r="C16" i="19"/>
  <c r="O5" i="19"/>
  <c r="O6" i="19"/>
  <c r="O7" i="19"/>
  <c r="O8" i="19"/>
  <c r="O9" i="19"/>
  <c r="O10" i="19"/>
  <c r="C5" i="19"/>
  <c r="C6" i="19"/>
  <c r="C7" i="19"/>
  <c r="C8" i="19"/>
  <c r="C9" i="19"/>
  <c r="C10" i="19"/>
  <c r="C4" i="19"/>
  <c r="M5" i="19"/>
  <c r="M6" i="19"/>
  <c r="N6" i="19" s="1"/>
  <c r="M7" i="19"/>
  <c r="N7" i="19" s="1"/>
  <c r="M8" i="19"/>
  <c r="M9" i="19"/>
  <c r="M10" i="19"/>
  <c r="N10" i="19" s="1"/>
  <c r="M4" i="19"/>
  <c r="N4" i="19" s="1"/>
  <c r="C77" i="19"/>
  <c r="C78" i="19"/>
  <c r="C79" i="19"/>
  <c r="C76" i="19"/>
  <c r="C80" i="19" s="1"/>
  <c r="C112" i="19" s="1"/>
  <c r="C12" i="22" l="1"/>
  <c r="B8" i="23" s="1"/>
  <c r="B5" i="22"/>
  <c r="B12" i="22" s="1"/>
  <c r="D12" i="22"/>
  <c r="B9" i="23" s="1"/>
  <c r="E12" i="22"/>
  <c r="B10" i="23" s="1"/>
  <c r="F12" i="22"/>
  <c r="B11" i="23" s="1"/>
  <c r="G12" i="22"/>
  <c r="B12" i="23" s="1"/>
  <c r="H12" i="22"/>
  <c r="B13" i="23" s="1"/>
  <c r="I12" i="22"/>
  <c r="B14" i="23" s="1"/>
  <c r="J12" i="22"/>
  <c r="B15" i="23" s="1"/>
  <c r="K12" i="22"/>
  <c r="B16" i="23" s="1"/>
  <c r="C92" i="19"/>
  <c r="C113" i="19" s="1"/>
  <c r="C71" i="19"/>
  <c r="C111" i="19" s="1"/>
  <c r="C59" i="19"/>
  <c r="C110" i="19" s="1"/>
  <c r="C47" i="19"/>
  <c r="C109" i="19" s="1"/>
  <c r="C35" i="19"/>
  <c r="C108" i="19" s="1"/>
  <c r="C23" i="19"/>
  <c r="C107" i="19" s="1"/>
  <c r="N9" i="19"/>
  <c r="N5" i="19"/>
  <c r="N8" i="19"/>
  <c r="P10" i="19"/>
  <c r="P9" i="19"/>
  <c r="P8" i="19"/>
  <c r="P7" i="19"/>
  <c r="P6" i="19"/>
  <c r="P5" i="19"/>
  <c r="D107" i="19"/>
  <c r="E107" i="19"/>
  <c r="F107" i="19"/>
  <c r="G107" i="19"/>
  <c r="H107" i="19"/>
  <c r="I107" i="19"/>
  <c r="J107" i="19"/>
  <c r="K107" i="19"/>
  <c r="L107" i="19"/>
  <c r="D108" i="19"/>
  <c r="E108" i="19"/>
  <c r="F108" i="19"/>
  <c r="G108" i="19"/>
  <c r="H108" i="19"/>
  <c r="I108" i="19"/>
  <c r="J108" i="19"/>
  <c r="K108" i="19"/>
  <c r="L108" i="19"/>
  <c r="D109" i="19"/>
  <c r="E109" i="19"/>
  <c r="F109" i="19"/>
  <c r="G109" i="19"/>
  <c r="H109" i="19"/>
  <c r="I109" i="19"/>
  <c r="J109" i="19"/>
  <c r="K109" i="19"/>
  <c r="L109" i="19"/>
  <c r="D110" i="19"/>
  <c r="E110" i="19"/>
  <c r="F110" i="19"/>
  <c r="G110" i="19"/>
  <c r="H110" i="19"/>
  <c r="I110" i="19"/>
  <c r="J110" i="19"/>
  <c r="K110" i="19"/>
  <c r="L110" i="19"/>
  <c r="D111" i="19"/>
  <c r="E111" i="19"/>
  <c r="F111" i="19"/>
  <c r="G111" i="19"/>
  <c r="H111" i="19"/>
  <c r="I111" i="19"/>
  <c r="J111" i="19"/>
  <c r="K111" i="19"/>
  <c r="L111" i="19"/>
  <c r="D113" i="19"/>
  <c r="E113" i="19"/>
  <c r="F113" i="19"/>
  <c r="G113" i="19"/>
  <c r="H113" i="19"/>
  <c r="I113" i="19"/>
  <c r="J113" i="19"/>
  <c r="K113" i="19"/>
  <c r="L113" i="19"/>
  <c r="N97" i="19"/>
  <c r="P97" i="19"/>
  <c r="N98" i="19"/>
  <c r="P98" i="19"/>
  <c r="N85" i="19"/>
  <c r="P85" i="19"/>
  <c r="N86" i="19"/>
  <c r="P86" i="19"/>
  <c r="N87" i="19"/>
  <c r="P87" i="19"/>
  <c r="N88" i="19"/>
  <c r="P88" i="19"/>
  <c r="N89" i="19"/>
  <c r="P89" i="19"/>
  <c r="N90" i="19"/>
  <c r="P90" i="19"/>
  <c r="N91" i="19"/>
  <c r="P91" i="19"/>
  <c r="O92" i="19"/>
  <c r="M92" i="19"/>
  <c r="N79" i="19"/>
  <c r="P79" i="19"/>
  <c r="N78" i="19"/>
  <c r="P78" i="19"/>
  <c r="N77" i="19"/>
  <c r="P77" i="19"/>
  <c r="N76" i="19"/>
  <c r="P76" i="19"/>
  <c r="N64" i="19"/>
  <c r="P64" i="19"/>
  <c r="N65" i="19"/>
  <c r="P65" i="19"/>
  <c r="N66" i="19"/>
  <c r="P66" i="19"/>
  <c r="N67" i="19"/>
  <c r="P67" i="19"/>
  <c r="N68" i="19"/>
  <c r="P68" i="19"/>
  <c r="N69" i="19"/>
  <c r="P69" i="19"/>
  <c r="N70" i="19"/>
  <c r="P70" i="19"/>
  <c r="O71" i="19"/>
  <c r="M71" i="19"/>
  <c r="N52" i="19"/>
  <c r="P52" i="19"/>
  <c r="N53" i="19"/>
  <c r="P53" i="19"/>
  <c r="N54" i="19"/>
  <c r="P54" i="19"/>
  <c r="N55" i="19"/>
  <c r="P55" i="19"/>
  <c r="N56" i="19"/>
  <c r="P56" i="19"/>
  <c r="N57" i="19"/>
  <c r="P57" i="19"/>
  <c r="N58" i="19"/>
  <c r="P58" i="19"/>
  <c r="O59" i="19"/>
  <c r="M59" i="19"/>
  <c r="N40" i="19"/>
  <c r="P40" i="19"/>
  <c r="N41" i="19"/>
  <c r="P41" i="19"/>
  <c r="N42" i="19"/>
  <c r="P42" i="19"/>
  <c r="N43" i="19"/>
  <c r="P43" i="19"/>
  <c r="N44" i="19"/>
  <c r="P44" i="19"/>
  <c r="N45" i="19"/>
  <c r="P45" i="19"/>
  <c r="N46" i="19"/>
  <c r="P46" i="19"/>
  <c r="O47" i="19"/>
  <c r="M47" i="19"/>
  <c r="N28" i="19"/>
  <c r="P28" i="19"/>
  <c r="N29" i="19"/>
  <c r="P29" i="19"/>
  <c r="N30" i="19"/>
  <c r="P30" i="19"/>
  <c r="N31" i="19"/>
  <c r="P31" i="19"/>
  <c r="N32" i="19"/>
  <c r="P32" i="19"/>
  <c r="N33" i="19"/>
  <c r="P33" i="19"/>
  <c r="N34" i="19"/>
  <c r="P34" i="19"/>
  <c r="O35" i="19"/>
  <c r="M35" i="19"/>
  <c r="N16" i="19"/>
  <c r="P16" i="19"/>
  <c r="N17" i="19"/>
  <c r="P17" i="19"/>
  <c r="N18" i="19"/>
  <c r="P18" i="19"/>
  <c r="N19" i="19"/>
  <c r="P19" i="19"/>
  <c r="N20" i="19"/>
  <c r="P20" i="19"/>
  <c r="N21" i="19"/>
  <c r="P21" i="19"/>
  <c r="N22" i="19"/>
  <c r="P22" i="19"/>
  <c r="O23" i="19"/>
  <c r="M23" i="19"/>
  <c r="L12" i="22" l="1"/>
  <c r="L5" i="22"/>
  <c r="M5" i="22" s="1"/>
  <c r="N5" i="22"/>
  <c r="O5" i="22" s="1"/>
  <c r="N23" i="19"/>
  <c r="M107" i="19"/>
  <c r="P23" i="19"/>
  <c r="O107" i="19"/>
  <c r="N35" i="19"/>
  <c r="M108" i="19"/>
  <c r="P35" i="19"/>
  <c r="O108" i="19"/>
  <c r="N47" i="19"/>
  <c r="M109" i="19"/>
  <c r="P47" i="19"/>
  <c r="O109" i="19"/>
  <c r="N59" i="19"/>
  <c r="M110" i="19"/>
  <c r="P59" i="19"/>
  <c r="O110" i="19"/>
  <c r="N71" i="19"/>
  <c r="M111" i="19"/>
  <c r="P71" i="19"/>
  <c r="O111" i="19"/>
  <c r="N92" i="19"/>
  <c r="M113" i="19"/>
  <c r="P92" i="19"/>
  <c r="O113" i="19"/>
  <c r="L80" i="19"/>
  <c r="L112" i="19" s="1"/>
  <c r="K80" i="19"/>
  <c r="K112" i="19" s="1"/>
  <c r="J80" i="19"/>
  <c r="J112" i="19" s="1"/>
  <c r="I80" i="19"/>
  <c r="I112" i="19" s="1"/>
  <c r="H80" i="19"/>
  <c r="H112" i="19" s="1"/>
  <c r="G80" i="19"/>
  <c r="G112" i="19" s="1"/>
  <c r="F80" i="19"/>
  <c r="F112" i="19" s="1"/>
  <c r="E80" i="19"/>
  <c r="E112" i="19" s="1"/>
  <c r="D80" i="19"/>
  <c r="D112" i="19" s="1"/>
  <c r="B17" i="23" l="1"/>
  <c r="M11" i="22"/>
  <c r="N11" i="22"/>
  <c r="O11" i="22" s="1"/>
  <c r="M10" i="22"/>
  <c r="N10" i="22"/>
  <c r="O10" i="22" s="1"/>
  <c r="M9" i="22"/>
  <c r="N9" i="22"/>
  <c r="O9" i="22" s="1"/>
  <c r="M8" i="22"/>
  <c r="N8" i="22"/>
  <c r="O8" i="22" s="1"/>
  <c r="M7" i="22"/>
  <c r="N7" i="22"/>
  <c r="O7" i="22" s="1"/>
  <c r="M6" i="22"/>
  <c r="N6" i="22"/>
  <c r="O6" i="22" s="1"/>
  <c r="C10" i="20"/>
  <c r="P113" i="19"/>
  <c r="B10" i="20"/>
  <c r="N113" i="19"/>
  <c r="C8" i="20"/>
  <c r="P111" i="19"/>
  <c r="B8" i="20"/>
  <c r="N111" i="19"/>
  <c r="C7" i="20"/>
  <c r="P110" i="19"/>
  <c r="B7" i="20"/>
  <c r="N110" i="19"/>
  <c r="P109" i="19"/>
  <c r="N109" i="19"/>
  <c r="C5" i="20"/>
  <c r="P108" i="19"/>
  <c r="B5" i="20"/>
  <c r="N108" i="19"/>
  <c r="C4" i="20"/>
  <c r="P107" i="19"/>
  <c r="B4" i="20"/>
  <c r="N107" i="19"/>
  <c r="C11" i="19"/>
  <c r="C106" i="19" s="1"/>
  <c r="D99" i="19"/>
  <c r="D114" i="19" s="1"/>
  <c r="E99" i="19"/>
  <c r="E114" i="19" s="1"/>
  <c r="F99" i="19"/>
  <c r="F114" i="19" s="1"/>
  <c r="G99" i="19"/>
  <c r="G114" i="19" s="1"/>
  <c r="H99" i="19"/>
  <c r="H114" i="19" s="1"/>
  <c r="I99" i="19"/>
  <c r="I114" i="19" s="1"/>
  <c r="J99" i="19"/>
  <c r="J114" i="19" s="1"/>
  <c r="K99" i="19"/>
  <c r="K114" i="19" s="1"/>
  <c r="L99" i="19"/>
  <c r="L114" i="19" s="1"/>
  <c r="N5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4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3" i="21"/>
  <c r="N48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57" i="21"/>
  <c r="N62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N70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96" i="21"/>
  <c r="N102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09" i="21"/>
  <c r="N136" i="21"/>
  <c r="P136" i="21"/>
  <c r="O4" i="19"/>
  <c r="P4" i="19" s="1"/>
  <c r="D11" i="19"/>
  <c r="E11" i="19"/>
  <c r="E106" i="19" s="1"/>
  <c r="F11" i="19"/>
  <c r="F106" i="19" s="1"/>
  <c r="G11" i="19"/>
  <c r="G106" i="19" s="1"/>
  <c r="H11" i="19"/>
  <c r="H106" i="19" s="1"/>
  <c r="I11" i="19"/>
  <c r="I106" i="19" s="1"/>
  <c r="J11" i="19"/>
  <c r="J106" i="19" s="1"/>
  <c r="K11" i="19"/>
  <c r="K106" i="19" s="1"/>
  <c r="L11" i="19"/>
  <c r="L106" i="19" s="1"/>
  <c r="C99" i="19"/>
  <c r="C114" i="19" s="1"/>
  <c r="D106" i="19" l="1"/>
  <c r="O11" i="19"/>
  <c r="M12" i="22"/>
  <c r="B14" i="22" s="1"/>
  <c r="M11" i="19"/>
  <c r="C14" i="23"/>
  <c r="N12" i="22"/>
  <c r="M99" i="19"/>
  <c r="O99" i="19"/>
  <c r="M80" i="19"/>
  <c r="M112" i="19" s="1"/>
  <c r="O80" i="19"/>
  <c r="O112" i="19" s="1"/>
  <c r="E4" i="23" l="1"/>
  <c r="O12" i="22"/>
  <c r="B15" i="22" s="1"/>
  <c r="O114" i="19"/>
  <c r="P99" i="19"/>
  <c r="M114" i="19"/>
  <c r="N99" i="19"/>
  <c r="N114" i="19" s="1"/>
  <c r="M106" i="19"/>
  <c r="N11" i="19"/>
  <c r="O106" i="19"/>
  <c r="P11" i="19"/>
  <c r="C16" i="23"/>
  <c r="C13" i="23"/>
  <c r="C10" i="23"/>
  <c r="C11" i="23"/>
  <c r="C12" i="23"/>
  <c r="C15" i="23"/>
  <c r="C8" i="23"/>
  <c r="C9" i="23"/>
  <c r="B6" i="20"/>
  <c r="C6" i="20"/>
  <c r="P80" i="19"/>
  <c r="N80" i="19"/>
  <c r="C17" i="23" l="1"/>
  <c r="C22" i="23"/>
  <c r="D22" i="23" s="1"/>
  <c r="C21" i="23"/>
  <c r="D21" i="23" s="1"/>
  <c r="C23" i="23"/>
  <c r="D23" i="23" s="1"/>
  <c r="B9" i="20"/>
  <c r="N112" i="19"/>
  <c r="C9" i="20"/>
  <c r="P112" i="19"/>
  <c r="C3" i="20"/>
  <c r="P106" i="19"/>
  <c r="B3" i="20"/>
  <c r="N106" i="19"/>
  <c r="C11" i="20"/>
  <c r="B11" i="20"/>
  <c r="P114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<sst xmlns="http://schemas.openxmlformats.org/spreadsheetml/2006/main" count="628" uniqueCount="144">
  <si>
    <t>BAHASA MELAYU</t>
  </si>
  <si>
    <t>Distinction</t>
  </si>
  <si>
    <t>Credit</t>
  </si>
  <si>
    <t xml:space="preserve">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</si>
  <si>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</si>
  <si>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</si>
  <si>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</si>
  <si>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</si>
  <si>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</si>
  <si>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</si>
  <si>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</si>
  <si>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</si>
  <si>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</si>
  <si>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</si>
  <si>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</si>
  <si>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</si>
  <si>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</si>
  <si>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</si>
  <si>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</si>
  <si>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</si>
  <si>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</si>
  <si>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7D</t>
  </si>
  <si>
    <t>Cg Noni Ratina</t>
  </si>
  <si>
    <t>7Y</t>
  </si>
  <si>
    <t>Cg Siti Noor Rahayu</t>
  </si>
  <si>
    <t>7N</t>
  </si>
  <si>
    <t>Cg Siti Izyan</t>
  </si>
  <si>
    <t>7A</t>
  </si>
  <si>
    <t>7M</t>
  </si>
  <si>
    <t>7I</t>
  </si>
  <si>
    <t>7C</t>
  </si>
  <si>
    <t>Cg Amalina</t>
  </si>
  <si>
    <t>Overall</t>
  </si>
  <si>
    <t>ENGLISH LANGUAGE</t>
  </si>
  <si>
    <t>Cg Noratikah</t>
  </si>
  <si>
    <t>Cg Pieter</t>
  </si>
  <si>
    <t>Derek</t>
  </si>
  <si>
    <t>Cg Aimi</t>
  </si>
  <si>
    <t>ISLAMIC RELIGIOUS KNOWLEDGE</t>
  </si>
  <si>
    <t>NASYURUL ATIKAH</t>
  </si>
  <si>
    <t>KASUMAWATI</t>
  </si>
  <si>
    <t>SOCIAL STUDIES</t>
  </si>
  <si>
    <t>SUNARDI</t>
  </si>
  <si>
    <t>PG HJH MARLINAWATI</t>
  </si>
  <si>
    <t xml:space="preserve">DK MARIEAH </t>
  </si>
  <si>
    <t>MATHEMATICS</t>
  </si>
  <si>
    <t>Ck Mahani</t>
  </si>
  <si>
    <t>Ck Hjh Syuhairah</t>
  </si>
  <si>
    <t>Ck Ghani</t>
  </si>
  <si>
    <t>Ck Dk Norazlina</t>
  </si>
  <si>
    <t xml:space="preserve">SCIENCE </t>
  </si>
  <si>
    <t>Cg Abib</t>
  </si>
  <si>
    <t>Cg Pg Rosnani</t>
  </si>
  <si>
    <t>Cg Abdul Halim</t>
  </si>
  <si>
    <t>BAHASA ARAB</t>
  </si>
  <si>
    <t>Hjh Juraine</t>
  </si>
  <si>
    <t>MELAYU ISLAM BERAJA</t>
  </si>
  <si>
    <t>Cg Yussof</t>
  </si>
  <si>
    <t>DRAMA</t>
  </si>
  <si>
    <t>Cg Jalilah</t>
  </si>
  <si>
    <t>NO AVAILABLE FOR DRAMA</t>
  </si>
  <si>
    <t>OVERALL PERFORMANCES</t>
  </si>
  <si>
    <t>Pass</t>
  </si>
  <si>
    <t>Subject</t>
  </si>
  <si>
    <t>Bahasa Melayu</t>
  </si>
  <si>
    <t>English Language</t>
  </si>
  <si>
    <t>I.R.K</t>
  </si>
  <si>
    <t>Social Studies</t>
  </si>
  <si>
    <t>Mathematics</t>
  </si>
  <si>
    <t>Science</t>
  </si>
  <si>
    <t>Bahasa Arab</t>
  </si>
  <si>
    <t>Melayu Islam Beraja</t>
  </si>
  <si>
    <t>Drama</t>
  </si>
  <si>
    <t>Subjects</t>
  </si>
  <si>
    <t>YEAR 7, END OF YEAR EXAMINATION 2025</t>
  </si>
  <si>
    <t>No. of Candidates</t>
  </si>
  <si>
    <t>No. of Credits Obtained</t>
  </si>
  <si>
    <t>5 'O' &amp; above</t>
  </si>
  <si>
    <t>3 'O' &amp; above</t>
  </si>
  <si>
    <t>%</t>
  </si>
  <si>
    <t>Total No. of Candidates</t>
  </si>
  <si>
    <t>% obtained 5'O' &amp; above</t>
  </si>
  <si>
    <t>% obtained 3'O' &amp; above</t>
  </si>
  <si>
    <t xml:space="preserve">No. Of Candidate Registered </t>
  </si>
  <si>
    <t>No. Of Candidate Sitting</t>
  </si>
  <si>
    <t>Withdrawn</t>
  </si>
  <si>
    <t>Credit Attained</t>
  </si>
  <si>
    <t>No. Of Student</t>
  </si>
  <si>
    <t>No. of 
Student</t>
  </si>
  <si>
    <t>3 or more Credits</t>
  </si>
  <si>
    <t>4 or more Credits</t>
  </si>
  <si>
    <t>5 or more Credits</t>
  </si>
  <si>
    <t>Class + No of stdn</t>
  </si>
  <si>
    <t>Class Avg</t>
  </si>
  <si>
    <t>10Sci1</t>
  </si>
  <si>
    <t>11Sci2</t>
  </si>
  <si>
    <t>11Sci3</t>
  </si>
  <si>
    <t>11P</t>
  </si>
  <si>
    <t>11E</t>
  </si>
  <si>
    <t>11A</t>
  </si>
  <si>
    <t>11R</t>
  </si>
  <si>
    <t>11L</t>
  </si>
  <si>
    <t>Menengah 4A</t>
  </si>
  <si>
    <t>B.Melayu</t>
  </si>
  <si>
    <t>English</t>
  </si>
  <si>
    <t>Maths</t>
  </si>
  <si>
    <t>Add Maths</t>
  </si>
  <si>
    <t>Physics</t>
  </si>
  <si>
    <t>Chemistry</t>
  </si>
  <si>
    <t>Biology</t>
  </si>
  <si>
    <t>Geography</t>
  </si>
  <si>
    <t>Computer</t>
  </si>
  <si>
    <t>Menengah 4B</t>
  </si>
  <si>
    <t>Economics</t>
  </si>
  <si>
    <t>POA</t>
  </si>
  <si>
    <t>Menengah 4C</t>
  </si>
  <si>
    <t>Comb Sc</t>
  </si>
  <si>
    <t>History</t>
  </si>
  <si>
    <t>IRK</t>
  </si>
  <si>
    <t>Commerce</t>
  </si>
  <si>
    <t>Agr Sc</t>
  </si>
  <si>
    <t>Menengah 4D</t>
  </si>
  <si>
    <t>Art</t>
  </si>
  <si>
    <t>Menengah 4E</t>
  </si>
  <si>
    <t>Sastera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</si>
  <si>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</si>
  <si>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</si>
  <si>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</si>
  <si>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</si>
  <si>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</si>
  <si>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</si>
  <si>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</si>
  <si>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</si>
  <si>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</si>
  <si>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</si>
  <si>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</si>
  <si>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</si>
  <si>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</si>
  <si>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</si>
  <si>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</si>
  <si>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</si>
  <si>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</si>
  <si>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Average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</si>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</sst>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12"/>
      <name val="Helv"/>
    </font>
    <font>
      <b/>
      <sz val="12"/>
      <color rgb="FF0000FF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1"/>
      <name val="Aptos Display"/>
      <family val="2"/>
    </font>
    <font>
      <sz val="10"/>
      <color theme="1"/>
      <name val="Aptos Display"/>
      <family val="2"/>
    </font>
    <font>
      <sz val="9"/>
      <name val="Aptos Display"/>
      <family val="2"/>
    </font>
    <font>
      <b/>
      <sz val="18"/>
      <color rgb="FF0000FF"/>
      <name val="Aptos Display"/>
      <family val="2"/>
    </font>
    <font>
      <b/>
      <sz val="18"/>
      <name val="Aptos Display"/>
      <family val="2"/>
    </font>
    <font>
      <sz val="14"/>
      <name val="Aptos Display"/>
      <family val="2"/>
    </font>
    <font>
      <b/>
      <sz val="12"/>
      <name val="Aptos Display"/>
      <family val="2"/>
    </font>
    <font>
      <b/>
      <sz val="16"/>
      <name val="Aptos Display"/>
      <family val="2"/>
    </font>
    <font>
      <sz val="12"/>
      <name val="Aptos Display"/>
      <family val="2"/>
    </font>
    <font>
      <b/>
      <sz val="14"/>
      <name val="Aptos Display"/>
      <family val="2"/>
    </font>
    <font>
      <b/>
      <sz val="24"/>
      <name val="Aptos Display"/>
      <family val="2"/>
    </font>
    <font>
      <b/>
      <sz val="24"/>
      <color indexed="8"/>
      <name val="Aptos Display"/>
      <family val="2"/>
    </font>
    <font>
      <sz val="12"/>
      <color indexed="8"/>
      <name val="Aptos Display"/>
      <family val="2"/>
    </font>
    <font>
      <b/>
      <sz val="9"/>
      <name val="Aptos Display"/>
      <family val="2"/>
    </font>
    <font>
      <b/>
      <sz val="11"/>
      <name val="Aptos Display"/>
      <family val="2"/>
    </font>
    <font>
      <sz val="11"/>
      <color rgb="FF242424"/>
      <name val="Consolas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9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164" fontId="5" fillId="2" borderId="0" xfId="0" applyNumberFormat="1" applyFont="1" applyFill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1" fontId="4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7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left"/>
    </xf>
    <xf numFmtId="164" fontId="6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1" fillId="0" borderId="26" xfId="0" applyFont="1" applyBorder="1" applyAlignment="1">
      <alignment horizontal="center"/>
    </xf>
    <xf numFmtId="0" fontId="13" fillId="3" borderId="26" xfId="0" applyFont="1" applyFill="1" applyBorder="1" applyAlignment="1">
      <alignment wrapText="1"/>
    </xf>
    <xf numFmtId="0" fontId="14" fillId="0" borderId="26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64" fontId="18" fillId="2" borderId="3" xfId="0" applyNumberFormat="1" applyFont="1" applyFill="1" applyBorder="1" applyAlignment="1">
      <alignment horizontal="center" vertical="center"/>
    </xf>
    <xf numFmtId="0" fontId="22" fillId="0" borderId="0" xfId="0" applyFont="1"/>
    <xf numFmtId="164" fontId="20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center"/>
    </xf>
    <xf numFmtId="0" fontId="20" fillId="4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21" fillId="0" borderId="0" xfId="1" applyFont="1"/>
    <xf numFmtId="0" fontId="21" fillId="0" borderId="0" xfId="1" applyFont="1" applyAlignment="1">
      <alignment horizontal="center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0" fontId="12" fillId="8" borderId="14" xfId="1" applyFont="1" applyFill="1" applyBorder="1" applyAlignment="1">
      <alignment horizontal="center" vertical="center" wrapText="1"/>
    </xf>
    <xf numFmtId="0" fontId="19" fillId="8" borderId="15" xfId="1" applyFont="1" applyFill="1" applyBorder="1" applyAlignment="1">
      <alignment horizontal="center" vertical="center"/>
    </xf>
    <xf numFmtId="0" fontId="19" fillId="8" borderId="16" xfId="1" applyFont="1" applyFill="1" applyBorder="1" applyAlignment="1">
      <alignment horizontal="center" vertical="center"/>
    </xf>
    <xf numFmtId="0" fontId="19" fillId="7" borderId="7" xfId="1" applyFont="1" applyFill="1" applyBorder="1" applyAlignment="1">
      <alignment horizontal="center" vertical="center"/>
    </xf>
    <xf numFmtId="165" fontId="21" fillId="0" borderId="17" xfId="1" applyNumberFormat="1" applyFont="1" applyBorder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165" fontId="21" fillId="0" borderId="19" xfId="1" applyNumberFormat="1" applyFont="1" applyBorder="1" applyAlignment="1">
      <alignment horizontal="center" vertical="center"/>
    </xf>
    <xf numFmtId="0" fontId="19" fillId="7" borderId="20" xfId="1" applyFont="1" applyFill="1" applyBorder="1" applyAlignment="1">
      <alignment horizontal="center" vertical="center"/>
    </xf>
    <xf numFmtId="165" fontId="21" fillId="0" borderId="4" xfId="1" applyNumberFormat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165" fontId="21" fillId="0" borderId="22" xfId="1" applyNumberFormat="1" applyFont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 wrapText="1"/>
    </xf>
    <xf numFmtId="165" fontId="21" fillId="0" borderId="23" xfId="1" applyNumberFormat="1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165" fontId="21" fillId="0" borderId="25" xfId="1" applyNumberFormat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 wrapText="1"/>
    </xf>
    <xf numFmtId="165" fontId="21" fillId="0" borderId="12" xfId="1" applyNumberFormat="1" applyFont="1" applyBorder="1" applyAlignment="1">
      <alignment horizontal="center" vertical="center"/>
    </xf>
    <xf numFmtId="165" fontId="21" fillId="0" borderId="0" xfId="1" applyNumberFormat="1" applyFont="1" applyAlignment="1">
      <alignment horizontal="center" vertical="center"/>
    </xf>
    <xf numFmtId="0" fontId="19" fillId="0" borderId="14" xfId="1" applyFont="1" applyBorder="1" applyAlignment="1">
      <alignment horizontal="center" vertical="center" wrapText="1"/>
    </xf>
    <xf numFmtId="165" fontId="21" fillId="0" borderId="16" xfId="1" applyNumberFormat="1" applyFont="1" applyBorder="1" applyAlignment="1">
      <alignment horizontal="center" vertical="center"/>
    </xf>
    <xf numFmtId="0" fontId="24" fillId="0" borderId="0" xfId="1" applyFont="1" applyAlignment="1">
      <alignment horizontal="center"/>
    </xf>
    <xf numFmtId="0" fontId="11" fillId="0" borderId="0" xfId="1" applyFont="1"/>
    <xf numFmtId="0" fontId="21" fillId="0" borderId="3" xfId="1" applyFont="1" applyBorder="1" applyAlignment="1">
      <alignment horizontal="center"/>
    </xf>
    <xf numFmtId="0" fontId="21" fillId="0" borderId="0" xfId="2" applyFont="1"/>
    <xf numFmtId="0" fontId="25" fillId="0" borderId="0" xfId="1" applyFont="1"/>
    <xf numFmtId="0" fontId="19" fillId="0" borderId="3" xfId="1" applyFont="1" applyBorder="1" applyAlignment="1">
      <alignment horizontal="center" vertical="center"/>
    </xf>
    <xf numFmtId="0" fontId="22" fillId="0" borderId="0" xfId="3" applyFont="1" applyAlignment="1">
      <alignment horizontal="center"/>
    </xf>
    <xf numFmtId="0" fontId="26" fillId="0" borderId="3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10" fontId="21" fillId="0" borderId="3" xfId="3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1" fontId="11" fillId="0" borderId="3" xfId="0" applyNumberFormat="1" applyFont="1" applyBorder="1" applyAlignment="1">
      <alignment horizontal="center"/>
    </xf>
    <xf numFmtId="0" fontId="18" fillId="2" borderId="28" xfId="0" applyFont="1" applyFill="1" applyBorder="1" applyAlignment="1">
      <alignment horizontal="center" vertical="center"/>
    </xf>
    <xf numFmtId="164" fontId="18" fillId="2" borderId="6" xfId="0" applyNumberFormat="1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vertical="center" wrapText="1"/>
    </xf>
    <xf numFmtId="0" fontId="19" fillId="4" borderId="3" xfId="1" applyFont="1" applyFill="1" applyBorder="1" applyAlignment="1">
      <alignment vertical="center" wrapText="1"/>
    </xf>
    <xf numFmtId="0" fontId="19" fillId="4" borderId="3" xfId="1" applyFont="1" applyFill="1" applyBorder="1" applyAlignment="1">
      <alignment vertical="center"/>
    </xf>
    <xf numFmtId="0" fontId="28" fillId="0" borderId="0" xfId="0" applyFont="1"/>
    <xf numFmtId="1" fontId="21" fillId="0" borderId="5" xfId="1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21" fillId="0" borderId="29" xfId="1" applyFont="1" applyBorder="1" applyAlignment="1">
      <alignment horizontal="center" vertical="center"/>
    </xf>
    <xf numFmtId="0" fontId="19" fillId="8" borderId="30" xfId="1" applyFont="1" applyFill="1" applyBorder="1" applyAlignment="1">
      <alignment horizontal="center" vertical="center"/>
    </xf>
    <xf numFmtId="0" fontId="19" fillId="8" borderId="31" xfId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1" fontId="21" fillId="0" borderId="1" xfId="1" applyNumberFormat="1" applyFont="1" applyBorder="1" applyAlignment="1">
      <alignment horizontal="center" vertical="center"/>
    </xf>
    <xf numFmtId="165" fontId="21" fillId="0" borderId="3" xfId="1" applyNumberFormat="1" applyFon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1" fontId="21" fillId="0" borderId="27" xfId="1" applyNumberFormat="1" applyFont="1" applyBorder="1" applyAlignment="1">
      <alignment horizontal="center" vertical="center"/>
    </xf>
    <xf numFmtId="165" fontId="19" fillId="0" borderId="3" xfId="1" applyNumberFormat="1" applyFont="1" applyBorder="1"/>
    <xf numFmtId="0" fontId="21" fillId="2" borderId="27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9" fillId="6" borderId="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0" fontId="23" fillId="6" borderId="0" xfId="1" applyFont="1" applyFill="1" applyAlignment="1">
      <alignment horizontal="center"/>
    </xf>
    <xf numFmtId="0" fontId="12" fillId="8" borderId="7" xfId="1" applyFont="1" applyFill="1" applyBorder="1" applyAlignment="1">
      <alignment horizontal="center" vertical="center" wrapText="1"/>
    </xf>
    <xf numFmtId="0" fontId="12" fillId="8" borderId="13" xfId="1" applyFont="1" applyFill="1" applyBorder="1" applyAlignment="1">
      <alignment horizontal="center" vertical="center"/>
    </xf>
    <xf numFmtId="0" fontId="19" fillId="8" borderId="8" xfId="1" applyFont="1" applyFill="1" applyBorder="1" applyAlignment="1">
      <alignment horizontal="center" vertical="center" wrapText="1"/>
    </xf>
    <xf numFmtId="0" fontId="19" fillId="8" borderId="9" xfId="1" applyFont="1" applyFill="1" applyBorder="1" applyAlignment="1">
      <alignment horizontal="center" vertical="center" wrapText="1"/>
    </xf>
    <xf numFmtId="0" fontId="19" fillId="8" borderId="10" xfId="1" applyFont="1" applyFill="1" applyBorder="1" applyAlignment="1">
      <alignment horizontal="center" vertical="center"/>
    </xf>
    <xf numFmtId="0" fontId="19" fillId="8" borderId="11" xfId="1" applyFont="1" applyFill="1" applyBorder="1" applyAlignment="1">
      <alignment horizontal="center" vertical="center"/>
    </xf>
    <xf numFmtId="0" fontId="19" fillId="8" borderId="12" xfId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center"/>
    </xf>
    <xf numFmtId="0" fontId="19" fillId="0" borderId="4" xfId="1" applyFont="1" applyBorder="1" applyAlignment="1">
      <alignment horizontal="center"/>
    </xf>
    <xf numFmtId="0" fontId="19" fillId="0" borderId="2" xfId="1" applyFont="1" applyBorder="1" applyAlignment="1">
      <alignment horizontal="center"/>
    </xf>
    <xf numFmtId="0" fontId="27" fillId="0" borderId="1" xfId="3" applyFont="1" applyBorder="1" applyAlignment="1">
      <alignment horizontal="center" vertical="center"/>
    </xf>
    <xf numFmtId="0" fontId="27" fillId="0" borderId="2" xfId="3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</cellStyles>
  <dxfs count="0"/>
  <tableStyles count="0" defaultTableStyle="TableStyleMedium9" defaultPivotStyle="PivotStyleLight16"/>
  <colors>
    <mruColors>
      <color rgb="FF0000FF"/>
      <color rgb="FFCC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525550671155531"/>
          <c:y val="0.72613569501860664"/>
          <c:w val="0.40437985029357487"/>
          <c:h val="0.231612247549038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CHART!$A$2</c:f>
              <c:strCache>
                <c:ptCount val="1"/>
                <c:pt idx="0">
                  <c:v>Subjects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CHART!$A$3:$A$10</c:f>
              <c:strCache>
                <c:ptCount val="8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Melayu Islam Beraja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A21-4AE5-9624-987E58921DAE}"/>
            </c:ext>
          </c:extLst>
        </c:ser>
        <c:ser>
          <c:idx val="1"/>
          <c:order val="1"/>
          <c:tx>
            <c:strRef>
              <c:f>CHART!$B$2:$C$2</c:f>
              <c:strCache>
                <c:ptCount val="2"/>
                <c:pt idx="0">
                  <c:v>%
1-6</c:v>
                </c:pt>
                <c:pt idx="1">
                  <c:v>%
1-8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CHART!$A$3:$A$10</c:f>
              <c:strCache>
                <c:ptCount val="8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Melayu Islam Beraja</c:v>
                </c:pt>
              </c:strCache>
            </c:strRef>
          </c:cat>
          <c:val>
            <c:numRef>
              <c:f>CHART!$B$3:$B$10</c:f>
              <c:numCache>
                <c:formatCode>0.0</c:formatCode>
                <c:ptCount val="8"/>
                <c:pt idx="0">
                  <c:v>75.641025641025635</c:v>
                </c:pt>
                <c:pt idx="1">
                  <c:v>89.102564102564102</c:v>
                </c:pt>
                <c:pt idx="2">
                  <c:v>78.84615384615384</c:v>
                </c:pt>
                <c:pt idx="3">
                  <c:v>62.179487179487182</c:v>
                </c:pt>
                <c:pt idx="4">
                  <c:v>28.205128205128204</c:v>
                </c:pt>
                <c:pt idx="5">
                  <c:v>56.687898089171973</c:v>
                </c:pt>
                <c:pt idx="6">
                  <c:v>80.26315789473685</c:v>
                </c:pt>
                <c:pt idx="7">
                  <c:v>82.051282051282044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21-4AE5-9624-987E58921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3695264"/>
        <c:axId val="253690912"/>
      </c:barChart>
      <c:catAx>
        <c:axId val="253695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690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369091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800"/>
                  <a:t>Percentage</a:t>
                </a:r>
              </a:p>
            </c:rich>
          </c:tx>
          <c:layout>
            <c:manualLayout>
              <c:xMode val="edge"/>
              <c:yMode val="edge"/>
              <c:x val="9.1645410520867984E-3"/>
              <c:y val="0.399114727883894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69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&amp;CSEKOLAH MENENGAH PENGIRAN ANAK PUTERI HAJAH MASNA
YEAR 8, ASSESSMENT 1 2022</c:oddHeader>
      <c:oddFooter>&amp;LExam Dept SMPAPHM&amp;CYEAR 8</c:oddFooter>
    </c:headerFooter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394970077199816E-2"/>
          <c:y val="2.6119402985074626E-2"/>
          <c:w val="0.80254839469639072"/>
          <c:h val="0.77611940298507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CHART!$B$2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008000"/>
            </a:solidFill>
          </c:spPr>
          <c:invertIfNegative val="0"/>
          <c:cat>
            <c:strRef>
              <c:f>CHART!$A$3:$A$11</c:f>
              <c:strCache>
                <c:ptCount val="9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Melayu Islam Beraja</c:v>
                </c:pt>
                <c:pt idx="8">
                  <c:v>Drama</c:v>
                </c:pt>
              </c:strCache>
            </c:strRef>
          </c:cat>
          <c:val>
            <c:numRef>
              <c:f>CHART!$B$3:$B$11</c:f>
              <c:numCache>
                <c:formatCode>0.0</c:formatCode>
                <c:ptCount val="9"/>
                <c:pt idx="0">
                  <c:v>75.641025641025635</c:v>
                </c:pt>
                <c:pt idx="1">
                  <c:v>89.102564102564102</c:v>
                </c:pt>
                <c:pt idx="2">
                  <c:v>78.84615384615384</c:v>
                </c:pt>
                <c:pt idx="3">
                  <c:v>62.179487179487182</c:v>
                </c:pt>
                <c:pt idx="4">
                  <c:v>28.205128205128204</c:v>
                </c:pt>
                <c:pt idx="5">
                  <c:v>56.687898089171973</c:v>
                </c:pt>
                <c:pt idx="6">
                  <c:v>80.26315789473685</c:v>
                </c:pt>
                <c:pt idx="7">
                  <c:v>82.051282051282044</c:v>
                </c:pt>
                <c:pt idx="8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F-4012-81DC-D968BDA460B7}"/>
            </c:ext>
          </c:extLst>
        </c:ser>
        <c:ser>
          <c:idx val="1"/>
          <c:order val="1"/>
          <c:tx>
            <c:strRef>
              <c:f>CHART!$C$2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CC00FF"/>
            </a:solidFill>
          </c:spPr>
          <c:invertIfNegative val="0"/>
          <c:cat>
            <c:strRef>
              <c:f>CHART!$A$3:$A$11</c:f>
              <c:strCache>
                <c:ptCount val="9"/>
                <c:pt idx="0">
                  <c:v>Bahasa Melayu</c:v>
                </c:pt>
                <c:pt idx="1">
                  <c:v>English Language</c:v>
                </c:pt>
                <c:pt idx="2">
                  <c:v>I.R.K</c:v>
                </c:pt>
                <c:pt idx="3">
                  <c:v>Social Studies</c:v>
                </c:pt>
                <c:pt idx="4">
                  <c:v>Mathematics</c:v>
                </c:pt>
                <c:pt idx="5">
                  <c:v>Science</c:v>
                </c:pt>
                <c:pt idx="6">
                  <c:v>Bahasa Arab</c:v>
                </c:pt>
                <c:pt idx="7">
                  <c:v>Melayu Islam Beraja</c:v>
                </c:pt>
                <c:pt idx="8">
                  <c:v>Drama</c:v>
                </c:pt>
              </c:strCache>
            </c:strRef>
          </c:cat>
          <c:val>
            <c:numRef>
              <c:f>CHART!$C$3:$C$11</c:f>
              <c:numCache>
                <c:formatCode>0.0</c:formatCode>
                <c:ptCount val="9"/>
                <c:pt idx="0">
                  <c:v>94.871794871794862</c:v>
                </c:pt>
                <c:pt idx="1">
                  <c:v>97.435897435897431</c:v>
                </c:pt>
                <c:pt idx="2">
                  <c:v>93.589743589743591</c:v>
                </c:pt>
                <c:pt idx="3">
                  <c:v>92.307692307692307</c:v>
                </c:pt>
                <c:pt idx="4">
                  <c:v>53.846153846153847</c:v>
                </c:pt>
                <c:pt idx="5">
                  <c:v>87.261146496815286</c:v>
                </c:pt>
                <c:pt idx="6">
                  <c:v>96.05263157894737</c:v>
                </c:pt>
                <c:pt idx="7">
                  <c:v>94.230769230769226</c:v>
                </c:pt>
                <c:pt idx="8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F-4012-81DC-D968BDA46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3684928"/>
        <c:axId val="253689824"/>
      </c:barChart>
      <c:catAx>
        <c:axId val="25368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3689824"/>
        <c:crosses val="autoZero"/>
        <c:auto val="1"/>
        <c:lblAlgn val="ctr"/>
        <c:lblOffset val="100"/>
        <c:noMultiLvlLbl val="0"/>
      </c:catAx>
      <c:valAx>
        <c:axId val="253689824"/>
        <c:scaling>
          <c:orientation val="minMax"/>
          <c:max val="100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5368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818881203327896"/>
          <c:y val="0.41484785429924886"/>
          <c:w val="5.2687106760079948E-2"/>
          <c:h val="0.1471028728671880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>
      <c:oddHeader>&amp;CSEKOLAH MENENGAH PENGIRAN ANAK PUTERI HAJAH MASNA
YEAR 8 STUDENT PROGRESS ASSESSMENT 2024 (SPA)</c:oddHeader>
    </c:headerFooter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CREDITS AND ABOVE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'3''O'' and 5''O'' &amp; above'!$A$5:$A$11</c:f>
              <c:strCache>
                <c:ptCount val="7"/>
                <c:pt idx="0">
                  <c:v>7D</c:v>
                </c:pt>
                <c:pt idx="1">
                  <c:v>7Y</c:v>
                </c:pt>
                <c:pt idx="2">
                  <c:v>7N</c:v>
                </c:pt>
                <c:pt idx="3">
                  <c:v>7A</c:v>
                </c:pt>
                <c:pt idx="4">
                  <c:v>7M</c:v>
                </c:pt>
                <c:pt idx="5">
                  <c:v>7I</c:v>
                </c:pt>
                <c:pt idx="6">
                  <c:v>7C</c:v>
                </c:pt>
              </c:strCache>
            </c:strRef>
          </c:cat>
          <c:val>
            <c:numRef>
              <c:f>'3''O'' and 5''O'' &amp; above'!$M$5:$M$11</c:f>
              <c:numCache>
                <c:formatCode>0.0%</c:formatCode>
                <c:ptCount val="7"/>
                <c:pt idx="0">
                  <c:v>1</c:v>
                </c:pt>
                <c:pt idx="1">
                  <c:v>0.95238095238095233</c:v>
                </c:pt>
                <c:pt idx="2">
                  <c:v>0.95833333333333337</c:v>
                </c:pt>
                <c:pt idx="3">
                  <c:v>0.88</c:v>
                </c:pt>
                <c:pt idx="4">
                  <c:v>0.48</c:v>
                </c:pt>
                <c:pt idx="5">
                  <c:v>0</c:v>
                </c:pt>
                <c:pt idx="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4-4737-8AC7-8B2E04343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043143"/>
        <c:axId val="1358045191"/>
      </c:barChart>
      <c:catAx>
        <c:axId val="1358043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45191"/>
        <c:crosses val="autoZero"/>
        <c:auto val="1"/>
        <c:lblAlgn val="ctr"/>
        <c:lblOffset val="100"/>
        <c:noMultiLvlLbl val="0"/>
      </c:catAx>
      <c:valAx>
        <c:axId val="13580451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43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CREDITS AND ABOVE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'3''O'' and 5''O'' &amp; above'!$A$5:$A$11</c:f>
              <c:strCache>
                <c:ptCount val="7"/>
                <c:pt idx="0">
                  <c:v>7D</c:v>
                </c:pt>
                <c:pt idx="1">
                  <c:v>7Y</c:v>
                </c:pt>
                <c:pt idx="2">
                  <c:v>7N</c:v>
                </c:pt>
                <c:pt idx="3">
                  <c:v>7A</c:v>
                </c:pt>
                <c:pt idx="4">
                  <c:v>7M</c:v>
                </c:pt>
                <c:pt idx="5">
                  <c:v>7I</c:v>
                </c:pt>
                <c:pt idx="6">
                  <c:v>7C</c:v>
                </c:pt>
              </c:strCache>
            </c:strRef>
          </c:cat>
          <c:val>
            <c:numRef>
              <c:f>'3''O'' and 5''O'' &amp; above'!$O$5:$O$11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0.96</c:v>
                </c:pt>
                <c:pt idx="4">
                  <c:v>0.84</c:v>
                </c:pt>
                <c:pt idx="5">
                  <c:v>0.33333333333333331</c:v>
                </c:pt>
                <c:pt idx="6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9-4B3C-92D2-7F63067B5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99368"/>
        <c:axId val="74001416"/>
      </c:barChart>
      <c:catAx>
        <c:axId val="7399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1416"/>
        <c:crosses val="autoZero"/>
        <c:auto val="1"/>
        <c:lblAlgn val="ctr"/>
        <c:lblOffset val="100"/>
        <c:noMultiLvlLbl val="0"/>
      </c:catAx>
      <c:valAx>
        <c:axId val="74001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9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3485678054531"/>
          <c:y val="9.7297425698672002E-2"/>
          <c:w val="0.8493793649875987"/>
          <c:h val="0.69729821750714938"/>
        </c:manualLayout>
      </c:layout>
      <c:barChart>
        <c:barDir val="col"/>
        <c:grouping val="clustered"/>
        <c:varyColors val="0"/>
        <c:ser>
          <c:idx val="0"/>
          <c:order val="0"/>
          <c:tx>
            <c:v>Class Avg</c:v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10"/>
              <c:pt idx="0">
                <c:v>9</c:v>
              </c:pt>
              <c:pt idx="1">
                <c:v>8</c:v>
              </c:pt>
              <c:pt idx="2">
                <c:v>7</c:v>
              </c:pt>
              <c:pt idx="3">
                <c:v>6</c:v>
              </c:pt>
              <c:pt idx="4">
                <c:v>5</c:v>
              </c:pt>
              <c:pt idx="5">
                <c:v>4</c:v>
              </c:pt>
              <c:pt idx="6">
                <c:v>3</c:v>
              </c:pt>
              <c:pt idx="7">
                <c:v>2</c:v>
              </c:pt>
              <c:pt idx="8">
                <c:v>1</c:v>
              </c:pt>
              <c:pt idx="9">
                <c:v>0</c:v>
              </c:pt>
            </c:numLit>
          </c:cat>
          <c:val>
            <c:numLit>
              <c:formatCode>General</c:formatCode>
              <c:ptCount val="10"/>
              <c:pt idx="0">
                <c:v>1.0050251256281407E-2</c:v>
              </c:pt>
              <c:pt idx="1">
                <c:v>2.5125628140703519E-2</c:v>
              </c:pt>
              <c:pt idx="2">
                <c:v>2.5125628140703519E-2</c:v>
              </c:pt>
              <c:pt idx="3">
                <c:v>2.5125628140703519E-2</c:v>
              </c:pt>
              <c:pt idx="4">
                <c:v>7.5376884422110546E-2</c:v>
              </c:pt>
              <c:pt idx="5">
                <c:v>0.1407035175879397</c:v>
              </c:pt>
              <c:pt idx="6">
                <c:v>0.14572864321608039</c:v>
              </c:pt>
              <c:pt idx="7">
                <c:v>0.22613065326633167</c:v>
              </c:pt>
              <c:pt idx="8">
                <c:v>0.23115577889447236</c:v>
              </c:pt>
              <c:pt idx="9">
                <c:v>9.5477386934673364E-2</c:v>
              </c:pt>
            </c:numLit>
          </c:val>
          <c:extLst>
            <c:ext xmlns:c16="http://schemas.microsoft.com/office/drawing/2014/chart" uri="{C3380CC4-5D6E-409C-BE32-E72D297353CC}">
              <c16:uniqueId val="{00000000-CC81-400A-B1ED-7BBDBB01B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253692544"/>
        <c:axId val="141583616"/>
      </c:barChart>
      <c:catAx>
        <c:axId val="25369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Credits Attained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83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1583616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3.1979457852321307E-2"/>
              <c:y val="0.368528759486459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6925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000000000000011" l="0.70000000000000007" r="0.70000000000000007" t="0.75000000000000011" header="0.30000000000000004" footer="0.30000000000000004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426620436418719E-2"/>
          <c:y val="4.2553173069222926E-2"/>
          <c:w val="0.84790264075388289"/>
          <c:h val="0.8546095591402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'No.of Credits Attained'!$C$7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numRef>
              <c:f>'No.of Credits Attained'!$A$8:$A$16</c:f>
              <c:numCache>
                <c:formatCode>General</c:formatCode>
                <c:ptCount val="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</c:numCache>
            </c:numRef>
          </c:cat>
          <c:val>
            <c:numRef>
              <c:f>'No.of Credits Attained'!$C$8:$C$16</c:f>
              <c:numCache>
                <c:formatCode>0.0%</c:formatCode>
                <c:ptCount val="9"/>
                <c:pt idx="0">
                  <c:v>0.15923566878980891</c:v>
                </c:pt>
                <c:pt idx="1">
                  <c:v>0.14012738853503184</c:v>
                </c:pt>
                <c:pt idx="2">
                  <c:v>0.12101910828025478</c:v>
                </c:pt>
                <c:pt idx="3">
                  <c:v>0.21019108280254778</c:v>
                </c:pt>
                <c:pt idx="4">
                  <c:v>7.0063694267515922E-2</c:v>
                </c:pt>
                <c:pt idx="5">
                  <c:v>8.9171974522292988E-2</c:v>
                </c:pt>
                <c:pt idx="6">
                  <c:v>9.5541401273885357E-2</c:v>
                </c:pt>
                <c:pt idx="7">
                  <c:v>3.1847133757961783E-2</c:v>
                </c:pt>
                <c:pt idx="8">
                  <c:v>8.2802547770700632E-2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6C3-9396-E4E0770F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261134512"/>
        <c:axId val="261135056"/>
      </c:barChart>
      <c:catAx>
        <c:axId val="26113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135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135056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13451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/>
              <a:t>CLASS</a:t>
            </a:r>
            <a:r>
              <a:rPr lang="en-US" baseline="0"/>
              <a:t> AVERAGE MARKS</a:t>
            </a:r>
          </a:p>
          <a:p>
            <a:pPr algn="ctr">
              <a:defRPr/>
            </a:pPr>
            <a:r>
              <a:rPr lang="en-US" sz="1800" b="1" i="0" baseline="0">
                <a:effectLst/>
              </a:rPr>
              <a:t>YEAR 10Sci1 &amp; YEAR 11, 2015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0442005560115798"/>
          <c:y val="0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3256493476797127"/>
          <c:y val="0.12701263330570189"/>
          <c:w val="0.84870376715581597"/>
          <c:h val="0.703041759001983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'class avg'!$B$2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avg'!$A$3:$A$10</c:f>
              <c:strCache>
                <c:ptCount val="8"/>
                <c:pt idx="0">
                  <c:v>10Sci1</c:v>
                </c:pt>
                <c:pt idx="1">
                  <c:v>11Sci2</c:v>
                </c:pt>
                <c:pt idx="2">
                  <c:v>11Sci3</c:v>
                </c:pt>
                <c:pt idx="3">
                  <c:v>11P</c:v>
                </c:pt>
                <c:pt idx="4">
                  <c:v>11E</c:v>
                </c:pt>
                <c:pt idx="5">
                  <c:v>11A</c:v>
                </c:pt>
                <c:pt idx="6">
                  <c:v>11R</c:v>
                </c:pt>
                <c:pt idx="7">
                  <c:v>11L</c:v>
                </c:pt>
              </c:strCache>
            </c:strRef>
          </c:cat>
          <c:val>
            <c:numRef>
              <c:f>'class avg'!$B$3:$B$10</c:f>
              <c:numCache>
                <c:formatCode>0.0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AC8B-4D6F-B2CF-514594E4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261125264"/>
        <c:axId val="261133968"/>
        <c:axId val="0"/>
      </c:bar3DChart>
      <c:catAx>
        <c:axId val="26112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Class</a:t>
                </a:r>
                <a:r>
                  <a:rPr lang="en-US" sz="1100" baseline="0"/>
                  <a:t>  &amp; No of students</a:t>
                </a:r>
                <a:endParaRPr lang="en-US" sz="110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261133968"/>
        <c:crosses val="autoZero"/>
        <c:auto val="1"/>
        <c:lblAlgn val="ctr"/>
        <c:lblOffset val="100"/>
        <c:noMultiLvlLbl val="0"/>
      </c:catAx>
      <c:valAx>
        <c:axId val="2611339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Class</a:t>
                </a:r>
                <a:r>
                  <a:rPr lang="en-US" sz="1200" baseline="0"/>
                  <a:t> Average</a:t>
                </a:r>
                <a:endParaRPr lang="en-US" sz="1200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crossAx val="26112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C6-4C12-B1BC-862F7E25F7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2C6-4C12-B1BC-862F7E25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135600"/>
        <c:axId val="261136144"/>
      </c:barChart>
      <c:catAx>
        <c:axId val="26113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136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136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135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8FFC-4E58-A0A0-1645B4051171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8FFC-4E58-A0A0-1645B4051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137232"/>
        <c:axId val="261127984"/>
      </c:barChart>
      <c:catAx>
        <c:axId val="26113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127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12798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1372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36082777342564"/>
          <c:y val="0.4835795780285761"/>
          <c:w val="7.8680239611122235E-2"/>
          <c:h val="0.123443030456943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74083</xdr:colOff>
      <xdr:row>1</xdr:row>
      <xdr:rowOff>25823</xdr:rowOff>
    </xdr:from>
    <xdr:to>
      <xdr:col>16</xdr:col>
      <xdr:colOff>510886</xdr:colOff>
      <xdr:row>31</xdr:row>
      <xdr:rowOff>42333</xdr:rowOff>
    </xdr:to>
    <xdr:graphicFrame macro="">
      <xdr:nvGraphicFramePr>
        <xdr:cNvPr id="3766" name="Chart 1">
          <a:extLst>
            <a:ext uri="{FF2B5EF4-FFF2-40B4-BE49-F238E27FC236}">
              <a16:creationId xmlns:a16="http://schemas.microsoft.com/office/drawing/2014/main" id="{EC9C1E4C-A11D-4631-B592-677A85712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3</xdr:row>
      <xdr:rowOff>29209</xdr:rowOff>
    </xdr:from>
    <xdr:to>
      <xdr:col>16</xdr:col>
      <xdr:colOff>441614</xdr:colOff>
      <xdr:row>31</xdr:row>
      <xdr:rowOff>28222</xdr:rowOff>
    </xdr:to>
    <xdr:graphicFrame macro="">
      <xdr:nvGraphicFramePr>
        <xdr:cNvPr id="3767" name="Chart 2">
          <a:extLst>
            <a:ext uri="{FF2B5EF4-FFF2-40B4-BE49-F238E27FC236}">
              <a16:creationId xmlns:a16="http://schemas.microsoft.com/office/drawing/2014/main" id="{3C9A48C2-D04F-44BF-BC50-ADED6BD7C6C4}"/>
            </a:ext>
            <a:ext uri="{147F2762-F138-4A5C-976F-8EAC2B608ADB}">
              <a16:predDERef xmlns:a16="http://schemas.microsoft.com/office/drawing/2014/main" pred="{EC9C1E4C-A11D-4631-B592-677A85712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276225</xdr:colOff>
      <xdr:row>1</xdr:row>
      <xdr:rowOff>152400</xdr:rowOff>
    </xdr:from>
    <xdr:to>
      <xdr:col>23</xdr:col>
      <xdr:colOff>38100</xdr:colOff>
      <xdr:row>11</xdr:row>
      <xdr:rowOff>390525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53BFD5-6FE8-8D0B-304B-91097D60F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133350</xdr:colOff>
      <xdr:row>1</xdr:row>
      <xdr:rowOff>133350</xdr:rowOff>
    </xdr:from>
    <xdr:to>
      <xdr:col>30</xdr:col>
      <xdr:colOff>733425</xdr:colOff>
      <xdr:row>12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90739C-7DB6-8696-6F3A-B4D6BCB0B974}"/>
            </a:ext>
            <a:ext uri="{147F2762-F138-4A5C-976F-8EAC2B608ADB}">
              <a16:predDERef xmlns:a16="http://schemas.microsoft.com/office/drawing/2014/main" pred="{7C53BFD5-6FE8-8D0B-304B-91097D60F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5</xdr:row>
      <xdr:rowOff>83820</xdr:rowOff>
    </xdr:from>
    <xdr:to>
      <xdr:col>19</xdr:col>
      <xdr:colOff>0</xdr:colOff>
      <xdr:row>22</xdr:row>
      <xdr:rowOff>200025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EFBC0FE9-14CC-4E85-A3BB-41CA15E56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</xdr:colOff>
      <xdr:row>6</xdr:row>
      <xdr:rowOff>207645</xdr:rowOff>
    </xdr:from>
    <xdr:to>
      <xdr:col>18</xdr:col>
      <xdr:colOff>428625</xdr:colOff>
      <xdr:row>21</xdr:row>
      <xdr:rowOff>62865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C37C9-AC9B-40B0-BB4E-E5331654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38100</xdr:rowOff>
    </xdr:from>
    <xdr:to>
      <xdr:col>13</xdr:col>
      <xdr:colOff>487680</xdr:colOff>
      <xdr:row>32</xdr:row>
      <xdr:rowOff>160020</xdr:rowOff>
    </xdr:to>
    <xdr:graphicFrame macro="">
      <xdr:nvGraphicFramePr>
        <xdr:cNvPr id="4640" name="Chart 2">
          <a:extLst>
            <a:ext uri="{FF2B5EF4-FFF2-40B4-BE49-F238E27FC236}">
              <a16:creationId xmlns:a16="http://schemas.microsoft.com/office/drawing/2014/main" id="{3A0B247F-4CB0-4C3D-A7E4-309B789BF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137</xdr:row>
      <xdr:rowOff>0</xdr:rowOff>
    </xdr:from>
    <xdr:to>
      <xdr:col>15</xdr:col>
      <xdr:colOff>502920</xdr:colOff>
      <xdr:row>137</xdr:row>
      <xdr:rowOff>0</xdr:rowOff>
    </xdr:to>
    <xdr:graphicFrame macro="">
      <xdr:nvGraphicFramePr>
        <xdr:cNvPr id="1719902" name="Chart 1">
          <a:extLst>
            <a:ext uri="{FF2B5EF4-FFF2-40B4-BE49-F238E27FC236}">
              <a16:creationId xmlns:a16="http://schemas.microsoft.com/office/drawing/2014/main" id="{0E88A048-A750-4AE7-B76E-BF58CA8A0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106680</xdr:colOff>
      <xdr:row>137</xdr:row>
      <xdr:rowOff>0</xdr:rowOff>
    </xdr:from>
    <xdr:to>
      <xdr:col>2</xdr:col>
      <xdr:colOff>381000</xdr:colOff>
      <xdr:row>137</xdr:row>
      <xdr:rowOff>0</xdr:rowOff>
    </xdr:to>
    <xdr:sp macro="" textlink="">
      <xdr:nvSpPr>
        <xdr:cNvPr id="1719903" name="AutoShape 2">
          <a:extLst>
            <a:ext uri="{FF2B5EF4-FFF2-40B4-BE49-F238E27FC236}">
              <a16:creationId xmlns:a16="http://schemas.microsoft.com/office/drawing/2014/main" id="{CC6C93E2-213F-47B9-B8D7-009AD200CFF0}"/>
            </a:ext>
          </a:extLst>
        </xdr:cNvPr>
        <xdr:cNvSpPr>
          <a:spLocks noChangeArrowheads="1"/>
        </xdr:cNvSpPr>
      </xdr:nvSpPr>
      <xdr:spPr bwMode="auto">
        <a:xfrm>
          <a:off x="1234440" y="29405580"/>
          <a:ext cx="119634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45720</xdr:colOff>
      <xdr:row>159</xdr:row>
      <xdr:rowOff>137160</xdr:rowOff>
    </xdr:from>
    <xdr:to>
      <xdr:col>28</xdr:col>
      <xdr:colOff>563880</xdr:colOff>
      <xdr:row>183</xdr:row>
      <xdr:rowOff>106680</xdr:rowOff>
    </xdr:to>
    <xdr:graphicFrame macro="">
      <xdr:nvGraphicFramePr>
        <xdr:cNvPr id="1719904" name="Chart 3">
          <a:extLst>
            <a:ext uri="{FF2B5EF4-FFF2-40B4-BE49-F238E27FC236}">
              <a16:creationId xmlns:a16="http://schemas.microsoft.com/office/drawing/2014/main" id="{C1BEFC13-3D63-4E64-BAB4-86A2698A8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7/7D%20EOY%20EXAM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7/7D%20EOY%20EXAM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7/7Y%20EOY%20EXAM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7/7Y%20EOY%20EXAM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7/7N%20EOY%20EXAM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7/7N%20EOY%20EXAM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7/7A%20EOY%20EXAM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7/7A%20EOY%20EXAM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7/7M%20EOY%20EXAM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7/7M%20EOY%20EXAM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7/7I%20EOY%20EXAM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7/7I%20EOY%20EXAM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umoebn-my.sharepoint.com/personal/exam_section_smpapmasna_edu_moe_bn/Documents/EXAM%20SECTION%20SMPAPHM/MASTERMARK%20SHEETS/MMS%202025/END%20OF%20YEAR%20EXAMINATION/EOY%202025%20YEAR%207/7C%20EOY%20EXAM%202025.xlsx" TargetMode="External"/><Relationship Id="rId1" Type="http://schemas.openxmlformats.org/officeDocument/2006/relationships/externalLinkPath" Target="/personal/exam_section_smpapmasna_edu_moe_bn/Documents/EXAM%20SECTION%20SMPAPHM/MASTERMARK%20SHEETS/MMS%202025/END%20OF%20YEAR%20EXAMINATION/EOY%202025%20YEAR%207/7C%20EOY%20EXAM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NSHLEZ3DXWRDJYUPADH724XND">
      <xxl21:absoluteUrl r:id="rId2"/>
    </xxl21:alternateUrls>
    <sheetNames>
      <sheetName val="Comments"/>
      <sheetName val="Mas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>
        <row r="47">
          <cell r="J47">
            <v>0</v>
          </cell>
          <cell r="M47">
            <v>1</v>
          </cell>
          <cell r="P47">
            <v>1</v>
          </cell>
          <cell r="S47">
            <v>10</v>
          </cell>
          <cell r="V47">
            <v>2</v>
          </cell>
          <cell r="Y47">
            <v>0</v>
          </cell>
          <cell r="AB47">
            <v>10</v>
          </cell>
          <cell r="AH47">
            <v>13</v>
          </cell>
          <cell r="AK47">
            <v>1</v>
          </cell>
        </row>
        <row r="48">
          <cell r="J48">
            <v>6</v>
          </cell>
          <cell r="M48">
            <v>13</v>
          </cell>
          <cell r="P48">
            <v>5</v>
          </cell>
          <cell r="S48">
            <v>2</v>
          </cell>
          <cell r="V48">
            <v>5</v>
          </cell>
          <cell r="Y48">
            <v>7</v>
          </cell>
          <cell r="AB48">
            <v>4</v>
          </cell>
          <cell r="AH48">
            <v>3</v>
          </cell>
          <cell r="AK48">
            <v>0</v>
          </cell>
          <cell r="BO48">
            <v>16</v>
          </cell>
        </row>
        <row r="49">
          <cell r="J49">
            <v>4</v>
          </cell>
          <cell r="M49">
            <v>3</v>
          </cell>
          <cell r="P49">
            <v>2</v>
          </cell>
          <cell r="S49">
            <v>4</v>
          </cell>
          <cell r="V49">
            <v>4</v>
          </cell>
          <cell r="Y49">
            <v>5</v>
          </cell>
          <cell r="AB49">
            <v>3</v>
          </cell>
          <cell r="AH49">
            <v>0</v>
          </cell>
          <cell r="AK49">
            <v>1</v>
          </cell>
          <cell r="BO49">
            <v>1</v>
          </cell>
        </row>
        <row r="50">
          <cell r="J50">
            <v>4</v>
          </cell>
          <cell r="M50">
            <v>1</v>
          </cell>
          <cell r="P50">
            <v>3</v>
          </cell>
          <cell r="S50">
            <v>1</v>
          </cell>
          <cell r="V50">
            <v>4</v>
          </cell>
          <cell r="Y50">
            <v>2</v>
          </cell>
          <cell r="AB50">
            <v>1</v>
          </cell>
          <cell r="AH50">
            <v>0</v>
          </cell>
          <cell r="AK50">
            <v>0</v>
          </cell>
          <cell r="BO50">
            <v>1</v>
          </cell>
        </row>
        <row r="51">
          <cell r="J51">
            <v>2</v>
          </cell>
          <cell r="M51">
            <v>0</v>
          </cell>
          <cell r="P51">
            <v>5</v>
          </cell>
          <cell r="S51">
            <v>0</v>
          </cell>
          <cell r="V51">
            <v>1</v>
          </cell>
          <cell r="Y51">
            <v>3</v>
          </cell>
          <cell r="AB51">
            <v>0</v>
          </cell>
          <cell r="AH51">
            <v>0</v>
          </cell>
          <cell r="AK51">
            <v>0</v>
          </cell>
          <cell r="BO51">
            <v>0</v>
          </cell>
        </row>
        <row r="52">
          <cell r="J52">
            <v>1</v>
          </cell>
          <cell r="M52">
            <v>0</v>
          </cell>
          <cell r="P52">
            <v>2</v>
          </cell>
          <cell r="S52">
            <v>0</v>
          </cell>
          <cell r="V52">
            <v>1</v>
          </cell>
          <cell r="Y52">
            <v>1</v>
          </cell>
          <cell r="AB52">
            <v>0</v>
          </cell>
          <cell r="AH52">
            <v>0</v>
          </cell>
          <cell r="AK52">
            <v>0</v>
          </cell>
          <cell r="BO52">
            <v>0</v>
          </cell>
        </row>
        <row r="53">
          <cell r="J53">
            <v>1</v>
          </cell>
          <cell r="M53">
            <v>0</v>
          </cell>
          <cell r="P53">
            <v>0</v>
          </cell>
          <cell r="S53">
            <v>1</v>
          </cell>
          <cell r="V53">
            <v>1</v>
          </cell>
          <cell r="Y53">
            <v>0</v>
          </cell>
          <cell r="AB53">
            <v>0</v>
          </cell>
          <cell r="AH53">
            <v>0</v>
          </cell>
          <cell r="AK53">
            <v>0</v>
          </cell>
          <cell r="BO53">
            <v>0</v>
          </cell>
        </row>
        <row r="54">
          <cell r="J54">
            <v>0</v>
          </cell>
          <cell r="M54">
            <v>0</v>
          </cell>
          <cell r="P54">
            <v>0</v>
          </cell>
          <cell r="S54">
            <v>0</v>
          </cell>
          <cell r="V54">
            <v>0</v>
          </cell>
          <cell r="Y54">
            <v>0</v>
          </cell>
          <cell r="AB54">
            <v>0</v>
          </cell>
          <cell r="AH54">
            <v>0</v>
          </cell>
          <cell r="AK54">
            <v>0</v>
          </cell>
          <cell r="BO54">
            <v>0</v>
          </cell>
        </row>
        <row r="55">
          <cell r="J55">
            <v>0</v>
          </cell>
          <cell r="M55">
            <v>0</v>
          </cell>
          <cell r="P55">
            <v>0</v>
          </cell>
          <cell r="S55">
            <v>0</v>
          </cell>
          <cell r="V55">
            <v>0</v>
          </cell>
          <cell r="Y55">
            <v>0</v>
          </cell>
          <cell r="AB55">
            <v>0</v>
          </cell>
          <cell r="AH55">
            <v>0</v>
          </cell>
          <cell r="AK55">
            <v>0</v>
          </cell>
          <cell r="BO55">
            <v>0</v>
          </cell>
        </row>
        <row r="56">
          <cell r="BO5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WJ37EVRPW3NGYVHADQ5H476LC">
      <xxl21:absoluteUrl r:id="rId2"/>
    </xxl21:alternateUrls>
    <sheetNames>
      <sheetName val="Comments"/>
      <sheetName val="Mas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>
        <row r="65">
          <cell r="BJ65">
            <v>0</v>
          </cell>
        </row>
        <row r="66">
          <cell r="K66">
            <v>0</v>
          </cell>
          <cell r="N66">
            <v>4</v>
          </cell>
          <cell r="Q66">
            <v>0</v>
          </cell>
          <cell r="T66">
            <v>6</v>
          </cell>
          <cell r="W66">
            <v>2</v>
          </cell>
          <cell r="Z66">
            <v>3</v>
          </cell>
          <cell r="AC66">
            <v>6</v>
          </cell>
          <cell r="AI66">
            <v>13</v>
          </cell>
          <cell r="BJ66">
            <v>0</v>
          </cell>
        </row>
        <row r="67">
          <cell r="K67">
            <v>2</v>
          </cell>
          <cell r="N67">
            <v>7</v>
          </cell>
          <cell r="Q67">
            <v>1</v>
          </cell>
          <cell r="T67">
            <v>9</v>
          </cell>
          <cell r="W67">
            <v>9</v>
          </cell>
          <cell r="Z67">
            <v>6</v>
          </cell>
          <cell r="AC67">
            <v>8</v>
          </cell>
          <cell r="AI67">
            <v>7</v>
          </cell>
          <cell r="BJ67">
            <v>0</v>
          </cell>
        </row>
        <row r="68">
          <cell r="K68">
            <v>8</v>
          </cell>
          <cell r="N68">
            <v>4</v>
          </cell>
          <cell r="Q68">
            <v>1</v>
          </cell>
          <cell r="T68">
            <v>3</v>
          </cell>
          <cell r="W68">
            <v>4</v>
          </cell>
          <cell r="Z68">
            <v>2</v>
          </cell>
          <cell r="AC68">
            <v>2</v>
          </cell>
          <cell r="AI68">
            <v>0</v>
          </cell>
          <cell r="BJ68">
            <v>20</v>
          </cell>
        </row>
        <row r="69">
          <cell r="K69">
            <v>5</v>
          </cell>
          <cell r="N69">
            <v>5</v>
          </cell>
          <cell r="Q69">
            <v>3</v>
          </cell>
          <cell r="T69">
            <v>1</v>
          </cell>
          <cell r="W69">
            <v>2</v>
          </cell>
          <cell r="Z69">
            <v>5</v>
          </cell>
          <cell r="AC69">
            <v>3</v>
          </cell>
          <cell r="AI69">
            <v>0</v>
          </cell>
          <cell r="BJ69">
            <v>0</v>
          </cell>
        </row>
        <row r="70">
          <cell r="K70">
            <v>2</v>
          </cell>
          <cell r="N70">
            <v>0</v>
          </cell>
          <cell r="Q70">
            <v>4</v>
          </cell>
          <cell r="T70">
            <v>0</v>
          </cell>
          <cell r="W70">
            <v>1</v>
          </cell>
          <cell r="Z70">
            <v>1</v>
          </cell>
          <cell r="AC70">
            <v>0</v>
          </cell>
          <cell r="AI70">
            <v>0</v>
          </cell>
          <cell r="BJ70">
            <v>1</v>
          </cell>
        </row>
        <row r="71">
          <cell r="K71">
            <v>3</v>
          </cell>
          <cell r="N71">
            <v>0</v>
          </cell>
          <cell r="Q71">
            <v>2</v>
          </cell>
          <cell r="T71">
            <v>1</v>
          </cell>
          <cell r="W71">
            <v>2</v>
          </cell>
          <cell r="Z71">
            <v>0</v>
          </cell>
          <cell r="AC71">
            <v>0</v>
          </cell>
          <cell r="AI71">
            <v>0</v>
          </cell>
          <cell r="BJ71">
            <v>0</v>
          </cell>
        </row>
        <row r="72">
          <cell r="K72">
            <v>0</v>
          </cell>
          <cell r="N72">
            <v>0</v>
          </cell>
          <cell r="Q72">
            <v>4</v>
          </cell>
          <cell r="T72">
            <v>0</v>
          </cell>
          <cell r="W72">
            <v>0</v>
          </cell>
          <cell r="Z72">
            <v>2</v>
          </cell>
          <cell r="AC72">
            <v>1</v>
          </cell>
          <cell r="AI72">
            <v>0</v>
          </cell>
          <cell r="BJ72">
            <v>0</v>
          </cell>
        </row>
        <row r="73">
          <cell r="K73">
            <v>0</v>
          </cell>
          <cell r="N73">
            <v>0</v>
          </cell>
          <cell r="Q73">
            <v>4</v>
          </cell>
          <cell r="T73">
            <v>0</v>
          </cell>
          <cell r="W73">
            <v>0</v>
          </cell>
          <cell r="Z73">
            <v>1</v>
          </cell>
          <cell r="AC73">
            <v>0</v>
          </cell>
          <cell r="AI73">
            <v>0</v>
          </cell>
          <cell r="BJ73">
            <v>0</v>
          </cell>
        </row>
        <row r="74">
          <cell r="K74">
            <v>0</v>
          </cell>
          <cell r="N74">
            <v>0</v>
          </cell>
          <cell r="Q74">
            <v>1</v>
          </cell>
          <cell r="T74">
            <v>0</v>
          </cell>
          <cell r="W74">
            <v>0</v>
          </cell>
          <cell r="Z74">
            <v>0</v>
          </cell>
          <cell r="AC74">
            <v>0</v>
          </cell>
          <cell r="AI7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4T2EB6S5QHJEZIAUK55UHNCPH">
      <xxl21:absoluteUrl r:id="rId2"/>
    </xxl21:alternateUrls>
    <sheetNames>
      <sheetName val="Comments"/>
      <sheetName val="Master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>
        <row r="66">
          <cell r="K66">
            <v>0</v>
          </cell>
          <cell r="N66">
            <v>2</v>
          </cell>
          <cell r="Q66">
            <v>0</v>
          </cell>
          <cell r="T66">
            <v>1</v>
          </cell>
          <cell r="Z66">
            <v>0</v>
          </cell>
          <cell r="AC66">
            <v>3</v>
          </cell>
          <cell r="AI66">
            <v>3</v>
          </cell>
        </row>
        <row r="67">
          <cell r="K67">
            <v>3</v>
          </cell>
          <cell r="N67">
            <v>8</v>
          </cell>
          <cell r="Q67">
            <v>0</v>
          </cell>
          <cell r="T67">
            <v>5</v>
          </cell>
          <cell r="Z67">
            <v>1</v>
          </cell>
          <cell r="AC67">
            <v>11</v>
          </cell>
          <cell r="AI67">
            <v>10</v>
          </cell>
          <cell r="BB67">
            <v>6</v>
          </cell>
        </row>
        <row r="68">
          <cell r="K68">
            <v>4</v>
          </cell>
          <cell r="N68">
            <v>6</v>
          </cell>
          <cell r="Q68">
            <v>0</v>
          </cell>
          <cell r="T68">
            <v>5</v>
          </cell>
          <cell r="Z68">
            <v>4</v>
          </cell>
          <cell r="AC68">
            <v>4</v>
          </cell>
          <cell r="AI68">
            <v>3</v>
          </cell>
          <cell r="BB68">
            <v>8</v>
          </cell>
        </row>
        <row r="69">
          <cell r="K69">
            <v>6</v>
          </cell>
          <cell r="N69">
            <v>6</v>
          </cell>
          <cell r="Q69">
            <v>1</v>
          </cell>
          <cell r="T69">
            <v>6</v>
          </cell>
          <cell r="Z69">
            <v>6</v>
          </cell>
          <cell r="AC69">
            <v>3</v>
          </cell>
          <cell r="AI69">
            <v>3</v>
          </cell>
          <cell r="BB69">
            <v>4</v>
          </cell>
        </row>
        <row r="70">
          <cell r="K70">
            <v>7</v>
          </cell>
          <cell r="N70">
            <v>2</v>
          </cell>
          <cell r="Q70">
            <v>1</v>
          </cell>
          <cell r="T70">
            <v>1</v>
          </cell>
          <cell r="Z70">
            <v>5</v>
          </cell>
          <cell r="AC70">
            <v>1</v>
          </cell>
          <cell r="AI70">
            <v>2</v>
          </cell>
          <cell r="BB70">
            <v>5</v>
          </cell>
        </row>
        <row r="71">
          <cell r="K71">
            <v>3</v>
          </cell>
          <cell r="N71">
            <v>0</v>
          </cell>
          <cell r="Q71">
            <v>5</v>
          </cell>
          <cell r="T71">
            <v>3</v>
          </cell>
          <cell r="Z71">
            <v>3</v>
          </cell>
          <cell r="AC71">
            <v>2</v>
          </cell>
          <cell r="AI71">
            <v>2</v>
          </cell>
          <cell r="BB71">
            <v>1</v>
          </cell>
        </row>
        <row r="72">
          <cell r="K72">
            <v>1</v>
          </cell>
          <cell r="N72">
            <v>0</v>
          </cell>
          <cell r="Q72">
            <v>5</v>
          </cell>
          <cell r="T72">
            <v>2</v>
          </cell>
          <cell r="Z72">
            <v>5</v>
          </cell>
          <cell r="AC72">
            <v>0</v>
          </cell>
          <cell r="AI72">
            <v>1</v>
          </cell>
          <cell r="BB72">
            <v>0</v>
          </cell>
        </row>
        <row r="73">
          <cell r="K73">
            <v>0</v>
          </cell>
          <cell r="N73">
            <v>0</v>
          </cell>
          <cell r="Q73">
            <v>6</v>
          </cell>
          <cell r="T73">
            <v>1</v>
          </cell>
          <cell r="Z73">
            <v>0</v>
          </cell>
          <cell r="AC73">
            <v>0</v>
          </cell>
          <cell r="AI73">
            <v>0</v>
          </cell>
          <cell r="BB73">
            <v>0</v>
          </cell>
        </row>
        <row r="74">
          <cell r="K74">
            <v>0</v>
          </cell>
          <cell r="N74">
            <v>0</v>
          </cell>
          <cell r="Q74">
            <v>6</v>
          </cell>
          <cell r="T74">
            <v>0</v>
          </cell>
          <cell r="Z74">
            <v>0</v>
          </cell>
          <cell r="AC74">
            <v>0</v>
          </cell>
          <cell r="AI74">
            <v>0</v>
          </cell>
          <cell r="BB74">
            <v>0</v>
          </cell>
        </row>
        <row r="75">
          <cell r="BB7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DALFJJHQNCJHZ3MJTBIELD7SH">
      <xxl21:absoluteUrl r:id="rId2"/>
    </xxl21:alternateUrls>
    <sheetNames>
      <sheetName val="Comments"/>
      <sheetName val="Mas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>
        <row r="47">
          <cell r="J47">
            <v>0</v>
          </cell>
          <cell r="M47">
            <v>0</v>
          </cell>
          <cell r="P47">
            <v>0</v>
          </cell>
          <cell r="S47">
            <v>10</v>
          </cell>
          <cell r="V47">
            <v>0</v>
          </cell>
          <cell r="Y47">
            <v>0</v>
          </cell>
          <cell r="AB47">
            <v>2</v>
          </cell>
          <cell r="AH47">
            <v>3</v>
          </cell>
        </row>
        <row r="48">
          <cell r="J48">
            <v>1</v>
          </cell>
          <cell r="M48">
            <v>8</v>
          </cell>
          <cell r="P48">
            <v>0</v>
          </cell>
          <cell r="S48">
            <v>8</v>
          </cell>
          <cell r="V48">
            <v>3</v>
          </cell>
          <cell r="Y48">
            <v>0</v>
          </cell>
          <cell r="AB48">
            <v>10</v>
          </cell>
          <cell r="AH48">
            <v>5</v>
          </cell>
          <cell r="BO48">
            <v>3</v>
          </cell>
        </row>
        <row r="49">
          <cell r="J49">
            <v>7</v>
          </cell>
          <cell r="M49">
            <v>7</v>
          </cell>
          <cell r="P49">
            <v>0</v>
          </cell>
          <cell r="S49">
            <v>2</v>
          </cell>
          <cell r="V49">
            <v>2</v>
          </cell>
          <cell r="Y49">
            <v>0</v>
          </cell>
          <cell r="AB49">
            <v>2</v>
          </cell>
          <cell r="AH49">
            <v>6</v>
          </cell>
          <cell r="BO49">
            <v>9</v>
          </cell>
        </row>
        <row r="50">
          <cell r="J50">
            <v>6</v>
          </cell>
          <cell r="M50">
            <v>9</v>
          </cell>
          <cell r="P50">
            <v>2</v>
          </cell>
          <cell r="S50">
            <v>0</v>
          </cell>
          <cell r="V50">
            <v>4</v>
          </cell>
          <cell r="Y50">
            <v>3</v>
          </cell>
          <cell r="AB50">
            <v>4</v>
          </cell>
          <cell r="AH50">
            <v>2</v>
          </cell>
          <cell r="BO50">
            <v>7</v>
          </cell>
        </row>
        <row r="51">
          <cell r="J51">
            <v>7</v>
          </cell>
          <cell r="M51">
            <v>0</v>
          </cell>
          <cell r="P51">
            <v>0</v>
          </cell>
          <cell r="S51">
            <v>3</v>
          </cell>
          <cell r="V51">
            <v>2</v>
          </cell>
          <cell r="Y51">
            <v>5</v>
          </cell>
          <cell r="AB51">
            <v>3</v>
          </cell>
          <cell r="AH51">
            <v>4</v>
          </cell>
          <cell r="BO51">
            <v>3</v>
          </cell>
        </row>
        <row r="52">
          <cell r="J52">
            <v>3</v>
          </cell>
          <cell r="M52">
            <v>1</v>
          </cell>
          <cell r="P52">
            <v>2</v>
          </cell>
          <cell r="S52">
            <v>1</v>
          </cell>
          <cell r="V52">
            <v>7</v>
          </cell>
          <cell r="Y52">
            <v>6</v>
          </cell>
          <cell r="AB52">
            <v>2</v>
          </cell>
          <cell r="AH52">
            <v>1</v>
          </cell>
          <cell r="BO52">
            <v>2</v>
          </cell>
        </row>
        <row r="53">
          <cell r="J53">
            <v>1</v>
          </cell>
          <cell r="M53">
            <v>0</v>
          </cell>
          <cell r="P53">
            <v>4</v>
          </cell>
          <cell r="S53">
            <v>1</v>
          </cell>
          <cell r="V53">
            <v>6</v>
          </cell>
          <cell r="Y53">
            <v>10</v>
          </cell>
          <cell r="AB53">
            <v>2</v>
          </cell>
          <cell r="AH53">
            <v>1</v>
          </cell>
          <cell r="BO53">
            <v>0</v>
          </cell>
        </row>
        <row r="54">
          <cell r="J54">
            <v>0</v>
          </cell>
          <cell r="M54">
            <v>0</v>
          </cell>
          <cell r="P54">
            <v>9</v>
          </cell>
          <cell r="S54">
            <v>0</v>
          </cell>
          <cell r="V54">
            <v>1</v>
          </cell>
          <cell r="Y54">
            <v>1</v>
          </cell>
          <cell r="AB54">
            <v>0</v>
          </cell>
          <cell r="AH54">
            <v>1</v>
          </cell>
          <cell r="BO54">
            <v>0</v>
          </cell>
        </row>
        <row r="55">
          <cell r="J55">
            <v>0</v>
          </cell>
          <cell r="M55">
            <v>0</v>
          </cell>
          <cell r="P55">
            <v>8</v>
          </cell>
          <cell r="S55">
            <v>0</v>
          </cell>
          <cell r="V55">
            <v>0</v>
          </cell>
          <cell r="Y55">
            <v>0</v>
          </cell>
          <cell r="AB55">
            <v>0</v>
          </cell>
          <cell r="AH55">
            <v>2</v>
          </cell>
          <cell r="BO55">
            <v>1</v>
          </cell>
        </row>
        <row r="56">
          <cell r="BO5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33U6HOFBFMJF372KUHHP4E7J5">
      <xxl21:absoluteUrl r:id="rId2"/>
    </xxl21:alternateUrls>
    <sheetNames>
      <sheetName val="Comments"/>
      <sheetName val="Mas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>
        <row r="65">
          <cell r="BP65">
            <v>0</v>
          </cell>
        </row>
        <row r="66">
          <cell r="K66">
            <v>0</v>
          </cell>
          <cell r="N66">
            <v>0</v>
          </cell>
          <cell r="Q66">
            <v>0</v>
          </cell>
          <cell r="T66">
            <v>6</v>
          </cell>
          <cell r="W66">
            <v>0</v>
          </cell>
          <cell r="Z66">
            <v>0</v>
          </cell>
          <cell r="AC66">
            <v>0</v>
          </cell>
          <cell r="AI66">
            <v>2</v>
          </cell>
          <cell r="BP66">
            <v>4</v>
          </cell>
        </row>
        <row r="67">
          <cell r="K67">
            <v>0</v>
          </cell>
          <cell r="N67">
            <v>10</v>
          </cell>
          <cell r="Q67">
            <v>0</v>
          </cell>
          <cell r="T67">
            <v>8</v>
          </cell>
          <cell r="W67">
            <v>0</v>
          </cell>
          <cell r="Z67">
            <v>2</v>
          </cell>
          <cell r="AC67">
            <v>7</v>
          </cell>
          <cell r="AI67">
            <v>4</v>
          </cell>
          <cell r="BP67">
            <v>6</v>
          </cell>
        </row>
        <row r="68">
          <cell r="K68">
            <v>0</v>
          </cell>
          <cell r="N68">
            <v>6</v>
          </cell>
          <cell r="Q68">
            <v>0</v>
          </cell>
          <cell r="T68">
            <v>0</v>
          </cell>
          <cell r="W68">
            <v>2</v>
          </cell>
          <cell r="Z68">
            <v>3</v>
          </cell>
          <cell r="AC68">
            <v>5</v>
          </cell>
          <cell r="AI68">
            <v>4</v>
          </cell>
          <cell r="BP68">
            <v>2</v>
          </cell>
        </row>
        <row r="69">
          <cell r="K69">
            <v>3</v>
          </cell>
          <cell r="N69">
            <v>1</v>
          </cell>
          <cell r="Q69">
            <v>0</v>
          </cell>
          <cell r="T69">
            <v>3</v>
          </cell>
          <cell r="W69">
            <v>1</v>
          </cell>
          <cell r="Z69">
            <v>1</v>
          </cell>
          <cell r="AC69">
            <v>4</v>
          </cell>
          <cell r="AI69">
            <v>0</v>
          </cell>
          <cell r="BP69">
            <v>6</v>
          </cell>
        </row>
        <row r="70">
          <cell r="K70">
            <v>4</v>
          </cell>
          <cell r="N70">
            <v>2</v>
          </cell>
          <cell r="Q70">
            <v>0</v>
          </cell>
          <cell r="T70">
            <v>4</v>
          </cell>
          <cell r="W70">
            <v>3</v>
          </cell>
          <cell r="Z70">
            <v>6</v>
          </cell>
          <cell r="AC70">
            <v>1</v>
          </cell>
          <cell r="AI70">
            <v>0</v>
          </cell>
          <cell r="BP70">
            <v>3</v>
          </cell>
        </row>
        <row r="71">
          <cell r="K71">
            <v>6</v>
          </cell>
          <cell r="N71">
            <v>5</v>
          </cell>
          <cell r="Q71">
            <v>3</v>
          </cell>
          <cell r="T71">
            <v>0</v>
          </cell>
          <cell r="W71">
            <v>1</v>
          </cell>
          <cell r="Z71">
            <v>3</v>
          </cell>
          <cell r="AC71">
            <v>0</v>
          </cell>
          <cell r="AI71">
            <v>5</v>
          </cell>
          <cell r="BP71">
            <v>4</v>
          </cell>
        </row>
        <row r="72">
          <cell r="K72">
            <v>5</v>
          </cell>
          <cell r="N72">
            <v>1</v>
          </cell>
          <cell r="Q72">
            <v>2</v>
          </cell>
          <cell r="T72">
            <v>2</v>
          </cell>
          <cell r="W72">
            <v>10</v>
          </cell>
          <cell r="Z72">
            <v>6</v>
          </cell>
          <cell r="AC72">
            <v>5</v>
          </cell>
          <cell r="AI72">
            <v>4</v>
          </cell>
          <cell r="BP72">
            <v>0</v>
          </cell>
        </row>
        <row r="73">
          <cell r="K73">
            <v>6</v>
          </cell>
          <cell r="N73">
            <v>0</v>
          </cell>
          <cell r="Q73">
            <v>5</v>
          </cell>
          <cell r="T73">
            <v>0</v>
          </cell>
          <cell r="W73">
            <v>5</v>
          </cell>
          <cell r="Z73">
            <v>3</v>
          </cell>
          <cell r="AC73">
            <v>2</v>
          </cell>
          <cell r="AI73">
            <v>5</v>
          </cell>
          <cell r="BP73">
            <v>0</v>
          </cell>
        </row>
        <row r="74">
          <cell r="K74">
            <v>1</v>
          </cell>
          <cell r="N74">
            <v>0</v>
          </cell>
          <cell r="Q74">
            <v>15</v>
          </cell>
          <cell r="T74">
            <v>2</v>
          </cell>
          <cell r="W74">
            <v>3</v>
          </cell>
          <cell r="Z74">
            <v>1</v>
          </cell>
          <cell r="AC74">
            <v>1</v>
          </cell>
          <cell r="AI7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S7M2OHLJXA5ELGLRJEWOIMO7S">
      <xxl21:absoluteUrl r:id="rId2"/>
    </xxl21:alternateUrls>
    <sheetNames>
      <sheetName val="Comments"/>
      <sheetName val="Mas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>
        <row r="66">
          <cell r="K66">
            <v>0</v>
          </cell>
          <cell r="N66">
            <v>2</v>
          </cell>
          <cell r="Q66">
            <v>0</v>
          </cell>
          <cell r="T66">
            <v>0</v>
          </cell>
          <cell r="W66">
            <v>1</v>
          </cell>
          <cell r="Z66">
            <v>1</v>
          </cell>
          <cell r="AC66">
            <v>2</v>
          </cell>
          <cell r="BP66">
            <v>0</v>
          </cell>
        </row>
        <row r="67">
          <cell r="K67">
            <v>0</v>
          </cell>
          <cell r="N67">
            <v>3</v>
          </cell>
          <cell r="Q67">
            <v>0</v>
          </cell>
          <cell r="T67">
            <v>0</v>
          </cell>
          <cell r="W67">
            <v>0</v>
          </cell>
          <cell r="Z67">
            <v>0</v>
          </cell>
          <cell r="AC67">
            <v>7</v>
          </cell>
          <cell r="BP67">
            <v>0</v>
          </cell>
        </row>
        <row r="68">
          <cell r="K68">
            <v>0</v>
          </cell>
          <cell r="N68">
            <v>3</v>
          </cell>
          <cell r="Q68">
            <v>0</v>
          </cell>
          <cell r="T68">
            <v>1</v>
          </cell>
          <cell r="W68">
            <v>0</v>
          </cell>
          <cell r="Z68">
            <v>1</v>
          </cell>
          <cell r="AC68">
            <v>5</v>
          </cell>
          <cell r="BP68">
            <v>0</v>
          </cell>
        </row>
        <row r="69">
          <cell r="K69">
            <v>2</v>
          </cell>
          <cell r="N69">
            <v>7</v>
          </cell>
          <cell r="Q69">
            <v>0</v>
          </cell>
          <cell r="T69">
            <v>3</v>
          </cell>
          <cell r="W69">
            <v>1</v>
          </cell>
          <cell r="Z69">
            <v>1</v>
          </cell>
          <cell r="AC69">
            <v>2</v>
          </cell>
          <cell r="BP69">
            <v>0</v>
          </cell>
        </row>
        <row r="70">
          <cell r="K70">
            <v>4</v>
          </cell>
          <cell r="N70">
            <v>4</v>
          </cell>
          <cell r="Q70">
            <v>0</v>
          </cell>
          <cell r="T70">
            <v>3</v>
          </cell>
          <cell r="W70">
            <v>1</v>
          </cell>
          <cell r="Z70">
            <v>1</v>
          </cell>
          <cell r="AC70">
            <v>4</v>
          </cell>
          <cell r="BP70">
            <v>2</v>
          </cell>
        </row>
        <row r="71">
          <cell r="K71">
            <v>11</v>
          </cell>
          <cell r="N71">
            <v>0</v>
          </cell>
          <cell r="Q71">
            <v>1</v>
          </cell>
          <cell r="T71">
            <v>3</v>
          </cell>
          <cell r="W71">
            <v>1</v>
          </cell>
          <cell r="Z71">
            <v>3</v>
          </cell>
          <cell r="AC71">
            <v>0</v>
          </cell>
          <cell r="BP71">
            <v>6</v>
          </cell>
        </row>
        <row r="72">
          <cell r="K72">
            <v>5</v>
          </cell>
          <cell r="N72">
            <v>3</v>
          </cell>
          <cell r="Q72">
            <v>0</v>
          </cell>
          <cell r="T72">
            <v>6</v>
          </cell>
          <cell r="W72">
            <v>6</v>
          </cell>
          <cell r="Z72">
            <v>6</v>
          </cell>
          <cell r="AC72">
            <v>3</v>
          </cell>
          <cell r="BP72">
            <v>8</v>
          </cell>
        </row>
        <row r="73">
          <cell r="K73">
            <v>1</v>
          </cell>
          <cell r="N73">
            <v>2</v>
          </cell>
          <cell r="Q73">
            <v>1</v>
          </cell>
          <cell r="T73">
            <v>4</v>
          </cell>
          <cell r="W73">
            <v>5</v>
          </cell>
          <cell r="Z73">
            <v>8</v>
          </cell>
          <cell r="AC73">
            <v>0</v>
          </cell>
          <cell r="BP73">
            <v>1</v>
          </cell>
        </row>
        <row r="74">
          <cell r="K74">
            <v>1</v>
          </cell>
          <cell r="N74">
            <v>0</v>
          </cell>
          <cell r="Q74">
            <v>22</v>
          </cell>
          <cell r="T74">
            <v>4</v>
          </cell>
          <cell r="W74">
            <v>9</v>
          </cell>
          <cell r="Z74">
            <v>3</v>
          </cell>
          <cell r="AC74">
            <v>1</v>
          </cell>
          <cell r="BP74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LCQZNZZMOQW5AKOMJPENRDXO2L">
      <xxl21:absoluteUrl r:id="rId2"/>
    </xxl21:alternateUrls>
    <sheetNames>
      <sheetName val="Comments"/>
      <sheetName val="Mas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1 (2)"/>
      <sheetName val="1 (3)"/>
      <sheetName val="1 (4)"/>
      <sheetName val="1 (5)"/>
      <sheetName val="1 (6)"/>
      <sheetName val="1 (7)"/>
      <sheetName val="1 (8)"/>
      <sheetName val="1 (9)"/>
      <sheetName val="1 (10)"/>
      <sheetName val="1 (11)"/>
      <sheetName val="1 (12)"/>
      <sheetName val="1 (13)"/>
      <sheetName val="1 (14)"/>
      <sheetName val="1 (15)"/>
      <sheetName val="1 (16)"/>
      <sheetName val="1 (17)"/>
      <sheetName val="1 (18)"/>
      <sheetName val="1 (19)"/>
      <sheetName val="1 (20)"/>
      <sheetName val="1 (21)"/>
      <sheetName val="1 (22)"/>
      <sheetName val="1 (23)"/>
      <sheetName val="1 (24)"/>
      <sheetName val="1 (25)"/>
      <sheetName val="1 (26)"/>
      <sheetName val="1 (27)"/>
      <sheetName val="1 (28)"/>
      <sheetName val="1 (29)"/>
      <sheetName val="1 (30)"/>
      <sheetName val="1 (31)"/>
      <sheetName val="1 (32)"/>
      <sheetName val="1 (33)"/>
      <sheetName val="Form Teacher"/>
      <sheetName val="Malay"/>
      <sheetName val="English"/>
      <sheetName val="Science"/>
      <sheetName val="Maths"/>
      <sheetName val="Geo"/>
      <sheetName val="Comp"/>
      <sheetName val="Comm"/>
      <sheetName val="IRK"/>
      <sheetName val="HIST"/>
      <sheetName val="MIB"/>
      <sheetName val="PE (2)"/>
    </sheetNames>
    <sheetDataSet>
      <sheetData sheetId="0"/>
      <sheetData sheetId="1">
        <row r="66">
          <cell r="K66">
            <v>0</v>
          </cell>
          <cell r="N66">
            <v>0</v>
          </cell>
          <cell r="Q66">
            <v>0</v>
          </cell>
          <cell r="T66">
            <v>1</v>
          </cell>
          <cell r="W66">
            <v>0</v>
          </cell>
          <cell r="Z66">
            <v>0</v>
          </cell>
          <cell r="AC66">
            <v>0</v>
          </cell>
        </row>
        <row r="67">
          <cell r="K67">
            <v>0</v>
          </cell>
          <cell r="N67">
            <v>1</v>
          </cell>
          <cell r="Q67">
            <v>0</v>
          </cell>
          <cell r="T67">
            <v>2</v>
          </cell>
          <cell r="W67">
            <v>0</v>
          </cell>
          <cell r="Z67">
            <v>0</v>
          </cell>
          <cell r="AC67">
            <v>0</v>
          </cell>
          <cell r="BP67">
            <v>0</v>
          </cell>
        </row>
        <row r="68">
          <cell r="K68">
            <v>1</v>
          </cell>
          <cell r="N68">
            <v>0</v>
          </cell>
          <cell r="Q68">
            <v>0</v>
          </cell>
          <cell r="T68">
            <v>0</v>
          </cell>
          <cell r="W68">
            <v>0</v>
          </cell>
          <cell r="Z68">
            <v>0</v>
          </cell>
          <cell r="AC68">
            <v>2</v>
          </cell>
          <cell r="BP68">
            <v>0</v>
          </cell>
        </row>
        <row r="69">
          <cell r="K69">
            <v>1</v>
          </cell>
          <cell r="N69">
            <v>3</v>
          </cell>
          <cell r="Q69">
            <v>0</v>
          </cell>
          <cell r="T69">
            <v>3</v>
          </cell>
          <cell r="W69">
            <v>0</v>
          </cell>
          <cell r="Z69">
            <v>2</v>
          </cell>
          <cell r="AC69">
            <v>2</v>
          </cell>
          <cell r="BP69">
            <v>1</v>
          </cell>
        </row>
        <row r="70">
          <cell r="K70">
            <v>1</v>
          </cell>
          <cell r="N70">
            <v>4</v>
          </cell>
          <cell r="Q70">
            <v>0</v>
          </cell>
          <cell r="T70">
            <v>2</v>
          </cell>
          <cell r="W70">
            <v>0</v>
          </cell>
          <cell r="Z70">
            <v>2</v>
          </cell>
          <cell r="AC70">
            <v>1</v>
          </cell>
          <cell r="BP70">
            <v>3</v>
          </cell>
        </row>
        <row r="71">
          <cell r="K71">
            <v>1</v>
          </cell>
          <cell r="N71">
            <v>1</v>
          </cell>
          <cell r="Q71">
            <v>0</v>
          </cell>
          <cell r="T71">
            <v>2</v>
          </cell>
          <cell r="W71">
            <v>5</v>
          </cell>
          <cell r="Z71">
            <v>3</v>
          </cell>
          <cell r="AC71">
            <v>2</v>
          </cell>
          <cell r="BP71">
            <v>0</v>
          </cell>
        </row>
        <row r="72">
          <cell r="K72">
            <v>8</v>
          </cell>
          <cell r="N72">
            <v>4</v>
          </cell>
          <cell r="Q72">
            <v>0</v>
          </cell>
          <cell r="T72">
            <v>1</v>
          </cell>
          <cell r="W72">
            <v>1</v>
          </cell>
          <cell r="Z72">
            <v>1</v>
          </cell>
          <cell r="AC72">
            <v>5</v>
          </cell>
          <cell r="BP72">
            <v>4</v>
          </cell>
        </row>
        <row r="73">
          <cell r="K73">
            <v>2</v>
          </cell>
          <cell r="N73">
            <v>3</v>
          </cell>
          <cell r="Q73">
            <v>0</v>
          </cell>
          <cell r="T73">
            <v>5</v>
          </cell>
          <cell r="W73">
            <v>6</v>
          </cell>
          <cell r="Z73">
            <v>4</v>
          </cell>
          <cell r="AC73">
            <v>1</v>
          </cell>
          <cell r="BP73">
            <v>3</v>
          </cell>
        </row>
        <row r="74">
          <cell r="K74">
            <v>6</v>
          </cell>
          <cell r="N74">
            <v>4</v>
          </cell>
          <cell r="Q74">
            <v>20</v>
          </cell>
          <cell r="T74">
            <v>4</v>
          </cell>
          <cell r="W74">
            <v>8</v>
          </cell>
          <cell r="Z74">
            <v>8</v>
          </cell>
          <cell r="AC74">
            <v>7</v>
          </cell>
          <cell r="BP74">
            <v>3</v>
          </cell>
        </row>
        <row r="75">
          <cell r="BP75">
            <v>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"/>
  <sheetViews>
    <sheetView tabSelected="1" view="pageLayout" topLeftCell="A47" zoomScaleNormal="100" zoomScaleSheetLayoutView="100" workbookViewId="0">
      <selection activeCell="S72" sqref="S72"/>
    </sheetView>
  </sheetViews>
  <sheetFormatPr defaultColWidth="8.42578125" defaultRowHeight="13.5"/>
  <cols>
    <col min="1" max="1" width="8.5703125" style="46" customWidth="1"/>
    <col min="2" max="2" width="21.85546875" style="46" customWidth="1"/>
    <col min="3" max="3" width="9.42578125" style="46" customWidth="1"/>
    <col min="4" max="5" width="6.42578125" style="46" customWidth="1"/>
    <col min="6" max="6" width="6.85546875" style="46" customWidth="1"/>
    <col min="7" max="7" width="6.42578125" style="46" customWidth="1"/>
    <col min="8" max="12" width="6.85546875" style="46" customWidth="1"/>
    <col min="13" max="13" width="7.85546875" style="46" customWidth="1"/>
    <col min="14" max="14" width="10" style="46" customWidth="1"/>
    <col min="15" max="15" width="7.85546875" style="46" customWidth="1"/>
    <col min="16" max="16" width="11.140625" style="46" bestFit="1" customWidth="1"/>
    <col min="17" max="16384" width="8.42578125" style="46"/>
  </cols>
  <sheetData>
    <row r="1" spans="1:16" ht="15.75">
      <c r="A1" s="45" t="s">
        <v>0</v>
      </c>
    </row>
    <row r="2" spans="1:16" s="48" customFormat="1" ht="14.25" customHeight="1">
      <c r="A2" s="46"/>
      <c r="B2" s="46"/>
      <c r="C2" s="46"/>
      <c r="D2" s="142" t="s">
        <v>1</v>
      </c>
      <c r="E2" s="144"/>
      <c r="F2" s="142" t="s">
        <v>2</v>
      </c>
      <c r="G2" s="143"/>
      <c r="H2" s="143"/>
      <c r="I2" s="144"/>
      <c r="J2" s="146" t="s">
        <v>3</v>
      </c>
      <c r="K2" s="147"/>
      <c r="L2" s="77" t="s">
        <v>4</v>
      </c>
      <c r="M2" s="46"/>
      <c r="N2" s="46"/>
      <c r="O2" s="46"/>
      <c r="P2" s="46"/>
    </row>
    <row r="3" spans="1:16" ht="27">
      <c r="A3" s="75" t="s">
        <v>5</v>
      </c>
      <c r="B3" s="75" t="s">
        <v>6</v>
      </c>
      <c r="C3" s="75" t="s">
        <v>7</v>
      </c>
      <c r="D3" s="75" t="s">
        <v>8</v>
      </c>
      <c r="E3" s="75" t="s">
        <v>9</v>
      </c>
      <c r="F3" s="75" t="s">
        <v>10</v>
      </c>
      <c r="G3" s="75" t="s">
        <v>11</v>
      </c>
      <c r="H3" s="75" t="s">
        <v>12</v>
      </c>
      <c r="I3" s="75" t="s">
        <v>13</v>
      </c>
      <c r="J3" s="75" t="s">
        <v>14</v>
      </c>
      <c r="K3" s="75" t="s">
        <v>15</v>
      </c>
      <c r="L3" s="75" t="s">
        <v>16</v>
      </c>
      <c r="M3" s="76" t="s">
        <v>17</v>
      </c>
      <c r="N3" s="76" t="s">
        <v>18</v>
      </c>
      <c r="O3" s="76" t="s">
        <v>19</v>
      </c>
      <c r="P3" s="76" t="s">
        <v>20</v>
      </c>
    </row>
    <row r="4" spans="1:16">
      <c r="A4" s="47" t="s">
        <v>21</v>
      </c>
      <c r="B4" s="49" t="s">
        <v>22</v>
      </c>
      <c r="C4" s="121">
        <f>SUM(D4:L4)</f>
        <v>18</v>
      </c>
      <c r="D4" s="121" cm="1">
        <f t="array" ref="D4:L4">TRANSPOSE([1]Master!$J$47:$J$55)</f>
        <v>0</v>
      </c>
      <c r="E4" s="121">
        <v>6</v>
      </c>
      <c r="F4" s="121">
        <v>4</v>
      </c>
      <c r="G4" s="121">
        <v>4</v>
      </c>
      <c r="H4" s="121">
        <v>2</v>
      </c>
      <c r="I4" s="121">
        <v>1</v>
      </c>
      <c r="J4" s="121">
        <v>1</v>
      </c>
      <c r="K4" s="121">
        <v>0</v>
      </c>
      <c r="L4" s="121">
        <v>0</v>
      </c>
      <c r="M4" s="49">
        <f>SUM(D4:I4)</f>
        <v>17</v>
      </c>
      <c r="N4" s="50">
        <f>(M4/C4)*100</f>
        <v>94.444444444444443</v>
      </c>
      <c r="O4" s="49">
        <f>SUM(D4:K4)</f>
        <v>18</v>
      </c>
      <c r="P4" s="50">
        <f>(O4/C4)*100</f>
        <v>100</v>
      </c>
    </row>
    <row r="5" spans="1:16">
      <c r="A5" s="47" t="s">
        <v>23</v>
      </c>
      <c r="B5" s="49" t="s">
        <v>24</v>
      </c>
      <c r="C5" s="121">
        <f>SUM(D5:L5)</f>
        <v>20</v>
      </c>
      <c r="D5" s="121" cm="1">
        <f t="array" ref="D5:L5">TRANSPOSE([2]Master!$K$66:$K$74)</f>
        <v>0</v>
      </c>
      <c r="E5" s="121">
        <v>2</v>
      </c>
      <c r="F5" s="121">
        <v>8</v>
      </c>
      <c r="G5" s="121">
        <v>5</v>
      </c>
      <c r="H5" s="121">
        <v>2</v>
      </c>
      <c r="I5" s="121">
        <v>3</v>
      </c>
      <c r="J5" s="121">
        <v>0</v>
      </c>
      <c r="K5" s="121">
        <v>0</v>
      </c>
      <c r="L5" s="121">
        <v>0</v>
      </c>
      <c r="M5" s="49">
        <f>SUM(D5:I5)</f>
        <v>20</v>
      </c>
      <c r="N5" s="50">
        <f t="shared" ref="N5:N11" si="0">(M5/C5)*100</f>
        <v>100</v>
      </c>
      <c r="O5" s="49">
        <f>SUM(D5:K5)</f>
        <v>20</v>
      </c>
      <c r="P5" s="50">
        <f t="shared" ref="P5:P11" si="1">(O5/C5)*100</f>
        <v>100</v>
      </c>
    </row>
    <row r="6" spans="1:16">
      <c r="A6" s="47" t="s">
        <v>25</v>
      </c>
      <c r="B6" s="49" t="s">
        <v>26</v>
      </c>
      <c r="C6" s="121">
        <f t="shared" ref="C6:C10" si="2">SUM(D6:L6)</f>
        <v>24</v>
      </c>
      <c r="D6" s="121" cm="1">
        <f t="array" ref="D6:L6">TRANSPOSE([3]Master!$K$66:$K$74)</f>
        <v>0</v>
      </c>
      <c r="E6" s="121">
        <v>3</v>
      </c>
      <c r="F6" s="121">
        <v>4</v>
      </c>
      <c r="G6" s="121">
        <v>6</v>
      </c>
      <c r="H6" s="121">
        <v>7</v>
      </c>
      <c r="I6" s="121">
        <v>3</v>
      </c>
      <c r="J6" s="121">
        <v>1</v>
      </c>
      <c r="K6" s="121">
        <v>0</v>
      </c>
      <c r="L6" s="121">
        <v>0</v>
      </c>
      <c r="M6" s="49">
        <f t="shared" ref="M6:M11" si="3">SUM(D6:I6)</f>
        <v>23</v>
      </c>
      <c r="N6" s="50">
        <f t="shared" si="0"/>
        <v>95.833333333333343</v>
      </c>
      <c r="O6" s="49">
        <f t="shared" ref="O6:O11" si="4">SUM(D6:K6)</f>
        <v>24</v>
      </c>
      <c r="P6" s="50">
        <f t="shared" si="1"/>
        <v>100</v>
      </c>
    </row>
    <row r="7" spans="1:16">
      <c r="A7" s="47" t="s">
        <v>27</v>
      </c>
      <c r="B7" s="49" t="s">
        <v>24</v>
      </c>
      <c r="C7" s="121">
        <f t="shared" si="2"/>
        <v>25</v>
      </c>
      <c r="D7" s="121" cm="1">
        <f t="array" ref="D7:L7">TRANSPOSE([4]Master!$J$47:$J$55)</f>
        <v>0</v>
      </c>
      <c r="E7" s="121">
        <v>1</v>
      </c>
      <c r="F7" s="121">
        <v>7</v>
      </c>
      <c r="G7" s="121">
        <v>6</v>
      </c>
      <c r="H7" s="121">
        <v>7</v>
      </c>
      <c r="I7" s="121">
        <v>3</v>
      </c>
      <c r="J7" s="121">
        <v>1</v>
      </c>
      <c r="K7" s="121">
        <v>0</v>
      </c>
      <c r="L7" s="121">
        <v>0</v>
      </c>
      <c r="M7" s="49">
        <f t="shared" si="3"/>
        <v>24</v>
      </c>
      <c r="N7" s="50">
        <f t="shared" si="0"/>
        <v>96</v>
      </c>
      <c r="O7" s="49">
        <f t="shared" si="4"/>
        <v>25</v>
      </c>
      <c r="P7" s="50">
        <f t="shared" si="1"/>
        <v>100</v>
      </c>
    </row>
    <row r="8" spans="1:16">
      <c r="A8" s="47" t="s">
        <v>28</v>
      </c>
      <c r="B8" s="49" t="s">
        <v>22</v>
      </c>
      <c r="C8" s="121">
        <f t="shared" si="2"/>
        <v>25</v>
      </c>
      <c r="D8" s="121" cm="1">
        <f t="array" ref="D8:L8">TRANSPOSE([5]Master!$K$66:$K$74)</f>
        <v>0</v>
      </c>
      <c r="E8" s="121">
        <v>0</v>
      </c>
      <c r="F8" s="121">
        <v>0</v>
      </c>
      <c r="G8" s="121">
        <v>3</v>
      </c>
      <c r="H8" s="121">
        <v>4</v>
      </c>
      <c r="I8" s="121">
        <v>6</v>
      </c>
      <c r="J8" s="121">
        <v>5</v>
      </c>
      <c r="K8" s="121">
        <v>6</v>
      </c>
      <c r="L8" s="121">
        <v>1</v>
      </c>
      <c r="M8" s="49">
        <f t="shared" si="3"/>
        <v>13</v>
      </c>
      <c r="N8" s="50">
        <f t="shared" si="0"/>
        <v>52</v>
      </c>
      <c r="O8" s="49">
        <f t="shared" si="4"/>
        <v>24</v>
      </c>
      <c r="P8" s="50">
        <f t="shared" si="1"/>
        <v>96</v>
      </c>
    </row>
    <row r="9" spans="1:16">
      <c r="A9" s="47" t="s">
        <v>29</v>
      </c>
      <c r="B9" s="49" t="s">
        <v>24</v>
      </c>
      <c r="C9" s="121">
        <f t="shared" si="2"/>
        <v>24</v>
      </c>
      <c r="D9" s="121" cm="1">
        <f t="array" ref="D9:L9">TRANSPOSE([6]Master!$K$66:$K$74)</f>
        <v>0</v>
      </c>
      <c r="E9" s="121">
        <v>0</v>
      </c>
      <c r="F9" s="121">
        <v>0</v>
      </c>
      <c r="G9" s="121">
        <v>2</v>
      </c>
      <c r="H9" s="121">
        <v>4</v>
      </c>
      <c r="I9" s="121">
        <v>11</v>
      </c>
      <c r="J9" s="121">
        <v>5</v>
      </c>
      <c r="K9" s="121">
        <v>1</v>
      </c>
      <c r="L9" s="121">
        <v>1</v>
      </c>
      <c r="M9" s="49">
        <f t="shared" si="3"/>
        <v>17</v>
      </c>
      <c r="N9" s="50">
        <f t="shared" si="0"/>
        <v>70.833333333333343</v>
      </c>
      <c r="O9" s="49">
        <f t="shared" si="4"/>
        <v>23</v>
      </c>
      <c r="P9" s="50">
        <f t="shared" si="1"/>
        <v>95.833333333333343</v>
      </c>
    </row>
    <row r="10" spans="1:16">
      <c r="A10" s="47" t="s">
        <v>30</v>
      </c>
      <c r="B10" s="49" t="s">
        <v>31</v>
      </c>
      <c r="C10" s="121">
        <f t="shared" si="2"/>
        <v>20</v>
      </c>
      <c r="D10" s="121" cm="1">
        <f t="array" ref="D10:L10">TRANSPOSE([7]Master!$K$66:$K$74)</f>
        <v>0</v>
      </c>
      <c r="E10" s="121">
        <v>0</v>
      </c>
      <c r="F10" s="121">
        <v>1</v>
      </c>
      <c r="G10" s="121">
        <v>1</v>
      </c>
      <c r="H10" s="121">
        <v>1</v>
      </c>
      <c r="I10" s="121">
        <v>1</v>
      </c>
      <c r="J10" s="121">
        <v>8</v>
      </c>
      <c r="K10" s="121">
        <v>2</v>
      </c>
      <c r="L10" s="121">
        <v>6</v>
      </c>
      <c r="M10" s="49">
        <f t="shared" si="3"/>
        <v>4</v>
      </c>
      <c r="N10" s="50">
        <f t="shared" si="0"/>
        <v>20</v>
      </c>
      <c r="O10" s="49">
        <f t="shared" si="4"/>
        <v>14</v>
      </c>
      <c r="P10" s="50">
        <f t="shared" si="1"/>
        <v>70</v>
      </c>
    </row>
    <row r="11" spans="1:16">
      <c r="A11" s="51"/>
      <c r="B11" s="52" t="s">
        <v>32</v>
      </c>
      <c r="C11" s="47">
        <f t="shared" ref="C11" si="5">SUM(C4:C10)</f>
        <v>156</v>
      </c>
      <c r="D11" s="47">
        <f t="shared" ref="D11:L11" si="6">SUM(D4:D10)</f>
        <v>0</v>
      </c>
      <c r="E11" s="47">
        <f t="shared" si="6"/>
        <v>12</v>
      </c>
      <c r="F11" s="47">
        <f t="shared" si="6"/>
        <v>24</v>
      </c>
      <c r="G11" s="47">
        <f t="shared" si="6"/>
        <v>27</v>
      </c>
      <c r="H11" s="47">
        <f t="shared" si="6"/>
        <v>27</v>
      </c>
      <c r="I11" s="47">
        <f t="shared" si="6"/>
        <v>28</v>
      </c>
      <c r="J11" s="47">
        <f t="shared" si="6"/>
        <v>21</v>
      </c>
      <c r="K11" s="47">
        <f t="shared" si="6"/>
        <v>9</v>
      </c>
      <c r="L11" s="47">
        <f t="shared" si="6"/>
        <v>8</v>
      </c>
      <c r="M11" s="49">
        <f t="shared" si="3"/>
        <v>118</v>
      </c>
      <c r="N11" s="50">
        <f t="shared" si="0"/>
        <v>75.641025641025635</v>
      </c>
      <c r="O11" s="49">
        <f t="shared" si="4"/>
        <v>148</v>
      </c>
      <c r="P11" s="50">
        <f t="shared" si="1"/>
        <v>94.871794871794862</v>
      </c>
    </row>
    <row r="12" spans="1:16" ht="11.2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/>
      <c r="O12" s="54"/>
      <c r="P12" s="55"/>
    </row>
    <row r="13" spans="1:16" ht="15.75">
      <c r="A13" s="45" t="s">
        <v>33</v>
      </c>
    </row>
    <row r="14" spans="1:16" s="48" customFormat="1" ht="14.25" customHeight="1">
      <c r="A14" s="46"/>
      <c r="B14" s="46"/>
      <c r="C14" s="46"/>
      <c r="D14" s="142" t="s">
        <v>1</v>
      </c>
      <c r="E14" s="144"/>
      <c r="F14" s="142" t="s">
        <v>2</v>
      </c>
      <c r="G14" s="143"/>
      <c r="H14" s="143"/>
      <c r="I14" s="144"/>
      <c r="J14" s="146" t="s">
        <v>3</v>
      </c>
      <c r="K14" s="147"/>
      <c r="L14" s="77" t="s">
        <v>4</v>
      </c>
      <c r="M14" s="46"/>
      <c r="N14" s="46"/>
      <c r="O14" s="46"/>
      <c r="P14" s="46"/>
    </row>
    <row r="15" spans="1:16" ht="25.5">
      <c r="A15" s="75" t="s">
        <v>5</v>
      </c>
      <c r="B15" s="75" t="s">
        <v>6</v>
      </c>
      <c r="C15" s="75" t="s">
        <v>7</v>
      </c>
      <c r="D15" s="75" t="s">
        <v>8</v>
      </c>
      <c r="E15" s="75" t="s">
        <v>9</v>
      </c>
      <c r="F15" s="75" t="s">
        <v>10</v>
      </c>
      <c r="G15" s="75" t="s">
        <v>11</v>
      </c>
      <c r="H15" s="75" t="s">
        <v>12</v>
      </c>
      <c r="I15" s="75" t="s">
        <v>13</v>
      </c>
      <c r="J15" s="75" t="s">
        <v>14</v>
      </c>
      <c r="K15" s="75" t="s">
        <v>15</v>
      </c>
      <c r="L15" s="75" t="s">
        <v>16</v>
      </c>
      <c r="M15" s="76" t="s">
        <v>17</v>
      </c>
      <c r="N15" s="76" t="s">
        <v>18</v>
      </c>
      <c r="O15" s="76" t="s">
        <v>19</v>
      </c>
      <c r="P15" s="76" t="s">
        <v>20</v>
      </c>
    </row>
    <row r="16" spans="1:16">
      <c r="A16" s="47" t="s">
        <v>21</v>
      </c>
      <c r="B16" s="49" t="s">
        <v>34</v>
      </c>
      <c r="C16" s="121">
        <f>SUM(D16:L16)</f>
        <v>18</v>
      </c>
      <c r="D16" s="121" cm="1">
        <f t="array" ref="D16:L16">TRANSPOSE([1]Master!$M$47:$M$55)</f>
        <v>1</v>
      </c>
      <c r="E16" s="121">
        <v>13</v>
      </c>
      <c r="F16" s="121">
        <v>3</v>
      </c>
      <c r="G16" s="121">
        <v>1</v>
      </c>
      <c r="H16" s="121">
        <v>0</v>
      </c>
      <c r="I16" s="121">
        <v>0</v>
      </c>
      <c r="J16" s="121">
        <v>0</v>
      </c>
      <c r="K16" s="121">
        <v>0</v>
      </c>
      <c r="L16" s="121">
        <v>0</v>
      </c>
      <c r="M16" s="49">
        <f>SUM(D16:I16)</f>
        <v>18</v>
      </c>
      <c r="N16" s="50">
        <f>(M16/C16)*100</f>
        <v>100</v>
      </c>
      <c r="O16" s="49">
        <f t="shared" ref="O16:O23" si="7">SUM(D16:K16)</f>
        <v>18</v>
      </c>
      <c r="P16" s="50">
        <f>(O16/C16)*100</f>
        <v>100</v>
      </c>
    </row>
    <row r="17" spans="1:16">
      <c r="A17" s="47" t="s">
        <v>23</v>
      </c>
      <c r="B17" s="56" t="s">
        <v>35</v>
      </c>
      <c r="C17" s="121">
        <f>SUM(D17:L17)</f>
        <v>20</v>
      </c>
      <c r="D17" s="121" cm="1">
        <f t="array" ref="D17:L17">TRANSPOSE([2]Master!$N$66:$N$74)</f>
        <v>4</v>
      </c>
      <c r="E17" s="121">
        <v>7</v>
      </c>
      <c r="F17" s="121">
        <v>4</v>
      </c>
      <c r="G17" s="121">
        <v>5</v>
      </c>
      <c r="H17" s="121">
        <v>0</v>
      </c>
      <c r="I17" s="121">
        <v>0</v>
      </c>
      <c r="J17" s="121">
        <v>0</v>
      </c>
      <c r="K17" s="121">
        <v>0</v>
      </c>
      <c r="L17" s="121">
        <v>0</v>
      </c>
      <c r="M17" s="49">
        <f t="shared" ref="M17:M23" si="8">SUM(D17:I17)</f>
        <v>20</v>
      </c>
      <c r="N17" s="50">
        <f t="shared" ref="N17:N23" si="9">(M17/C17)*100</f>
        <v>100</v>
      </c>
      <c r="O17" s="49">
        <f t="shared" si="7"/>
        <v>20</v>
      </c>
      <c r="P17" s="50">
        <f t="shared" ref="P17:P23" si="10">(O17/C17)*100</f>
        <v>100</v>
      </c>
    </row>
    <row r="18" spans="1:16">
      <c r="A18" s="47" t="s">
        <v>25</v>
      </c>
      <c r="B18" s="56" t="s">
        <v>36</v>
      </c>
      <c r="C18" s="121">
        <f t="shared" ref="C18:C22" si="11">SUM(D18:L18)</f>
        <v>24</v>
      </c>
      <c r="D18" s="121" cm="1">
        <f t="array" ref="D18:L18">TRANSPOSE([3]Master!$N$66:$N$74)</f>
        <v>2</v>
      </c>
      <c r="E18" s="121">
        <v>8</v>
      </c>
      <c r="F18" s="121">
        <v>6</v>
      </c>
      <c r="G18" s="121">
        <v>6</v>
      </c>
      <c r="H18" s="121">
        <v>2</v>
      </c>
      <c r="I18" s="121">
        <v>0</v>
      </c>
      <c r="J18" s="121">
        <v>0</v>
      </c>
      <c r="K18" s="121">
        <v>0</v>
      </c>
      <c r="L18" s="121">
        <v>0</v>
      </c>
      <c r="M18" s="49">
        <f t="shared" si="8"/>
        <v>24</v>
      </c>
      <c r="N18" s="50">
        <f t="shared" si="9"/>
        <v>100</v>
      </c>
      <c r="O18" s="49">
        <f t="shared" si="7"/>
        <v>24</v>
      </c>
      <c r="P18" s="50">
        <f t="shared" si="10"/>
        <v>100</v>
      </c>
    </row>
    <row r="19" spans="1:16">
      <c r="A19" s="47" t="s">
        <v>27</v>
      </c>
      <c r="B19" s="56" t="s">
        <v>35</v>
      </c>
      <c r="C19" s="121">
        <f t="shared" si="11"/>
        <v>25</v>
      </c>
      <c r="D19" s="121" cm="1">
        <f t="array" ref="D19:L19">TRANSPOSE([4]Master!$M$47:$M$55)</f>
        <v>0</v>
      </c>
      <c r="E19" s="121">
        <v>8</v>
      </c>
      <c r="F19" s="121">
        <v>7</v>
      </c>
      <c r="G19" s="121">
        <v>9</v>
      </c>
      <c r="H19" s="121">
        <v>0</v>
      </c>
      <c r="I19" s="121">
        <v>1</v>
      </c>
      <c r="J19" s="121">
        <v>0</v>
      </c>
      <c r="K19" s="121">
        <v>0</v>
      </c>
      <c r="L19" s="121">
        <v>0</v>
      </c>
      <c r="M19" s="49">
        <f t="shared" si="8"/>
        <v>25</v>
      </c>
      <c r="N19" s="50">
        <f t="shared" si="9"/>
        <v>100</v>
      </c>
      <c r="O19" s="49">
        <f t="shared" si="7"/>
        <v>25</v>
      </c>
      <c r="P19" s="50">
        <f t="shared" si="10"/>
        <v>100</v>
      </c>
    </row>
    <row r="20" spans="1:16">
      <c r="A20" s="47" t="s">
        <v>28</v>
      </c>
      <c r="B20" s="56" t="s">
        <v>36</v>
      </c>
      <c r="C20" s="121">
        <f t="shared" si="11"/>
        <v>25</v>
      </c>
      <c r="D20" s="121" cm="1">
        <f t="array" ref="D20:L20">TRANSPOSE([5]Master!$N$66:$N$74)</f>
        <v>0</v>
      </c>
      <c r="E20" s="121">
        <v>10</v>
      </c>
      <c r="F20" s="121">
        <v>6</v>
      </c>
      <c r="G20" s="121">
        <v>1</v>
      </c>
      <c r="H20" s="121">
        <v>2</v>
      </c>
      <c r="I20" s="121">
        <v>5</v>
      </c>
      <c r="J20" s="121">
        <v>1</v>
      </c>
      <c r="K20" s="121">
        <v>0</v>
      </c>
      <c r="L20" s="121">
        <v>0</v>
      </c>
      <c r="M20" s="49">
        <f t="shared" si="8"/>
        <v>24</v>
      </c>
      <c r="N20" s="50">
        <f t="shared" si="9"/>
        <v>96</v>
      </c>
      <c r="O20" s="49">
        <f t="shared" si="7"/>
        <v>25</v>
      </c>
      <c r="P20" s="50">
        <f t="shared" si="10"/>
        <v>100</v>
      </c>
    </row>
    <row r="21" spans="1:16">
      <c r="A21" s="47" t="s">
        <v>29</v>
      </c>
      <c r="B21" s="56" t="s">
        <v>35</v>
      </c>
      <c r="C21" s="121">
        <f t="shared" si="11"/>
        <v>24</v>
      </c>
      <c r="D21" s="121" cm="1">
        <f t="array" ref="D21:L21">TRANSPOSE([6]Master!$N$66:$N$74)</f>
        <v>2</v>
      </c>
      <c r="E21" s="121">
        <v>3</v>
      </c>
      <c r="F21" s="121">
        <v>3</v>
      </c>
      <c r="G21" s="121">
        <v>7</v>
      </c>
      <c r="H21" s="121">
        <v>4</v>
      </c>
      <c r="I21" s="121">
        <v>0</v>
      </c>
      <c r="J21" s="121">
        <v>3</v>
      </c>
      <c r="K21" s="121">
        <v>2</v>
      </c>
      <c r="L21" s="121">
        <v>0</v>
      </c>
      <c r="M21" s="49">
        <f t="shared" si="8"/>
        <v>19</v>
      </c>
      <c r="N21" s="50">
        <f t="shared" si="9"/>
        <v>79.166666666666657</v>
      </c>
      <c r="O21" s="49">
        <f t="shared" si="7"/>
        <v>24</v>
      </c>
      <c r="P21" s="50">
        <f t="shared" si="10"/>
        <v>100</v>
      </c>
    </row>
    <row r="22" spans="1:16">
      <c r="A22" s="47" t="s">
        <v>30</v>
      </c>
      <c r="B22" s="56" t="s">
        <v>37</v>
      </c>
      <c r="C22" s="121">
        <f t="shared" si="11"/>
        <v>20</v>
      </c>
      <c r="D22" s="121" cm="1">
        <f t="array" ref="D22:L22">TRANSPOSE([7]Master!$N$66:$N$74)</f>
        <v>0</v>
      </c>
      <c r="E22" s="121">
        <v>1</v>
      </c>
      <c r="F22" s="121">
        <v>0</v>
      </c>
      <c r="G22" s="121">
        <v>3</v>
      </c>
      <c r="H22" s="121">
        <v>4</v>
      </c>
      <c r="I22" s="121">
        <v>1</v>
      </c>
      <c r="J22" s="121">
        <v>4</v>
      </c>
      <c r="K22" s="121">
        <v>3</v>
      </c>
      <c r="L22" s="121">
        <v>4</v>
      </c>
      <c r="M22" s="49">
        <f t="shared" si="8"/>
        <v>9</v>
      </c>
      <c r="N22" s="50">
        <f t="shared" si="9"/>
        <v>45</v>
      </c>
      <c r="O22" s="49">
        <f t="shared" si="7"/>
        <v>16</v>
      </c>
      <c r="P22" s="50">
        <f t="shared" si="10"/>
        <v>80</v>
      </c>
    </row>
    <row r="23" spans="1:16">
      <c r="A23" s="51"/>
      <c r="B23" s="52" t="s">
        <v>32</v>
      </c>
      <c r="C23" s="47">
        <f t="shared" ref="C23:L23" si="12">SUM(C16:C22)</f>
        <v>156</v>
      </c>
      <c r="D23" s="47">
        <f t="shared" si="12"/>
        <v>9</v>
      </c>
      <c r="E23" s="47">
        <f t="shared" si="12"/>
        <v>50</v>
      </c>
      <c r="F23" s="47">
        <f t="shared" si="12"/>
        <v>29</v>
      </c>
      <c r="G23" s="47">
        <f t="shared" si="12"/>
        <v>32</v>
      </c>
      <c r="H23" s="47">
        <f t="shared" si="12"/>
        <v>12</v>
      </c>
      <c r="I23" s="47">
        <f t="shared" si="12"/>
        <v>7</v>
      </c>
      <c r="J23" s="47">
        <f t="shared" si="12"/>
        <v>8</v>
      </c>
      <c r="K23" s="47">
        <f t="shared" si="12"/>
        <v>5</v>
      </c>
      <c r="L23" s="47">
        <f t="shared" si="12"/>
        <v>4</v>
      </c>
      <c r="M23" s="49">
        <f t="shared" si="8"/>
        <v>139</v>
      </c>
      <c r="N23" s="50">
        <f t="shared" si="9"/>
        <v>89.102564102564102</v>
      </c>
      <c r="O23" s="49">
        <f t="shared" si="7"/>
        <v>152</v>
      </c>
      <c r="P23" s="50">
        <f t="shared" si="10"/>
        <v>97.435897435897431</v>
      </c>
    </row>
    <row r="24" spans="1:16" ht="12.75" customHeight="1">
      <c r="A24" s="54"/>
      <c r="B24" s="54"/>
      <c r="C24" s="128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4"/>
      <c r="P24" s="55"/>
    </row>
    <row r="25" spans="1:16" ht="15.75">
      <c r="A25" s="45" t="s">
        <v>38</v>
      </c>
    </row>
    <row r="26" spans="1:16" s="48" customFormat="1" ht="14.25" customHeight="1">
      <c r="A26" s="46"/>
      <c r="B26" s="46"/>
      <c r="C26" s="46"/>
      <c r="D26" s="142" t="s">
        <v>1</v>
      </c>
      <c r="E26" s="144"/>
      <c r="F26" s="142" t="s">
        <v>2</v>
      </c>
      <c r="G26" s="143"/>
      <c r="H26" s="143"/>
      <c r="I26" s="144"/>
      <c r="J26" s="146" t="s">
        <v>3</v>
      </c>
      <c r="K26" s="147"/>
      <c r="L26" s="77" t="s">
        <v>4</v>
      </c>
      <c r="M26" s="46"/>
      <c r="N26" s="46"/>
      <c r="O26" s="46"/>
      <c r="P26" s="46"/>
    </row>
    <row r="27" spans="1:16" ht="27">
      <c r="A27" s="75" t="s">
        <v>5</v>
      </c>
      <c r="B27" s="75" t="s">
        <v>6</v>
      </c>
      <c r="C27" s="75" t="s">
        <v>7</v>
      </c>
      <c r="D27" s="75" t="s">
        <v>8</v>
      </c>
      <c r="E27" s="75" t="s">
        <v>9</v>
      </c>
      <c r="F27" s="75" t="s">
        <v>10</v>
      </c>
      <c r="G27" s="75" t="s">
        <v>11</v>
      </c>
      <c r="H27" s="75" t="s">
        <v>12</v>
      </c>
      <c r="I27" s="75" t="s">
        <v>13</v>
      </c>
      <c r="J27" s="75" t="s">
        <v>14</v>
      </c>
      <c r="K27" s="75" t="s">
        <v>15</v>
      </c>
      <c r="L27" s="75" t="s">
        <v>16</v>
      </c>
      <c r="M27" s="76" t="s">
        <v>17</v>
      </c>
      <c r="N27" s="76" t="s">
        <v>18</v>
      </c>
      <c r="O27" s="76" t="s">
        <v>19</v>
      </c>
      <c r="P27" s="76" t="s">
        <v>20</v>
      </c>
    </row>
    <row r="28" spans="1:16">
      <c r="A28" s="47" t="s">
        <v>21</v>
      </c>
      <c r="B28" s="49" t="s">
        <v>39</v>
      </c>
      <c r="C28" s="121">
        <f>SUM(D28:L28)</f>
        <v>18</v>
      </c>
      <c r="D28" s="121" cm="1">
        <f t="array" ref="D28:L28">TRANSPOSE([1]Master!$S$47:$S$55)</f>
        <v>10</v>
      </c>
      <c r="E28" s="121">
        <v>2</v>
      </c>
      <c r="F28" s="121">
        <v>4</v>
      </c>
      <c r="G28" s="121">
        <v>1</v>
      </c>
      <c r="H28" s="121">
        <v>0</v>
      </c>
      <c r="I28" s="121">
        <v>0</v>
      </c>
      <c r="J28" s="121">
        <v>1</v>
      </c>
      <c r="K28" s="121">
        <v>0</v>
      </c>
      <c r="L28" s="121">
        <v>0</v>
      </c>
      <c r="M28" s="49">
        <f>SUM(D28:I28)</f>
        <v>17</v>
      </c>
      <c r="N28" s="50">
        <f>(M28/C28)*100</f>
        <v>94.444444444444443</v>
      </c>
      <c r="O28" s="49">
        <f t="shared" ref="O28:O35" si="13">SUM(D28:K28)</f>
        <v>18</v>
      </c>
      <c r="P28" s="50">
        <f>(O28/C28)*100</f>
        <v>100</v>
      </c>
    </row>
    <row r="29" spans="1:16">
      <c r="A29" s="47" t="s">
        <v>23</v>
      </c>
      <c r="B29" s="49" t="s">
        <v>40</v>
      </c>
      <c r="C29" s="121">
        <f t="shared" ref="C29:C34" si="14">SUM(D29:L29)</f>
        <v>20</v>
      </c>
      <c r="D29" s="121" cm="1">
        <f t="array" ref="D29:L29">TRANSPOSE([2]Master!$T$66:$T$74)</f>
        <v>6</v>
      </c>
      <c r="E29" s="121">
        <v>9</v>
      </c>
      <c r="F29" s="121">
        <v>3</v>
      </c>
      <c r="G29" s="121">
        <v>1</v>
      </c>
      <c r="H29" s="121">
        <v>0</v>
      </c>
      <c r="I29" s="121">
        <v>1</v>
      </c>
      <c r="J29" s="121">
        <v>0</v>
      </c>
      <c r="K29" s="121">
        <v>0</v>
      </c>
      <c r="L29" s="121">
        <v>0</v>
      </c>
      <c r="M29" s="49">
        <f t="shared" ref="M29:M35" si="15">SUM(D29:I29)</f>
        <v>20</v>
      </c>
      <c r="N29" s="50">
        <f t="shared" ref="N29:N35" si="16">(M29/C29)*100</f>
        <v>100</v>
      </c>
      <c r="O29" s="49">
        <f t="shared" si="13"/>
        <v>20</v>
      </c>
      <c r="P29" s="50">
        <f t="shared" ref="P29:P35" si="17">(O29/C29)*100</f>
        <v>100</v>
      </c>
    </row>
    <row r="30" spans="1:16">
      <c r="A30" s="47" t="s">
        <v>25</v>
      </c>
      <c r="B30" s="49" t="s">
        <v>39</v>
      </c>
      <c r="C30" s="121">
        <f t="shared" si="14"/>
        <v>24</v>
      </c>
      <c r="D30" s="121" cm="1">
        <f t="array" ref="D30:L30">TRANSPOSE([3]Master!$T$66:$T$74)</f>
        <v>1</v>
      </c>
      <c r="E30" s="121">
        <v>5</v>
      </c>
      <c r="F30" s="121">
        <v>5</v>
      </c>
      <c r="G30" s="121">
        <v>6</v>
      </c>
      <c r="H30" s="121">
        <v>1</v>
      </c>
      <c r="I30" s="121">
        <v>3</v>
      </c>
      <c r="J30" s="121">
        <v>2</v>
      </c>
      <c r="K30" s="121">
        <v>1</v>
      </c>
      <c r="L30" s="121">
        <v>0</v>
      </c>
      <c r="M30" s="49">
        <f t="shared" si="15"/>
        <v>21</v>
      </c>
      <c r="N30" s="50">
        <f t="shared" si="16"/>
        <v>87.5</v>
      </c>
      <c r="O30" s="49">
        <f t="shared" si="13"/>
        <v>24</v>
      </c>
      <c r="P30" s="50">
        <f t="shared" si="17"/>
        <v>100</v>
      </c>
    </row>
    <row r="31" spans="1:16">
      <c r="A31" s="47" t="s">
        <v>27</v>
      </c>
      <c r="B31" s="49" t="s">
        <v>40</v>
      </c>
      <c r="C31" s="121">
        <f t="shared" si="14"/>
        <v>25</v>
      </c>
      <c r="D31" s="121" cm="1">
        <f t="array" ref="D31:L31">TRANSPOSE([4]Master!$S$47:$S$55)</f>
        <v>10</v>
      </c>
      <c r="E31" s="121">
        <v>8</v>
      </c>
      <c r="F31" s="121">
        <v>2</v>
      </c>
      <c r="G31" s="121">
        <v>0</v>
      </c>
      <c r="H31" s="121">
        <v>3</v>
      </c>
      <c r="I31" s="121">
        <v>1</v>
      </c>
      <c r="J31" s="121">
        <v>1</v>
      </c>
      <c r="K31" s="121">
        <v>0</v>
      </c>
      <c r="L31" s="121">
        <v>0</v>
      </c>
      <c r="M31" s="49">
        <f t="shared" si="15"/>
        <v>24</v>
      </c>
      <c r="N31" s="50">
        <f t="shared" si="16"/>
        <v>96</v>
      </c>
      <c r="O31" s="49">
        <f t="shared" si="13"/>
        <v>25</v>
      </c>
      <c r="P31" s="50">
        <f t="shared" si="17"/>
        <v>100</v>
      </c>
    </row>
    <row r="32" spans="1:16">
      <c r="A32" s="47" t="s">
        <v>28</v>
      </c>
      <c r="B32" s="49" t="s">
        <v>40</v>
      </c>
      <c r="C32" s="121">
        <f t="shared" si="14"/>
        <v>25</v>
      </c>
      <c r="D32" s="121" cm="1">
        <f t="array" ref="D32:L32">TRANSPOSE([5]Master!$T$66:$T$74)</f>
        <v>6</v>
      </c>
      <c r="E32" s="121">
        <v>8</v>
      </c>
      <c r="F32" s="121">
        <v>0</v>
      </c>
      <c r="G32" s="121">
        <v>3</v>
      </c>
      <c r="H32" s="121">
        <v>4</v>
      </c>
      <c r="I32" s="121">
        <v>0</v>
      </c>
      <c r="J32" s="121">
        <v>2</v>
      </c>
      <c r="K32" s="121">
        <v>0</v>
      </c>
      <c r="L32" s="121">
        <v>2</v>
      </c>
      <c r="M32" s="49">
        <f t="shared" si="15"/>
        <v>21</v>
      </c>
      <c r="N32" s="50">
        <f t="shared" si="16"/>
        <v>84</v>
      </c>
      <c r="O32" s="49">
        <f t="shared" si="13"/>
        <v>23</v>
      </c>
      <c r="P32" s="50">
        <f t="shared" si="17"/>
        <v>92</v>
      </c>
    </row>
    <row r="33" spans="1:16">
      <c r="A33" s="47" t="s">
        <v>29</v>
      </c>
      <c r="B33" s="49" t="s">
        <v>39</v>
      </c>
      <c r="C33" s="121">
        <f t="shared" si="14"/>
        <v>24</v>
      </c>
      <c r="D33" s="121" cm="1">
        <f t="array" ref="D33:L33">TRANSPOSE([6]Master!$T$66:$T$74)</f>
        <v>0</v>
      </c>
      <c r="E33" s="121">
        <v>0</v>
      </c>
      <c r="F33" s="121">
        <v>1</v>
      </c>
      <c r="G33" s="121">
        <v>3</v>
      </c>
      <c r="H33" s="121">
        <v>3</v>
      </c>
      <c r="I33" s="121">
        <v>3</v>
      </c>
      <c r="J33" s="121">
        <v>6</v>
      </c>
      <c r="K33" s="121">
        <v>4</v>
      </c>
      <c r="L33" s="121">
        <v>4</v>
      </c>
      <c r="M33" s="49">
        <f t="shared" si="15"/>
        <v>10</v>
      </c>
      <c r="N33" s="50">
        <f t="shared" si="16"/>
        <v>41.666666666666671</v>
      </c>
      <c r="O33" s="49">
        <f t="shared" si="13"/>
        <v>20</v>
      </c>
      <c r="P33" s="50">
        <f t="shared" si="17"/>
        <v>83.333333333333343</v>
      </c>
    </row>
    <row r="34" spans="1:16">
      <c r="A34" s="47" t="s">
        <v>30</v>
      </c>
      <c r="B34" s="49" t="s">
        <v>40</v>
      </c>
      <c r="C34" s="121">
        <f t="shared" si="14"/>
        <v>20</v>
      </c>
      <c r="D34" s="121" cm="1">
        <f t="array" ref="D34:L34">TRANSPOSE([7]Master!$T$66:$T$74)</f>
        <v>1</v>
      </c>
      <c r="E34" s="121">
        <v>2</v>
      </c>
      <c r="F34" s="121">
        <v>0</v>
      </c>
      <c r="G34" s="121">
        <v>3</v>
      </c>
      <c r="H34" s="121">
        <v>2</v>
      </c>
      <c r="I34" s="121">
        <v>2</v>
      </c>
      <c r="J34" s="121">
        <v>1</v>
      </c>
      <c r="K34" s="121">
        <v>5</v>
      </c>
      <c r="L34" s="121">
        <v>4</v>
      </c>
      <c r="M34" s="49">
        <f t="shared" si="15"/>
        <v>10</v>
      </c>
      <c r="N34" s="50">
        <f t="shared" si="16"/>
        <v>50</v>
      </c>
      <c r="O34" s="49">
        <f t="shared" si="13"/>
        <v>16</v>
      </c>
      <c r="P34" s="50">
        <f t="shared" si="17"/>
        <v>80</v>
      </c>
    </row>
    <row r="35" spans="1:16">
      <c r="A35" s="51"/>
      <c r="B35" s="52" t="s">
        <v>32</v>
      </c>
      <c r="C35" s="47">
        <f t="shared" ref="C35:L35" si="18">SUM(C28:C34)</f>
        <v>156</v>
      </c>
      <c r="D35" s="47">
        <f t="shared" si="18"/>
        <v>34</v>
      </c>
      <c r="E35" s="47">
        <f t="shared" si="18"/>
        <v>34</v>
      </c>
      <c r="F35" s="47">
        <f t="shared" si="18"/>
        <v>15</v>
      </c>
      <c r="G35" s="47">
        <f t="shared" si="18"/>
        <v>17</v>
      </c>
      <c r="H35" s="47">
        <f t="shared" si="18"/>
        <v>13</v>
      </c>
      <c r="I35" s="47">
        <f t="shared" si="18"/>
        <v>10</v>
      </c>
      <c r="J35" s="47">
        <f t="shared" si="18"/>
        <v>13</v>
      </c>
      <c r="K35" s="47">
        <f t="shared" si="18"/>
        <v>10</v>
      </c>
      <c r="L35" s="47">
        <f t="shared" si="18"/>
        <v>10</v>
      </c>
      <c r="M35" s="49">
        <f t="shared" si="15"/>
        <v>123</v>
      </c>
      <c r="N35" s="50">
        <f t="shared" si="16"/>
        <v>78.84615384615384</v>
      </c>
      <c r="O35" s="49">
        <f t="shared" si="13"/>
        <v>146</v>
      </c>
      <c r="P35" s="50">
        <f t="shared" si="17"/>
        <v>93.589743589743591</v>
      </c>
    </row>
    <row r="36" spans="1:1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5"/>
      <c r="O36" s="54"/>
      <c r="P36" s="55"/>
    </row>
    <row r="37" spans="1:16" ht="15.75">
      <c r="A37" s="45" t="s">
        <v>41</v>
      </c>
    </row>
    <row r="38" spans="1:16" s="48" customFormat="1" ht="14.25" customHeight="1">
      <c r="A38" s="46"/>
      <c r="B38" s="46"/>
      <c r="C38" s="46"/>
      <c r="D38" s="142" t="s">
        <v>1</v>
      </c>
      <c r="E38" s="144"/>
      <c r="F38" s="142" t="s">
        <v>2</v>
      </c>
      <c r="G38" s="143"/>
      <c r="H38" s="143"/>
      <c r="I38" s="144"/>
      <c r="J38" s="146" t="s">
        <v>3</v>
      </c>
      <c r="K38" s="147"/>
      <c r="L38" s="77" t="s">
        <v>4</v>
      </c>
      <c r="M38" s="46"/>
      <c r="N38" s="46"/>
      <c r="O38" s="46"/>
      <c r="P38" s="46"/>
    </row>
    <row r="39" spans="1:16" ht="27">
      <c r="A39" s="75" t="s">
        <v>5</v>
      </c>
      <c r="B39" s="75" t="s">
        <v>6</v>
      </c>
      <c r="C39" s="75" t="s">
        <v>7</v>
      </c>
      <c r="D39" s="75" t="s">
        <v>8</v>
      </c>
      <c r="E39" s="75" t="s">
        <v>9</v>
      </c>
      <c r="F39" s="75" t="s">
        <v>10</v>
      </c>
      <c r="G39" s="75" t="s">
        <v>11</v>
      </c>
      <c r="H39" s="75" t="s">
        <v>12</v>
      </c>
      <c r="I39" s="75" t="s">
        <v>13</v>
      </c>
      <c r="J39" s="75" t="s">
        <v>14</v>
      </c>
      <c r="K39" s="75" t="s">
        <v>15</v>
      </c>
      <c r="L39" s="75" t="s">
        <v>16</v>
      </c>
      <c r="M39" s="76" t="s">
        <v>17</v>
      </c>
      <c r="N39" s="76" t="s">
        <v>18</v>
      </c>
      <c r="O39" s="76" t="s">
        <v>19</v>
      </c>
      <c r="P39" s="76" t="s">
        <v>20</v>
      </c>
    </row>
    <row r="40" spans="1:16" ht="15">
      <c r="A40" s="47" t="s">
        <v>21</v>
      </c>
      <c r="B40" s="57" t="s">
        <v>42</v>
      </c>
      <c r="C40" s="121">
        <f>SUM(D40:L40)</f>
        <v>18</v>
      </c>
      <c r="D40" s="121" cm="1">
        <f t="array" ref="D40:L40">TRANSPOSE([1]Master!$Y$47:$Y$55)</f>
        <v>0</v>
      </c>
      <c r="E40" s="121">
        <v>7</v>
      </c>
      <c r="F40" s="121">
        <v>5</v>
      </c>
      <c r="G40" s="121">
        <v>2</v>
      </c>
      <c r="H40" s="121">
        <v>3</v>
      </c>
      <c r="I40" s="121">
        <v>1</v>
      </c>
      <c r="J40" s="121">
        <v>0</v>
      </c>
      <c r="K40" s="121">
        <v>0</v>
      </c>
      <c r="L40" s="121">
        <v>0</v>
      </c>
      <c r="M40" s="49">
        <f>SUM(D40:I40)</f>
        <v>18</v>
      </c>
      <c r="N40" s="50">
        <f>(M40/C40)*100</f>
        <v>100</v>
      </c>
      <c r="O40" s="49">
        <f t="shared" ref="O40:O47" si="19">SUM(D40:K40)</f>
        <v>18</v>
      </c>
      <c r="P40" s="50">
        <f>(O40/C40)*100</f>
        <v>100</v>
      </c>
    </row>
    <row r="41" spans="1:16" ht="15">
      <c r="A41" s="47" t="s">
        <v>23</v>
      </c>
      <c r="B41" s="57" t="s">
        <v>43</v>
      </c>
      <c r="C41" s="121">
        <f t="shared" ref="C41:C46" si="20">SUM(D41:L41)</f>
        <v>20</v>
      </c>
      <c r="D41" s="121" cm="1">
        <f t="array" ref="D41:L41">TRANSPOSE([2]Master!$Z$66:$Z$74)</f>
        <v>3</v>
      </c>
      <c r="E41" s="121">
        <v>6</v>
      </c>
      <c r="F41" s="121">
        <v>2</v>
      </c>
      <c r="G41" s="121">
        <v>5</v>
      </c>
      <c r="H41" s="121">
        <v>1</v>
      </c>
      <c r="I41" s="121">
        <v>0</v>
      </c>
      <c r="J41" s="121">
        <v>2</v>
      </c>
      <c r="K41" s="121">
        <v>1</v>
      </c>
      <c r="L41" s="121">
        <v>0</v>
      </c>
      <c r="M41" s="49">
        <f t="shared" ref="M41:M47" si="21">SUM(D41:I41)</f>
        <v>17</v>
      </c>
      <c r="N41" s="50">
        <f t="shared" ref="N41:N47" si="22">(M41/C41)*100</f>
        <v>85</v>
      </c>
      <c r="O41" s="49">
        <f t="shared" si="19"/>
        <v>20</v>
      </c>
      <c r="P41" s="50">
        <f t="shared" ref="P41:P47" si="23">(O41/C41)*100</f>
        <v>100</v>
      </c>
    </row>
    <row r="42" spans="1:16" ht="15">
      <c r="A42" s="47" t="s">
        <v>25</v>
      </c>
      <c r="B42" s="57" t="s">
        <v>44</v>
      </c>
      <c r="C42" s="121">
        <f t="shared" si="20"/>
        <v>24</v>
      </c>
      <c r="D42" s="121" cm="1">
        <f t="array" ref="D42:L42">TRANSPOSE([3]Master!$Z$66:$Z$74)</f>
        <v>0</v>
      </c>
      <c r="E42" s="121">
        <v>1</v>
      </c>
      <c r="F42" s="121">
        <v>4</v>
      </c>
      <c r="G42" s="121">
        <v>6</v>
      </c>
      <c r="H42" s="121">
        <v>5</v>
      </c>
      <c r="I42" s="121">
        <v>3</v>
      </c>
      <c r="J42" s="121">
        <v>5</v>
      </c>
      <c r="K42" s="121">
        <v>0</v>
      </c>
      <c r="L42" s="121">
        <v>0</v>
      </c>
      <c r="M42" s="49">
        <f t="shared" si="21"/>
        <v>19</v>
      </c>
      <c r="N42" s="50">
        <f t="shared" si="22"/>
        <v>79.166666666666657</v>
      </c>
      <c r="O42" s="49">
        <f t="shared" si="19"/>
        <v>24</v>
      </c>
      <c r="P42" s="50">
        <f t="shared" si="23"/>
        <v>100</v>
      </c>
    </row>
    <row r="43" spans="1:16" ht="15">
      <c r="A43" s="47" t="s">
        <v>27</v>
      </c>
      <c r="B43" s="57" t="s">
        <v>44</v>
      </c>
      <c r="C43" s="121">
        <f t="shared" si="20"/>
        <v>25</v>
      </c>
      <c r="D43" s="121" cm="1">
        <f t="array" ref="D43:L43">TRANSPOSE([4]Master!$Y$47:$Y$55)</f>
        <v>0</v>
      </c>
      <c r="E43" s="121">
        <v>0</v>
      </c>
      <c r="F43" s="121">
        <v>0</v>
      </c>
      <c r="G43" s="121">
        <v>3</v>
      </c>
      <c r="H43" s="121">
        <v>5</v>
      </c>
      <c r="I43" s="121">
        <v>6</v>
      </c>
      <c r="J43" s="121">
        <v>10</v>
      </c>
      <c r="K43" s="121">
        <v>1</v>
      </c>
      <c r="L43" s="121">
        <v>0</v>
      </c>
      <c r="M43" s="49">
        <f t="shared" si="21"/>
        <v>14</v>
      </c>
      <c r="N43" s="50">
        <f t="shared" si="22"/>
        <v>56.000000000000007</v>
      </c>
      <c r="O43" s="49">
        <f t="shared" si="19"/>
        <v>25</v>
      </c>
      <c r="P43" s="50">
        <f t="shared" si="23"/>
        <v>100</v>
      </c>
    </row>
    <row r="44" spans="1:16" ht="15">
      <c r="A44" s="47" t="s">
        <v>28</v>
      </c>
      <c r="B44" s="57" t="s">
        <v>42</v>
      </c>
      <c r="C44" s="121">
        <f t="shared" si="20"/>
        <v>25</v>
      </c>
      <c r="D44" s="121" cm="1">
        <f t="array" ref="D44:L44">TRANSPOSE([5]Master!$Z$66:$Z$74)</f>
        <v>0</v>
      </c>
      <c r="E44" s="121">
        <v>2</v>
      </c>
      <c r="F44" s="121">
        <v>3</v>
      </c>
      <c r="G44" s="121">
        <v>1</v>
      </c>
      <c r="H44" s="121">
        <v>6</v>
      </c>
      <c r="I44" s="121">
        <v>3</v>
      </c>
      <c r="J44" s="121">
        <v>6</v>
      </c>
      <c r="K44" s="121">
        <v>3</v>
      </c>
      <c r="L44" s="121">
        <v>1</v>
      </c>
      <c r="M44" s="49">
        <f t="shared" si="21"/>
        <v>15</v>
      </c>
      <c r="N44" s="50">
        <f t="shared" si="22"/>
        <v>60</v>
      </c>
      <c r="O44" s="49">
        <f t="shared" si="19"/>
        <v>24</v>
      </c>
      <c r="P44" s="50">
        <f t="shared" si="23"/>
        <v>96</v>
      </c>
    </row>
    <row r="45" spans="1:16" ht="15">
      <c r="A45" s="47" t="s">
        <v>29</v>
      </c>
      <c r="B45" s="57" t="s">
        <v>44</v>
      </c>
      <c r="C45" s="121">
        <f t="shared" si="20"/>
        <v>24</v>
      </c>
      <c r="D45" s="121" cm="1">
        <f t="array" ref="D45:L45">TRANSPOSE([6]Master!$Z$66:$Z$74)</f>
        <v>1</v>
      </c>
      <c r="E45" s="121">
        <v>0</v>
      </c>
      <c r="F45" s="121">
        <v>1</v>
      </c>
      <c r="G45" s="121">
        <v>1</v>
      </c>
      <c r="H45" s="121">
        <v>1</v>
      </c>
      <c r="I45" s="121">
        <v>3</v>
      </c>
      <c r="J45" s="121">
        <v>6</v>
      </c>
      <c r="K45" s="121">
        <v>8</v>
      </c>
      <c r="L45" s="121">
        <v>3</v>
      </c>
      <c r="M45" s="49">
        <f t="shared" si="21"/>
        <v>7</v>
      </c>
      <c r="N45" s="50">
        <f t="shared" si="22"/>
        <v>29.166666666666668</v>
      </c>
      <c r="O45" s="49">
        <f t="shared" si="19"/>
        <v>21</v>
      </c>
      <c r="P45" s="50">
        <f t="shared" si="23"/>
        <v>87.5</v>
      </c>
    </row>
    <row r="46" spans="1:16" ht="15">
      <c r="A46" s="47" t="s">
        <v>30</v>
      </c>
      <c r="B46" s="57" t="s">
        <v>43</v>
      </c>
      <c r="C46" s="121">
        <f t="shared" si="20"/>
        <v>20</v>
      </c>
      <c r="D46" s="121" cm="1">
        <f t="array" ref="D46:L46">TRANSPOSE([7]Master!$Z$66:$Z$74)</f>
        <v>0</v>
      </c>
      <c r="E46" s="121">
        <v>0</v>
      </c>
      <c r="F46" s="121">
        <v>0</v>
      </c>
      <c r="G46" s="121">
        <v>2</v>
      </c>
      <c r="H46" s="121">
        <v>2</v>
      </c>
      <c r="I46" s="121">
        <v>3</v>
      </c>
      <c r="J46" s="121">
        <v>1</v>
      </c>
      <c r="K46" s="121">
        <v>4</v>
      </c>
      <c r="L46" s="121">
        <v>8</v>
      </c>
      <c r="M46" s="49">
        <f t="shared" si="21"/>
        <v>7</v>
      </c>
      <c r="N46" s="50">
        <f t="shared" si="22"/>
        <v>35</v>
      </c>
      <c r="O46" s="49">
        <f t="shared" si="19"/>
        <v>12</v>
      </c>
      <c r="P46" s="50">
        <f t="shared" si="23"/>
        <v>60</v>
      </c>
    </row>
    <row r="47" spans="1:16">
      <c r="A47" s="51"/>
      <c r="B47" s="52" t="s">
        <v>32</v>
      </c>
      <c r="C47" s="47">
        <f t="shared" ref="C47:L47" si="24">SUM(C40:C46)</f>
        <v>156</v>
      </c>
      <c r="D47" s="47">
        <f t="shared" si="24"/>
        <v>4</v>
      </c>
      <c r="E47" s="47">
        <f t="shared" si="24"/>
        <v>16</v>
      </c>
      <c r="F47" s="47">
        <f t="shared" si="24"/>
        <v>15</v>
      </c>
      <c r="G47" s="47">
        <f t="shared" si="24"/>
        <v>20</v>
      </c>
      <c r="H47" s="47">
        <f t="shared" si="24"/>
        <v>23</v>
      </c>
      <c r="I47" s="47">
        <f t="shared" si="24"/>
        <v>19</v>
      </c>
      <c r="J47" s="47">
        <f t="shared" si="24"/>
        <v>30</v>
      </c>
      <c r="K47" s="47">
        <f t="shared" si="24"/>
        <v>17</v>
      </c>
      <c r="L47" s="47">
        <f t="shared" si="24"/>
        <v>12</v>
      </c>
      <c r="M47" s="49">
        <f t="shared" si="21"/>
        <v>97</v>
      </c>
      <c r="N47" s="50">
        <f t="shared" si="22"/>
        <v>62.179487179487182</v>
      </c>
      <c r="O47" s="49">
        <f t="shared" si="19"/>
        <v>144</v>
      </c>
      <c r="P47" s="50">
        <f t="shared" si="23"/>
        <v>92.307692307692307</v>
      </c>
    </row>
    <row r="48" spans="1:16" ht="10.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5"/>
      <c r="O48" s="54"/>
      <c r="P48" s="55"/>
    </row>
    <row r="49" spans="1:16" ht="15.75">
      <c r="A49" s="45" t="s">
        <v>45</v>
      </c>
    </row>
    <row r="50" spans="1:16" s="48" customFormat="1" ht="14.25" customHeight="1">
      <c r="A50" s="46"/>
      <c r="B50" s="46"/>
      <c r="C50" s="46"/>
      <c r="D50" s="142" t="s">
        <v>1</v>
      </c>
      <c r="E50" s="144"/>
      <c r="F50" s="142" t="s">
        <v>2</v>
      </c>
      <c r="G50" s="143"/>
      <c r="H50" s="143"/>
      <c r="I50" s="144"/>
      <c r="J50" s="146" t="s">
        <v>3</v>
      </c>
      <c r="K50" s="147"/>
      <c r="L50" s="77" t="s">
        <v>4</v>
      </c>
      <c r="M50" s="46"/>
      <c r="N50" s="46"/>
      <c r="O50" s="46"/>
      <c r="P50" s="46"/>
    </row>
    <row r="51" spans="1:16" ht="27">
      <c r="A51" s="75" t="s">
        <v>5</v>
      </c>
      <c r="B51" s="75" t="s">
        <v>6</v>
      </c>
      <c r="C51" s="75" t="s">
        <v>7</v>
      </c>
      <c r="D51" s="75" t="s">
        <v>8</v>
      </c>
      <c r="E51" s="75" t="s">
        <v>9</v>
      </c>
      <c r="F51" s="75" t="s">
        <v>10</v>
      </c>
      <c r="G51" s="75" t="s">
        <v>11</v>
      </c>
      <c r="H51" s="75" t="s">
        <v>12</v>
      </c>
      <c r="I51" s="75" t="s">
        <v>13</v>
      </c>
      <c r="J51" s="75" t="s">
        <v>14</v>
      </c>
      <c r="K51" s="75" t="s">
        <v>15</v>
      </c>
      <c r="L51" s="75" t="s">
        <v>16</v>
      </c>
      <c r="M51" s="76" t="s">
        <v>17</v>
      </c>
      <c r="N51" s="76" t="s">
        <v>18</v>
      </c>
      <c r="O51" s="76" t="s">
        <v>19</v>
      </c>
      <c r="P51" s="76" t="s">
        <v>20</v>
      </c>
    </row>
    <row r="52" spans="1:16">
      <c r="A52" s="47" t="s">
        <v>21</v>
      </c>
      <c r="B52" s="58" t="s">
        <v>46</v>
      </c>
      <c r="C52" s="121">
        <f>SUM(D52:L52)</f>
        <v>18</v>
      </c>
      <c r="D52" s="121" cm="1">
        <f t="array" ref="D52:L52">TRANSPOSE([1]Master!$P$47:$P$55)</f>
        <v>1</v>
      </c>
      <c r="E52" s="121">
        <v>5</v>
      </c>
      <c r="F52" s="121">
        <v>2</v>
      </c>
      <c r="G52" s="121">
        <v>3</v>
      </c>
      <c r="H52" s="121">
        <v>5</v>
      </c>
      <c r="I52" s="121">
        <v>2</v>
      </c>
      <c r="J52" s="121">
        <v>0</v>
      </c>
      <c r="K52" s="121">
        <v>0</v>
      </c>
      <c r="L52" s="121">
        <v>0</v>
      </c>
      <c r="M52" s="49">
        <f>SUM(D52:I52)</f>
        <v>18</v>
      </c>
      <c r="N52" s="50">
        <f>(M52/C52)*100</f>
        <v>100</v>
      </c>
      <c r="O52" s="49">
        <f t="shared" ref="O52:O59" si="25">SUM(D52:K52)</f>
        <v>18</v>
      </c>
      <c r="P52" s="50">
        <f>(O52/C52)*100</f>
        <v>100</v>
      </c>
    </row>
    <row r="53" spans="1:16">
      <c r="A53" s="47" t="s">
        <v>23</v>
      </c>
      <c r="B53" s="59" t="s">
        <v>47</v>
      </c>
      <c r="C53" s="121">
        <f t="shared" ref="C53:C58" si="26">SUM(D53:L53)</f>
        <v>20</v>
      </c>
      <c r="D53" s="121" cm="1">
        <f t="array" ref="D53:L53">TRANSPOSE([2]Master!$Q$66:$Q$74)</f>
        <v>0</v>
      </c>
      <c r="E53" s="121">
        <v>1</v>
      </c>
      <c r="F53" s="121">
        <v>1</v>
      </c>
      <c r="G53" s="121">
        <v>3</v>
      </c>
      <c r="H53" s="121">
        <v>4</v>
      </c>
      <c r="I53" s="121">
        <v>2</v>
      </c>
      <c r="J53" s="121">
        <v>4</v>
      </c>
      <c r="K53" s="121">
        <v>4</v>
      </c>
      <c r="L53" s="121">
        <v>1</v>
      </c>
      <c r="M53" s="49">
        <f t="shared" ref="M53:M59" si="27">SUM(D53:I53)</f>
        <v>11</v>
      </c>
      <c r="N53" s="50">
        <f t="shared" ref="N53:N59" si="28">(M53/C53)*100</f>
        <v>55.000000000000007</v>
      </c>
      <c r="O53" s="49">
        <f t="shared" si="25"/>
        <v>19</v>
      </c>
      <c r="P53" s="50">
        <f t="shared" ref="P53:P59" si="29">(O53/C53)*100</f>
        <v>95</v>
      </c>
    </row>
    <row r="54" spans="1:16">
      <c r="A54" s="47" t="s">
        <v>25</v>
      </c>
      <c r="B54" s="59" t="s">
        <v>48</v>
      </c>
      <c r="C54" s="121">
        <f t="shared" si="26"/>
        <v>24</v>
      </c>
      <c r="D54" s="121" cm="1">
        <f t="array" ref="D54:L54">TRANSPOSE([3]Master!$Q$66:$Q$74)</f>
        <v>0</v>
      </c>
      <c r="E54" s="121">
        <v>0</v>
      </c>
      <c r="F54" s="121">
        <v>0</v>
      </c>
      <c r="G54" s="121">
        <v>1</v>
      </c>
      <c r="H54" s="121">
        <v>1</v>
      </c>
      <c r="I54" s="121">
        <v>5</v>
      </c>
      <c r="J54" s="121">
        <v>5</v>
      </c>
      <c r="K54" s="121">
        <v>6</v>
      </c>
      <c r="L54" s="121">
        <v>6</v>
      </c>
      <c r="M54" s="49">
        <f t="shared" si="27"/>
        <v>7</v>
      </c>
      <c r="N54" s="50">
        <f t="shared" si="28"/>
        <v>29.166666666666668</v>
      </c>
      <c r="O54" s="49">
        <f t="shared" si="25"/>
        <v>18</v>
      </c>
      <c r="P54" s="50">
        <f t="shared" si="29"/>
        <v>75</v>
      </c>
    </row>
    <row r="55" spans="1:16">
      <c r="A55" s="47" t="s">
        <v>27</v>
      </c>
      <c r="B55" s="59" t="s">
        <v>49</v>
      </c>
      <c r="C55" s="121">
        <f t="shared" si="26"/>
        <v>25</v>
      </c>
      <c r="D55" s="121" cm="1">
        <f t="array" ref="D55:L55">TRANSPOSE([4]Master!$P$47:$P$55)</f>
        <v>0</v>
      </c>
      <c r="E55" s="121">
        <v>0</v>
      </c>
      <c r="F55" s="121">
        <v>0</v>
      </c>
      <c r="G55" s="121">
        <v>2</v>
      </c>
      <c r="H55" s="121">
        <v>0</v>
      </c>
      <c r="I55" s="121">
        <v>2</v>
      </c>
      <c r="J55" s="121">
        <v>4</v>
      </c>
      <c r="K55" s="121">
        <v>9</v>
      </c>
      <c r="L55" s="121">
        <v>8</v>
      </c>
      <c r="M55" s="49">
        <f t="shared" si="27"/>
        <v>4</v>
      </c>
      <c r="N55" s="50">
        <f t="shared" si="28"/>
        <v>16</v>
      </c>
      <c r="O55" s="49">
        <f t="shared" si="25"/>
        <v>17</v>
      </c>
      <c r="P55" s="50">
        <f t="shared" si="29"/>
        <v>68</v>
      </c>
    </row>
    <row r="56" spans="1:16">
      <c r="A56" s="47" t="s">
        <v>28</v>
      </c>
      <c r="B56" s="59" t="s">
        <v>48</v>
      </c>
      <c r="C56" s="121">
        <f t="shared" si="26"/>
        <v>25</v>
      </c>
      <c r="D56" s="121" cm="1">
        <f t="array" ref="D56:L56">TRANSPOSE([5]Master!$Q$66:$Q$74)</f>
        <v>0</v>
      </c>
      <c r="E56" s="121">
        <v>0</v>
      </c>
      <c r="F56" s="121">
        <v>0</v>
      </c>
      <c r="G56" s="121">
        <v>0</v>
      </c>
      <c r="H56" s="121">
        <v>0</v>
      </c>
      <c r="I56" s="121">
        <v>3</v>
      </c>
      <c r="J56" s="121">
        <v>2</v>
      </c>
      <c r="K56" s="121">
        <v>5</v>
      </c>
      <c r="L56" s="121">
        <v>15</v>
      </c>
      <c r="M56" s="49">
        <f t="shared" si="27"/>
        <v>3</v>
      </c>
      <c r="N56" s="50">
        <f t="shared" si="28"/>
        <v>12</v>
      </c>
      <c r="O56" s="49">
        <f t="shared" si="25"/>
        <v>10</v>
      </c>
      <c r="P56" s="50">
        <f t="shared" si="29"/>
        <v>40</v>
      </c>
    </row>
    <row r="57" spans="1:16">
      <c r="A57" s="47" t="s">
        <v>29</v>
      </c>
      <c r="B57" s="59" t="s">
        <v>46</v>
      </c>
      <c r="C57" s="121">
        <f t="shared" si="26"/>
        <v>24</v>
      </c>
      <c r="D57" s="121" cm="1">
        <f t="array" ref="D57:L57">TRANSPOSE([6]Master!$Q$66:$Q$74)</f>
        <v>0</v>
      </c>
      <c r="E57" s="121">
        <v>0</v>
      </c>
      <c r="F57" s="121">
        <v>0</v>
      </c>
      <c r="G57" s="121">
        <v>0</v>
      </c>
      <c r="H57" s="121">
        <v>0</v>
      </c>
      <c r="I57" s="121">
        <v>1</v>
      </c>
      <c r="J57" s="121">
        <v>0</v>
      </c>
      <c r="K57" s="121">
        <v>1</v>
      </c>
      <c r="L57" s="121">
        <v>22</v>
      </c>
      <c r="M57" s="49">
        <f t="shared" si="27"/>
        <v>1</v>
      </c>
      <c r="N57" s="50">
        <f t="shared" si="28"/>
        <v>4.1666666666666661</v>
      </c>
      <c r="O57" s="49">
        <f t="shared" si="25"/>
        <v>2</v>
      </c>
      <c r="P57" s="50">
        <f t="shared" si="29"/>
        <v>8.3333333333333321</v>
      </c>
    </row>
    <row r="58" spans="1:16">
      <c r="A58" s="47" t="s">
        <v>30</v>
      </c>
      <c r="B58" s="59" t="s">
        <v>49</v>
      </c>
      <c r="C58" s="121">
        <f t="shared" si="26"/>
        <v>20</v>
      </c>
      <c r="D58" s="121" cm="1">
        <f t="array" ref="D58:L58">TRANSPOSE([7]Master!$Q$66:$Q$74)</f>
        <v>0</v>
      </c>
      <c r="E58" s="121"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20</v>
      </c>
      <c r="M58" s="49">
        <f t="shared" si="27"/>
        <v>0</v>
      </c>
      <c r="N58" s="50">
        <f t="shared" si="28"/>
        <v>0</v>
      </c>
      <c r="O58" s="49">
        <f t="shared" si="25"/>
        <v>0</v>
      </c>
      <c r="P58" s="50">
        <f t="shared" si="29"/>
        <v>0</v>
      </c>
    </row>
    <row r="59" spans="1:16">
      <c r="A59" s="51"/>
      <c r="B59" s="52" t="s">
        <v>32</v>
      </c>
      <c r="C59" s="47">
        <f t="shared" ref="C59:L59" si="30">SUM(C52:C58)</f>
        <v>156</v>
      </c>
      <c r="D59" s="47">
        <f t="shared" si="30"/>
        <v>1</v>
      </c>
      <c r="E59" s="47">
        <f t="shared" si="30"/>
        <v>6</v>
      </c>
      <c r="F59" s="47">
        <f t="shared" si="30"/>
        <v>3</v>
      </c>
      <c r="G59" s="47">
        <f t="shared" si="30"/>
        <v>9</v>
      </c>
      <c r="H59" s="47">
        <f t="shared" si="30"/>
        <v>10</v>
      </c>
      <c r="I59" s="47">
        <f t="shared" si="30"/>
        <v>15</v>
      </c>
      <c r="J59" s="47">
        <f t="shared" si="30"/>
        <v>15</v>
      </c>
      <c r="K59" s="47">
        <f t="shared" si="30"/>
        <v>25</v>
      </c>
      <c r="L59" s="47">
        <f t="shared" si="30"/>
        <v>72</v>
      </c>
      <c r="M59" s="49">
        <f t="shared" si="27"/>
        <v>44</v>
      </c>
      <c r="N59" s="50">
        <f t="shared" si="28"/>
        <v>28.205128205128204</v>
      </c>
      <c r="O59" s="49">
        <f t="shared" si="25"/>
        <v>84</v>
      </c>
      <c r="P59" s="50">
        <f t="shared" si="29"/>
        <v>53.846153846153847</v>
      </c>
    </row>
    <row r="60" spans="1:16" ht="13.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5"/>
      <c r="O60" s="54"/>
      <c r="P60" s="55"/>
    </row>
    <row r="61" spans="1:16" ht="15.75">
      <c r="A61" s="45" t="s">
        <v>50</v>
      </c>
    </row>
    <row r="62" spans="1:16" s="48" customFormat="1" ht="14.25" customHeight="1">
      <c r="A62" s="46"/>
      <c r="B62" s="46"/>
      <c r="C62" s="46"/>
      <c r="D62" s="142" t="s">
        <v>1</v>
      </c>
      <c r="E62" s="144"/>
      <c r="F62" s="142" t="s">
        <v>2</v>
      </c>
      <c r="G62" s="143"/>
      <c r="H62" s="143"/>
      <c r="I62" s="144"/>
      <c r="J62" s="146" t="s">
        <v>3</v>
      </c>
      <c r="K62" s="147"/>
      <c r="L62" s="77" t="s">
        <v>4</v>
      </c>
      <c r="M62" s="46"/>
      <c r="N62" s="46"/>
      <c r="O62" s="46"/>
      <c r="P62" s="46"/>
    </row>
    <row r="63" spans="1:16" ht="27">
      <c r="A63" s="75" t="s">
        <v>5</v>
      </c>
      <c r="B63" s="75" t="s">
        <v>6</v>
      </c>
      <c r="C63" s="75" t="s">
        <v>7</v>
      </c>
      <c r="D63" s="75" t="s">
        <v>8</v>
      </c>
      <c r="E63" s="75" t="s">
        <v>9</v>
      </c>
      <c r="F63" s="75" t="s">
        <v>10</v>
      </c>
      <c r="G63" s="75" t="s">
        <v>11</v>
      </c>
      <c r="H63" s="75" t="s">
        <v>12</v>
      </c>
      <c r="I63" s="75" t="s">
        <v>13</v>
      </c>
      <c r="J63" s="75" t="s">
        <v>14</v>
      </c>
      <c r="K63" s="75" t="s">
        <v>15</v>
      </c>
      <c r="L63" s="75" t="s">
        <v>16</v>
      </c>
      <c r="M63" s="76" t="s">
        <v>17</v>
      </c>
      <c r="N63" s="76" t="s">
        <v>18</v>
      </c>
      <c r="O63" s="76" t="s">
        <v>19</v>
      </c>
      <c r="P63" s="76" t="s">
        <v>20</v>
      </c>
    </row>
    <row r="64" spans="1:16">
      <c r="A64" s="47" t="s">
        <v>21</v>
      </c>
      <c r="B64" s="119" t="s">
        <v>51</v>
      </c>
      <c r="C64" s="121">
        <f>SUM(D64:L64)</f>
        <v>18</v>
      </c>
      <c r="D64" s="121" cm="1">
        <f t="array" ref="D64:L64">TRANSPOSE([1]Master!$V$47:$V$55)</f>
        <v>2</v>
      </c>
      <c r="E64" s="121">
        <v>5</v>
      </c>
      <c r="F64" s="121">
        <v>4</v>
      </c>
      <c r="G64" s="121">
        <v>4</v>
      </c>
      <c r="H64" s="121">
        <v>1</v>
      </c>
      <c r="I64" s="121">
        <v>1</v>
      </c>
      <c r="J64" s="121">
        <v>1</v>
      </c>
      <c r="K64" s="121">
        <v>0</v>
      </c>
      <c r="L64" s="121">
        <v>0</v>
      </c>
      <c r="M64" s="49">
        <f>SUM(D64:I64)</f>
        <v>17</v>
      </c>
      <c r="N64" s="50">
        <f>(M64/C64)*100</f>
        <v>94.444444444444443</v>
      </c>
      <c r="O64" s="49">
        <f t="shared" ref="O64:O71" si="31">SUM(D64:K64)</f>
        <v>18</v>
      </c>
      <c r="P64" s="50">
        <f>(O64/C64)*100</f>
        <v>100</v>
      </c>
    </row>
    <row r="65" spans="1:16">
      <c r="A65" s="47" t="s">
        <v>23</v>
      </c>
      <c r="B65" s="120" t="s">
        <v>52</v>
      </c>
      <c r="C65" s="121">
        <f t="shared" ref="C65:C70" si="32">SUM(D65:L65)</f>
        <v>20</v>
      </c>
      <c r="D65" s="121" cm="1">
        <f t="array" ref="D65:L65">TRANSPOSE([2]Master!$W$66:$W$74)</f>
        <v>2</v>
      </c>
      <c r="E65" s="121">
        <v>9</v>
      </c>
      <c r="F65" s="121">
        <v>4</v>
      </c>
      <c r="G65" s="121">
        <v>2</v>
      </c>
      <c r="H65" s="121">
        <v>1</v>
      </c>
      <c r="I65" s="121">
        <v>2</v>
      </c>
      <c r="J65" s="121">
        <v>0</v>
      </c>
      <c r="K65" s="121">
        <v>0</v>
      </c>
      <c r="L65" s="121">
        <v>0</v>
      </c>
      <c r="M65" s="49">
        <f t="shared" ref="M65:M71" si="33">SUM(D65:I65)</f>
        <v>20</v>
      </c>
      <c r="N65" s="50">
        <f t="shared" ref="N65:N71" si="34">(M65/C65)*100</f>
        <v>100</v>
      </c>
      <c r="O65" s="49">
        <f t="shared" si="31"/>
        <v>20</v>
      </c>
      <c r="P65" s="50">
        <f t="shared" ref="P65:P71" si="35">(O65/C65)*100</f>
        <v>100</v>
      </c>
    </row>
    <row r="66" spans="1:16">
      <c r="A66" s="47" t="s">
        <v>25</v>
      </c>
      <c r="B66" s="120" t="s">
        <v>53</v>
      </c>
      <c r="C66" s="121">
        <f t="shared" si="32"/>
        <v>25</v>
      </c>
      <c r="D66" s="121" cm="1">
        <f t="array" ref="D66:L66">TRANSPOSE([4]Master!$V$47:$V$55)</f>
        <v>0</v>
      </c>
      <c r="E66" s="121">
        <v>3</v>
      </c>
      <c r="F66" s="121">
        <v>2</v>
      </c>
      <c r="G66" s="121">
        <v>4</v>
      </c>
      <c r="H66" s="121">
        <v>2</v>
      </c>
      <c r="I66" s="121">
        <v>7</v>
      </c>
      <c r="J66" s="121">
        <v>6</v>
      </c>
      <c r="K66" s="121">
        <v>1</v>
      </c>
      <c r="L66" s="121">
        <v>0</v>
      </c>
      <c r="M66" s="49">
        <f t="shared" si="33"/>
        <v>18</v>
      </c>
      <c r="N66" s="50">
        <f t="shared" si="34"/>
        <v>72</v>
      </c>
      <c r="O66" s="49">
        <f t="shared" si="31"/>
        <v>25</v>
      </c>
      <c r="P66" s="50">
        <f t="shared" si="35"/>
        <v>100</v>
      </c>
    </row>
    <row r="67" spans="1:16">
      <c r="A67" s="47" t="s">
        <v>27</v>
      </c>
      <c r="B67" s="120" t="s">
        <v>52</v>
      </c>
      <c r="C67" s="121">
        <f t="shared" si="32"/>
        <v>25</v>
      </c>
      <c r="D67" s="121" cm="1">
        <f t="array" ref="D67:L67">TRANSPOSE([4]Master!$V$47:$V$55)</f>
        <v>0</v>
      </c>
      <c r="E67" s="121">
        <v>3</v>
      </c>
      <c r="F67" s="121">
        <v>2</v>
      </c>
      <c r="G67" s="121">
        <v>4</v>
      </c>
      <c r="H67" s="121">
        <v>2</v>
      </c>
      <c r="I67" s="121">
        <v>7</v>
      </c>
      <c r="J67" s="121">
        <v>6</v>
      </c>
      <c r="K67" s="121">
        <v>1</v>
      </c>
      <c r="L67" s="121">
        <v>0</v>
      </c>
      <c r="M67" s="49">
        <f t="shared" si="33"/>
        <v>18</v>
      </c>
      <c r="N67" s="50">
        <f t="shared" si="34"/>
        <v>72</v>
      </c>
      <c r="O67" s="49">
        <f t="shared" si="31"/>
        <v>25</v>
      </c>
      <c r="P67" s="50">
        <f t="shared" si="35"/>
        <v>100</v>
      </c>
    </row>
    <row r="68" spans="1:16">
      <c r="A68" s="47" t="s">
        <v>28</v>
      </c>
      <c r="B68" s="120" t="s">
        <v>53</v>
      </c>
      <c r="C68" s="121">
        <f t="shared" si="32"/>
        <v>25</v>
      </c>
      <c r="D68" s="121" cm="1">
        <f t="array" ref="D68:L68">TRANSPOSE([5]Master!$W$66:$W$74)</f>
        <v>0</v>
      </c>
      <c r="E68" s="121">
        <v>0</v>
      </c>
      <c r="F68" s="121">
        <v>2</v>
      </c>
      <c r="G68" s="121">
        <v>1</v>
      </c>
      <c r="H68" s="121">
        <v>3</v>
      </c>
      <c r="I68" s="121">
        <v>1</v>
      </c>
      <c r="J68" s="121">
        <v>10</v>
      </c>
      <c r="K68" s="121">
        <v>5</v>
      </c>
      <c r="L68" s="121">
        <v>3</v>
      </c>
      <c r="M68" s="49">
        <f t="shared" si="33"/>
        <v>7</v>
      </c>
      <c r="N68" s="50">
        <f t="shared" si="34"/>
        <v>28.000000000000004</v>
      </c>
      <c r="O68" s="49">
        <f t="shared" si="31"/>
        <v>22</v>
      </c>
      <c r="P68" s="50">
        <f t="shared" si="35"/>
        <v>88</v>
      </c>
    </row>
    <row r="69" spans="1:16">
      <c r="A69" s="47" t="s">
        <v>29</v>
      </c>
      <c r="B69" s="120" t="s">
        <v>51</v>
      </c>
      <c r="C69" s="121">
        <f t="shared" si="32"/>
        <v>24</v>
      </c>
      <c r="D69" s="121" cm="1">
        <f t="array" ref="D69:L69">TRANSPOSE([6]Master!$W$66:$W$74)</f>
        <v>1</v>
      </c>
      <c r="E69" s="121">
        <v>0</v>
      </c>
      <c r="F69" s="121">
        <v>0</v>
      </c>
      <c r="G69" s="121">
        <v>1</v>
      </c>
      <c r="H69" s="121">
        <v>1</v>
      </c>
      <c r="I69" s="121">
        <v>1</v>
      </c>
      <c r="J69" s="121">
        <v>6</v>
      </c>
      <c r="K69" s="121">
        <v>5</v>
      </c>
      <c r="L69" s="121">
        <v>9</v>
      </c>
      <c r="M69" s="49">
        <f t="shared" si="33"/>
        <v>4</v>
      </c>
      <c r="N69" s="50">
        <f t="shared" si="34"/>
        <v>16.666666666666664</v>
      </c>
      <c r="O69" s="49">
        <f t="shared" si="31"/>
        <v>15</v>
      </c>
      <c r="P69" s="50">
        <f t="shared" si="35"/>
        <v>62.5</v>
      </c>
    </row>
    <row r="70" spans="1:16">
      <c r="A70" s="47" t="s">
        <v>30</v>
      </c>
      <c r="B70" s="120" t="s">
        <v>52</v>
      </c>
      <c r="C70" s="121">
        <f t="shared" si="32"/>
        <v>20</v>
      </c>
      <c r="D70" s="121" cm="1">
        <f t="array" ref="D70:L70">TRANSPOSE([7]Master!$W$66:$W$74)</f>
        <v>0</v>
      </c>
      <c r="E70" s="121">
        <v>0</v>
      </c>
      <c r="F70" s="121">
        <v>0</v>
      </c>
      <c r="G70" s="121">
        <v>0</v>
      </c>
      <c r="H70" s="121">
        <v>0</v>
      </c>
      <c r="I70" s="121">
        <v>5</v>
      </c>
      <c r="J70" s="121">
        <v>1</v>
      </c>
      <c r="K70" s="121">
        <v>6</v>
      </c>
      <c r="L70" s="121">
        <v>8</v>
      </c>
      <c r="M70" s="49">
        <f t="shared" si="33"/>
        <v>5</v>
      </c>
      <c r="N70" s="50">
        <f t="shared" si="34"/>
        <v>25</v>
      </c>
      <c r="O70" s="49">
        <f t="shared" si="31"/>
        <v>12</v>
      </c>
      <c r="P70" s="50">
        <f t="shared" si="35"/>
        <v>60</v>
      </c>
    </row>
    <row r="71" spans="1:16">
      <c r="A71" s="51"/>
      <c r="B71" s="52" t="s">
        <v>32</v>
      </c>
      <c r="C71" s="47">
        <f t="shared" ref="C71:L71" si="36">SUM(C64:C70)</f>
        <v>157</v>
      </c>
      <c r="D71" s="47">
        <f t="shared" si="36"/>
        <v>5</v>
      </c>
      <c r="E71" s="47">
        <f t="shared" si="36"/>
        <v>20</v>
      </c>
      <c r="F71" s="47">
        <f t="shared" si="36"/>
        <v>14</v>
      </c>
      <c r="G71" s="47">
        <f t="shared" si="36"/>
        <v>16</v>
      </c>
      <c r="H71" s="47">
        <f t="shared" si="36"/>
        <v>10</v>
      </c>
      <c r="I71" s="47">
        <f t="shared" si="36"/>
        <v>24</v>
      </c>
      <c r="J71" s="47">
        <f t="shared" si="36"/>
        <v>30</v>
      </c>
      <c r="K71" s="47">
        <f t="shared" si="36"/>
        <v>18</v>
      </c>
      <c r="L71" s="47">
        <f t="shared" si="36"/>
        <v>20</v>
      </c>
      <c r="M71" s="49">
        <f t="shared" si="33"/>
        <v>89</v>
      </c>
      <c r="N71" s="50">
        <f t="shared" si="34"/>
        <v>56.687898089171973</v>
      </c>
      <c r="O71" s="49">
        <f t="shared" si="31"/>
        <v>137</v>
      </c>
      <c r="P71" s="50">
        <f t="shared" si="35"/>
        <v>87.261146496815286</v>
      </c>
    </row>
    <row r="72" spans="1:16" ht="23.2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5"/>
      <c r="O72" s="54"/>
      <c r="P72" s="55"/>
    </row>
    <row r="73" spans="1:16" ht="15.75">
      <c r="A73" s="45" t="s">
        <v>54</v>
      </c>
    </row>
    <row r="74" spans="1:16" s="48" customFormat="1" ht="14.25" customHeight="1">
      <c r="A74" s="46"/>
      <c r="B74" s="46"/>
      <c r="C74" s="46"/>
      <c r="D74" s="142" t="s">
        <v>1</v>
      </c>
      <c r="E74" s="144"/>
      <c r="F74" s="142" t="s">
        <v>2</v>
      </c>
      <c r="G74" s="143"/>
      <c r="H74" s="143"/>
      <c r="I74" s="144"/>
      <c r="J74" s="146" t="s">
        <v>3</v>
      </c>
      <c r="K74" s="147"/>
      <c r="L74" s="77" t="s">
        <v>4</v>
      </c>
      <c r="M74" s="46"/>
      <c r="N74" s="46"/>
      <c r="O74" s="46"/>
      <c r="P74" s="46"/>
    </row>
    <row r="75" spans="1:16" ht="27">
      <c r="A75" s="75" t="s">
        <v>5</v>
      </c>
      <c r="B75" s="75" t="s">
        <v>6</v>
      </c>
      <c r="C75" s="75" t="s">
        <v>7</v>
      </c>
      <c r="D75" s="75" t="s">
        <v>8</v>
      </c>
      <c r="E75" s="75" t="s">
        <v>9</v>
      </c>
      <c r="F75" s="75" t="s">
        <v>10</v>
      </c>
      <c r="G75" s="75" t="s">
        <v>11</v>
      </c>
      <c r="H75" s="75" t="s">
        <v>12</v>
      </c>
      <c r="I75" s="75" t="s">
        <v>13</v>
      </c>
      <c r="J75" s="75" t="s">
        <v>14</v>
      </c>
      <c r="K75" s="75" t="s">
        <v>15</v>
      </c>
      <c r="L75" s="75" t="s">
        <v>16</v>
      </c>
      <c r="M75" s="76" t="s">
        <v>17</v>
      </c>
      <c r="N75" s="76" t="s">
        <v>18</v>
      </c>
      <c r="O75" s="76" t="s">
        <v>19</v>
      </c>
      <c r="P75" s="76" t="s">
        <v>20</v>
      </c>
    </row>
    <row r="76" spans="1:16">
      <c r="A76" s="47" t="s">
        <v>21</v>
      </c>
      <c r="B76" s="49" t="s">
        <v>55</v>
      </c>
      <c r="C76" s="49">
        <f>SUM(D76:L76)</f>
        <v>2</v>
      </c>
      <c r="D76" s="121" cm="1">
        <f t="array" ref="D76:L76">TRANSPOSE([1]Master!$AK$47:$AK$55)</f>
        <v>1</v>
      </c>
      <c r="E76" s="121">
        <v>0</v>
      </c>
      <c r="F76" s="121">
        <v>1</v>
      </c>
      <c r="G76" s="121">
        <v>0</v>
      </c>
      <c r="H76" s="121">
        <v>0</v>
      </c>
      <c r="I76" s="121">
        <v>0</v>
      </c>
      <c r="J76" s="121">
        <v>0</v>
      </c>
      <c r="K76" s="121">
        <v>0</v>
      </c>
      <c r="L76" s="121">
        <v>0</v>
      </c>
      <c r="M76" s="49">
        <f>SUM(D76:I76)</f>
        <v>2</v>
      </c>
      <c r="N76" s="50">
        <f>(M76/C76)*100</f>
        <v>100</v>
      </c>
      <c r="O76" s="49">
        <f t="shared" ref="O76:O79" si="37">SUM(D76:K76)</f>
        <v>2</v>
      </c>
      <c r="P76" s="50">
        <f>(O76/C76)*100</f>
        <v>100</v>
      </c>
    </row>
    <row r="77" spans="1:16">
      <c r="A77" s="47" t="s">
        <v>25</v>
      </c>
      <c r="B77" s="49" t="s">
        <v>55</v>
      </c>
      <c r="C77" s="49">
        <f t="shared" ref="C77:C79" si="38">SUM(D77:L77)</f>
        <v>24</v>
      </c>
      <c r="D77" s="121" cm="1">
        <f t="array" ref="D77:L77">TRANSPOSE([3]Master!$AI$66:$AI$74)</f>
        <v>3</v>
      </c>
      <c r="E77" s="121">
        <v>10</v>
      </c>
      <c r="F77" s="121">
        <v>3</v>
      </c>
      <c r="G77" s="121">
        <v>3</v>
      </c>
      <c r="H77" s="121">
        <v>2</v>
      </c>
      <c r="I77" s="121">
        <v>2</v>
      </c>
      <c r="J77" s="121">
        <v>1</v>
      </c>
      <c r="K77" s="121">
        <v>0</v>
      </c>
      <c r="L77" s="121">
        <v>0</v>
      </c>
      <c r="M77" s="49">
        <f t="shared" ref="M77:M79" si="39">SUM(D77:I77)</f>
        <v>23</v>
      </c>
      <c r="N77" s="50">
        <f t="shared" ref="N77:N79" si="40">(M77/C77)*100</f>
        <v>95.833333333333343</v>
      </c>
      <c r="O77" s="49">
        <f t="shared" si="37"/>
        <v>24</v>
      </c>
      <c r="P77" s="50">
        <f t="shared" ref="P77:P79" si="41">(O77/C77)*100</f>
        <v>100</v>
      </c>
    </row>
    <row r="78" spans="1:16">
      <c r="A78" s="47" t="s">
        <v>27</v>
      </c>
      <c r="B78" s="49" t="s">
        <v>55</v>
      </c>
      <c r="C78" s="49">
        <f t="shared" si="38"/>
        <v>25</v>
      </c>
      <c r="D78" s="121" cm="1">
        <f t="array" ref="D78:L78">TRANSPOSE([4]Master!$AH$47:$AH$55)</f>
        <v>3</v>
      </c>
      <c r="E78" s="121">
        <v>5</v>
      </c>
      <c r="F78" s="121">
        <v>6</v>
      </c>
      <c r="G78" s="121">
        <v>2</v>
      </c>
      <c r="H78" s="121">
        <v>4</v>
      </c>
      <c r="I78" s="121">
        <v>1</v>
      </c>
      <c r="J78" s="121">
        <v>1</v>
      </c>
      <c r="K78" s="121">
        <v>1</v>
      </c>
      <c r="L78" s="121">
        <v>2</v>
      </c>
      <c r="M78" s="49">
        <f t="shared" si="39"/>
        <v>21</v>
      </c>
      <c r="N78" s="50">
        <f t="shared" si="40"/>
        <v>84</v>
      </c>
      <c r="O78" s="49">
        <f t="shared" si="37"/>
        <v>23</v>
      </c>
      <c r="P78" s="50">
        <f t="shared" si="41"/>
        <v>92</v>
      </c>
    </row>
    <row r="79" spans="1:16">
      <c r="A79" s="47" t="s">
        <v>28</v>
      </c>
      <c r="B79" s="49" t="s">
        <v>55</v>
      </c>
      <c r="C79" s="49">
        <f t="shared" si="38"/>
        <v>25</v>
      </c>
      <c r="D79" s="121" cm="1">
        <f t="array" ref="D79:L79">TRANSPOSE([5]Master!$AI$66:$AI$74)</f>
        <v>2</v>
      </c>
      <c r="E79" s="121">
        <v>4</v>
      </c>
      <c r="F79" s="121">
        <v>4</v>
      </c>
      <c r="G79" s="121">
        <v>0</v>
      </c>
      <c r="H79" s="121">
        <v>0</v>
      </c>
      <c r="I79" s="121">
        <v>5</v>
      </c>
      <c r="J79" s="121">
        <v>4</v>
      </c>
      <c r="K79" s="121">
        <v>5</v>
      </c>
      <c r="L79" s="121">
        <v>1</v>
      </c>
      <c r="M79" s="49">
        <f t="shared" si="39"/>
        <v>15</v>
      </c>
      <c r="N79" s="50">
        <f t="shared" si="40"/>
        <v>60</v>
      </c>
      <c r="O79" s="49">
        <f t="shared" si="37"/>
        <v>24</v>
      </c>
      <c r="P79" s="50">
        <f t="shared" si="41"/>
        <v>96</v>
      </c>
    </row>
    <row r="80" spans="1:16">
      <c r="A80" s="51"/>
      <c r="B80" s="52" t="s">
        <v>32</v>
      </c>
      <c r="C80" s="47">
        <f>SUM(C76:C79)</f>
        <v>76</v>
      </c>
      <c r="D80" s="47">
        <f t="shared" ref="D80:L80" si="42">SUM(D76:D79)</f>
        <v>9</v>
      </c>
      <c r="E80" s="47">
        <f t="shared" si="42"/>
        <v>19</v>
      </c>
      <c r="F80" s="47">
        <f t="shared" si="42"/>
        <v>14</v>
      </c>
      <c r="G80" s="47">
        <f t="shared" si="42"/>
        <v>5</v>
      </c>
      <c r="H80" s="47">
        <f t="shared" si="42"/>
        <v>6</v>
      </c>
      <c r="I80" s="47">
        <f t="shared" si="42"/>
        <v>8</v>
      </c>
      <c r="J80" s="47">
        <f t="shared" si="42"/>
        <v>6</v>
      </c>
      <c r="K80" s="47">
        <f t="shared" si="42"/>
        <v>6</v>
      </c>
      <c r="L80" s="47">
        <f t="shared" si="42"/>
        <v>3</v>
      </c>
      <c r="M80" s="47">
        <f t="shared" ref="M80" si="43">SUM(D80:I80)</f>
        <v>61</v>
      </c>
      <c r="N80" s="53">
        <f t="shared" ref="N80" si="44">((M80/C80)*100)</f>
        <v>80.26315789473685</v>
      </c>
      <c r="O80" s="47">
        <f t="shared" ref="O80" si="45">SUM(D80:K80)</f>
        <v>73</v>
      </c>
      <c r="P80" s="53">
        <f t="shared" ref="P80" si="46">((O80/C80)*100)</f>
        <v>96.05263157894737</v>
      </c>
    </row>
    <row r="81" spans="1:16" ht="28.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5"/>
      <c r="O81" s="54"/>
      <c r="P81" s="55"/>
    </row>
    <row r="82" spans="1:16" ht="15.75">
      <c r="A82" s="45" t="s">
        <v>56</v>
      </c>
    </row>
    <row r="83" spans="1:16" s="48" customFormat="1" ht="14.25" customHeight="1">
      <c r="A83" s="46"/>
      <c r="B83" s="46"/>
      <c r="C83" s="46"/>
      <c r="D83" s="142" t="s">
        <v>1</v>
      </c>
      <c r="E83" s="144"/>
      <c r="F83" s="142" t="s">
        <v>2</v>
      </c>
      <c r="G83" s="143"/>
      <c r="H83" s="143"/>
      <c r="I83" s="144"/>
      <c r="J83" s="146" t="s">
        <v>3</v>
      </c>
      <c r="K83" s="147"/>
      <c r="L83" s="77" t="s">
        <v>4</v>
      </c>
      <c r="M83" s="46"/>
      <c r="N83" s="46"/>
      <c r="O83" s="46"/>
      <c r="P83" s="46"/>
    </row>
    <row r="84" spans="1:16" ht="27">
      <c r="A84" s="75" t="s">
        <v>5</v>
      </c>
      <c r="B84" s="75" t="s">
        <v>6</v>
      </c>
      <c r="C84" s="75" t="s">
        <v>7</v>
      </c>
      <c r="D84" s="75" t="s">
        <v>8</v>
      </c>
      <c r="E84" s="75" t="s">
        <v>9</v>
      </c>
      <c r="F84" s="75" t="s">
        <v>10</v>
      </c>
      <c r="G84" s="75" t="s">
        <v>11</v>
      </c>
      <c r="H84" s="75" t="s">
        <v>12</v>
      </c>
      <c r="I84" s="75" t="s">
        <v>13</v>
      </c>
      <c r="J84" s="75" t="s">
        <v>14</v>
      </c>
      <c r="K84" s="75" t="s">
        <v>15</v>
      </c>
      <c r="L84" s="75" t="s">
        <v>16</v>
      </c>
      <c r="M84" s="76" t="s">
        <v>17</v>
      </c>
      <c r="N84" s="76" t="s">
        <v>18</v>
      </c>
      <c r="O84" s="76" t="s">
        <v>19</v>
      </c>
      <c r="P84" s="76" t="s">
        <v>20</v>
      </c>
    </row>
    <row r="85" spans="1:16">
      <c r="A85" s="47" t="s">
        <v>21</v>
      </c>
      <c r="B85" s="49" t="s">
        <v>57</v>
      </c>
      <c r="C85" s="121">
        <f>SUM(D85:L85)</f>
        <v>18</v>
      </c>
      <c r="D85" s="121" cm="1">
        <f t="array" ref="D85:L85">TRANSPOSE([1]Master!$AB$47:$AB$55)</f>
        <v>10</v>
      </c>
      <c r="E85" s="121">
        <v>4</v>
      </c>
      <c r="F85" s="121">
        <v>3</v>
      </c>
      <c r="G85" s="121">
        <v>1</v>
      </c>
      <c r="H85" s="121">
        <v>0</v>
      </c>
      <c r="I85" s="121">
        <v>0</v>
      </c>
      <c r="J85" s="121">
        <v>0</v>
      </c>
      <c r="K85" s="121">
        <v>0</v>
      </c>
      <c r="L85" s="121">
        <v>0</v>
      </c>
      <c r="M85" s="49">
        <f>SUM(D85:I85)</f>
        <v>18</v>
      </c>
      <c r="N85" s="50">
        <f>(M85/C85)*100</f>
        <v>100</v>
      </c>
      <c r="O85" s="49">
        <f t="shared" ref="O85:O92" si="47">SUM(D85:K85)</f>
        <v>18</v>
      </c>
      <c r="P85" s="50">
        <f>(O85/C85)*100</f>
        <v>100</v>
      </c>
    </row>
    <row r="86" spans="1:16">
      <c r="A86" s="47" t="s">
        <v>23</v>
      </c>
      <c r="B86" s="49" t="s">
        <v>57</v>
      </c>
      <c r="C86" s="121">
        <f t="shared" ref="C86:C91" si="48">SUM(D86:L86)</f>
        <v>20</v>
      </c>
      <c r="D86" s="121" cm="1">
        <f t="array" ref="D86:L86">TRANSPOSE([2]Master!$AC$66:$AC$74)</f>
        <v>6</v>
      </c>
      <c r="E86" s="121">
        <v>8</v>
      </c>
      <c r="F86" s="121">
        <v>2</v>
      </c>
      <c r="G86" s="121">
        <v>3</v>
      </c>
      <c r="H86" s="121">
        <v>0</v>
      </c>
      <c r="I86" s="121">
        <v>0</v>
      </c>
      <c r="J86" s="121">
        <v>1</v>
      </c>
      <c r="K86" s="121">
        <v>0</v>
      </c>
      <c r="L86" s="121">
        <v>0</v>
      </c>
      <c r="M86" s="49">
        <f t="shared" ref="M86:M92" si="49">SUM(D86:I86)</f>
        <v>19</v>
      </c>
      <c r="N86" s="50">
        <f t="shared" ref="N86:N92" si="50">(M86/C86)*100</f>
        <v>95</v>
      </c>
      <c r="O86" s="49">
        <f t="shared" si="47"/>
        <v>20</v>
      </c>
      <c r="P86" s="50">
        <f t="shared" ref="P86:P92" si="51">(O86/C86)*100</f>
        <v>100</v>
      </c>
    </row>
    <row r="87" spans="1:16">
      <c r="A87" s="47" t="s">
        <v>25</v>
      </c>
      <c r="B87" s="49" t="s">
        <v>24</v>
      </c>
      <c r="C87" s="121">
        <f t="shared" si="48"/>
        <v>24</v>
      </c>
      <c r="D87" s="121" cm="1">
        <f t="array" ref="D87:L87">TRANSPOSE([3]Master!$AC$66:$AC$74)</f>
        <v>3</v>
      </c>
      <c r="E87" s="121">
        <v>11</v>
      </c>
      <c r="F87" s="121">
        <v>4</v>
      </c>
      <c r="G87" s="121">
        <v>3</v>
      </c>
      <c r="H87" s="121">
        <v>1</v>
      </c>
      <c r="I87" s="121">
        <v>2</v>
      </c>
      <c r="J87" s="121">
        <v>0</v>
      </c>
      <c r="K87" s="121">
        <v>0</v>
      </c>
      <c r="L87" s="121">
        <v>0</v>
      </c>
      <c r="M87" s="49">
        <f t="shared" si="49"/>
        <v>24</v>
      </c>
      <c r="N87" s="50">
        <f t="shared" si="50"/>
        <v>100</v>
      </c>
      <c r="O87" s="49">
        <f t="shared" si="47"/>
        <v>24</v>
      </c>
      <c r="P87" s="50">
        <f t="shared" si="51"/>
        <v>100</v>
      </c>
    </row>
    <row r="88" spans="1:16">
      <c r="A88" s="47" t="s">
        <v>27</v>
      </c>
      <c r="B88" s="49" t="s">
        <v>57</v>
      </c>
      <c r="C88" s="121">
        <f t="shared" si="48"/>
        <v>25</v>
      </c>
      <c r="D88" s="121" cm="1">
        <f t="array" ref="D88:L88">TRANSPOSE([4]Master!$AB$47:$AB$55)</f>
        <v>2</v>
      </c>
      <c r="E88" s="121">
        <v>10</v>
      </c>
      <c r="F88" s="121">
        <v>2</v>
      </c>
      <c r="G88" s="121">
        <v>4</v>
      </c>
      <c r="H88" s="121">
        <v>3</v>
      </c>
      <c r="I88" s="121">
        <v>2</v>
      </c>
      <c r="J88" s="121">
        <v>2</v>
      </c>
      <c r="K88" s="121">
        <v>0</v>
      </c>
      <c r="L88" s="121">
        <v>0</v>
      </c>
      <c r="M88" s="49">
        <f t="shared" si="49"/>
        <v>23</v>
      </c>
      <c r="N88" s="50">
        <f t="shared" si="50"/>
        <v>92</v>
      </c>
      <c r="O88" s="49">
        <f t="shared" si="47"/>
        <v>25</v>
      </c>
      <c r="P88" s="50">
        <f t="shared" si="51"/>
        <v>100</v>
      </c>
    </row>
    <row r="89" spans="1:16">
      <c r="A89" s="47" t="s">
        <v>28</v>
      </c>
      <c r="B89" s="49" t="s">
        <v>24</v>
      </c>
      <c r="C89" s="121">
        <f t="shared" si="48"/>
        <v>25</v>
      </c>
      <c r="D89" s="121" cm="1">
        <f t="array" ref="D89:L89">TRANSPOSE([5]Master!$AC$66:$AC$74)</f>
        <v>0</v>
      </c>
      <c r="E89" s="121">
        <v>7</v>
      </c>
      <c r="F89" s="121">
        <v>5</v>
      </c>
      <c r="G89" s="121">
        <v>4</v>
      </c>
      <c r="H89" s="121">
        <v>1</v>
      </c>
      <c r="I89" s="121">
        <v>0</v>
      </c>
      <c r="J89" s="121">
        <v>5</v>
      </c>
      <c r="K89" s="121">
        <v>2</v>
      </c>
      <c r="L89" s="121">
        <v>1</v>
      </c>
      <c r="M89" s="49">
        <f t="shared" si="49"/>
        <v>17</v>
      </c>
      <c r="N89" s="50">
        <f t="shared" si="50"/>
        <v>68</v>
      </c>
      <c r="O89" s="49">
        <f t="shared" si="47"/>
        <v>24</v>
      </c>
      <c r="P89" s="50">
        <f t="shared" si="51"/>
        <v>96</v>
      </c>
    </row>
    <row r="90" spans="1:16">
      <c r="A90" s="47" t="s">
        <v>29</v>
      </c>
      <c r="B90" s="49" t="s">
        <v>31</v>
      </c>
      <c r="C90" s="121">
        <f t="shared" si="48"/>
        <v>24</v>
      </c>
      <c r="D90" s="121" cm="1">
        <f t="array" ref="D90:L90">TRANSPOSE([6]Master!$AC$66:$AC$74)</f>
        <v>2</v>
      </c>
      <c r="E90" s="121">
        <v>7</v>
      </c>
      <c r="F90" s="121">
        <v>5</v>
      </c>
      <c r="G90" s="121">
        <v>2</v>
      </c>
      <c r="H90" s="121">
        <v>4</v>
      </c>
      <c r="I90" s="121">
        <v>0</v>
      </c>
      <c r="J90" s="121">
        <v>3</v>
      </c>
      <c r="K90" s="121">
        <v>0</v>
      </c>
      <c r="L90" s="121">
        <v>1</v>
      </c>
      <c r="M90" s="49">
        <f t="shared" si="49"/>
        <v>20</v>
      </c>
      <c r="N90" s="50">
        <f t="shared" si="50"/>
        <v>83.333333333333343</v>
      </c>
      <c r="O90" s="49">
        <f t="shared" si="47"/>
        <v>23</v>
      </c>
      <c r="P90" s="50">
        <f t="shared" si="51"/>
        <v>95.833333333333343</v>
      </c>
    </row>
    <row r="91" spans="1:16">
      <c r="A91" s="47" t="s">
        <v>30</v>
      </c>
      <c r="B91" s="49" t="s">
        <v>57</v>
      </c>
      <c r="C91" s="121">
        <f t="shared" si="48"/>
        <v>20</v>
      </c>
      <c r="D91" s="121" cm="1">
        <f t="array" ref="D91:L91">TRANSPOSE([7]Master!$AC$66:$AC$74)</f>
        <v>0</v>
      </c>
      <c r="E91" s="121">
        <v>0</v>
      </c>
      <c r="F91" s="121">
        <v>2</v>
      </c>
      <c r="G91" s="121">
        <v>2</v>
      </c>
      <c r="H91" s="121">
        <v>1</v>
      </c>
      <c r="I91" s="121">
        <v>2</v>
      </c>
      <c r="J91" s="121">
        <v>5</v>
      </c>
      <c r="K91" s="121">
        <v>1</v>
      </c>
      <c r="L91" s="121">
        <v>7</v>
      </c>
      <c r="M91" s="49">
        <f t="shared" si="49"/>
        <v>7</v>
      </c>
      <c r="N91" s="50">
        <f t="shared" si="50"/>
        <v>35</v>
      </c>
      <c r="O91" s="49">
        <f t="shared" si="47"/>
        <v>13</v>
      </c>
      <c r="P91" s="50">
        <f t="shared" si="51"/>
        <v>65</v>
      </c>
    </row>
    <row r="92" spans="1:16">
      <c r="A92" s="51"/>
      <c r="B92" s="52" t="s">
        <v>32</v>
      </c>
      <c r="C92" s="47">
        <f t="shared" ref="C92:L92" si="52">SUM(C85:C91)</f>
        <v>156</v>
      </c>
      <c r="D92" s="47">
        <f t="shared" si="52"/>
        <v>23</v>
      </c>
      <c r="E92" s="47">
        <f t="shared" si="52"/>
        <v>47</v>
      </c>
      <c r="F92" s="47">
        <f t="shared" si="52"/>
        <v>23</v>
      </c>
      <c r="G92" s="47">
        <f t="shared" si="52"/>
        <v>19</v>
      </c>
      <c r="H92" s="47">
        <f t="shared" si="52"/>
        <v>10</v>
      </c>
      <c r="I92" s="47">
        <f t="shared" si="52"/>
        <v>6</v>
      </c>
      <c r="J92" s="47">
        <f t="shared" si="52"/>
        <v>16</v>
      </c>
      <c r="K92" s="47">
        <f t="shared" si="52"/>
        <v>3</v>
      </c>
      <c r="L92" s="47">
        <f t="shared" si="52"/>
        <v>9</v>
      </c>
      <c r="M92" s="49">
        <f t="shared" si="49"/>
        <v>128</v>
      </c>
      <c r="N92" s="50">
        <f t="shared" si="50"/>
        <v>82.051282051282044</v>
      </c>
      <c r="O92" s="49">
        <f t="shared" si="47"/>
        <v>147</v>
      </c>
      <c r="P92" s="50">
        <f t="shared" si="51"/>
        <v>94.230769230769226</v>
      </c>
    </row>
    <row r="93" spans="1:16" ht="24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5"/>
      <c r="O93" s="54"/>
      <c r="P93" s="55"/>
    </row>
    <row r="94" spans="1:16" ht="15.75">
      <c r="A94" s="60" t="s">
        <v>58</v>
      </c>
    </row>
    <row r="95" spans="1:16" s="48" customFormat="1" ht="14.25" customHeight="1">
      <c r="A95" s="46"/>
      <c r="B95" s="46"/>
      <c r="C95" s="46"/>
      <c r="D95" s="142" t="s">
        <v>1</v>
      </c>
      <c r="E95" s="144"/>
      <c r="F95" s="142" t="s">
        <v>2</v>
      </c>
      <c r="G95" s="143"/>
      <c r="H95" s="143"/>
      <c r="I95" s="144"/>
      <c r="J95" s="146" t="s">
        <v>3</v>
      </c>
      <c r="K95" s="147"/>
      <c r="L95" s="77" t="s">
        <v>4</v>
      </c>
      <c r="M95" s="46"/>
      <c r="N95" s="46"/>
      <c r="O95" s="46"/>
      <c r="P95" s="46"/>
    </row>
    <row r="96" spans="1:16" ht="27">
      <c r="A96" s="75" t="s">
        <v>5</v>
      </c>
      <c r="B96" s="75" t="s">
        <v>6</v>
      </c>
      <c r="C96" s="75" t="s">
        <v>7</v>
      </c>
      <c r="D96" s="75" t="s">
        <v>8</v>
      </c>
      <c r="E96" s="75" t="s">
        <v>9</v>
      </c>
      <c r="F96" s="75" t="s">
        <v>10</v>
      </c>
      <c r="G96" s="75" t="s">
        <v>11</v>
      </c>
      <c r="H96" s="75" t="s">
        <v>12</v>
      </c>
      <c r="I96" s="75" t="s">
        <v>13</v>
      </c>
      <c r="J96" s="75" t="s">
        <v>14</v>
      </c>
      <c r="K96" s="75" t="s">
        <v>15</v>
      </c>
      <c r="L96" s="75" t="s">
        <v>16</v>
      </c>
      <c r="M96" s="76" t="s">
        <v>17</v>
      </c>
      <c r="N96" s="76" t="s">
        <v>18</v>
      </c>
      <c r="O96" s="76" t="s">
        <v>19</v>
      </c>
      <c r="P96" s="76" t="s">
        <v>20</v>
      </c>
    </row>
    <row r="97" spans="1:16">
      <c r="A97" s="47" t="s">
        <v>21</v>
      </c>
      <c r="B97" s="61" t="s">
        <v>59</v>
      </c>
      <c r="C97" s="121">
        <f>SUM(D97:L97)</f>
        <v>16</v>
      </c>
      <c r="D97" s="121" cm="1">
        <f t="array" ref="D97:L97">TRANSPOSE([1]Master!$AH$47:$AH$55)</f>
        <v>13</v>
      </c>
      <c r="E97" s="121">
        <v>3</v>
      </c>
      <c r="F97" s="121">
        <v>0</v>
      </c>
      <c r="G97" s="121">
        <v>0</v>
      </c>
      <c r="H97" s="121">
        <v>0</v>
      </c>
      <c r="I97" s="121">
        <v>0</v>
      </c>
      <c r="J97" s="121">
        <v>0</v>
      </c>
      <c r="K97" s="121">
        <v>0</v>
      </c>
      <c r="L97" s="121">
        <v>0</v>
      </c>
      <c r="M97" s="49">
        <f>SUM(D97:I97)</f>
        <v>16</v>
      </c>
      <c r="N97" s="50">
        <f>(M97/C97)*100</f>
        <v>100</v>
      </c>
      <c r="O97" s="49">
        <f t="shared" ref="O97:O98" si="53">SUM(D97:K97)</f>
        <v>16</v>
      </c>
      <c r="P97" s="50">
        <f>(O97/C97)*100</f>
        <v>100</v>
      </c>
    </row>
    <row r="98" spans="1:16">
      <c r="A98" s="47" t="s">
        <v>23</v>
      </c>
      <c r="B98" s="62" t="s">
        <v>59</v>
      </c>
      <c r="C98" s="121">
        <f t="shared" ref="C98" si="54">SUM(D98:L98)</f>
        <v>20</v>
      </c>
      <c r="D98" s="121" cm="1">
        <f t="array" ref="D98:L98">TRANSPOSE([2]Master!$AI$66:$AI$74)</f>
        <v>13</v>
      </c>
      <c r="E98" s="121">
        <v>7</v>
      </c>
      <c r="F98" s="121">
        <v>0</v>
      </c>
      <c r="G98" s="121">
        <v>0</v>
      </c>
      <c r="H98" s="121">
        <v>0</v>
      </c>
      <c r="I98" s="121">
        <v>0</v>
      </c>
      <c r="J98" s="121">
        <v>0</v>
      </c>
      <c r="K98" s="121">
        <v>0</v>
      </c>
      <c r="L98" s="121">
        <v>0</v>
      </c>
      <c r="M98" s="49">
        <f t="shared" ref="M98" si="55">SUM(D98:I98)</f>
        <v>20</v>
      </c>
      <c r="N98" s="50">
        <f t="shared" ref="N98:N99" si="56">(M98/C98)*100</f>
        <v>100</v>
      </c>
      <c r="O98" s="49">
        <f t="shared" si="53"/>
        <v>20</v>
      </c>
      <c r="P98" s="50">
        <f t="shared" ref="P98:P99" si="57">(O98/C98)*100</f>
        <v>100</v>
      </c>
    </row>
    <row r="99" spans="1:16">
      <c r="A99" s="51"/>
      <c r="B99" s="52" t="s">
        <v>32</v>
      </c>
      <c r="C99" s="47">
        <f t="shared" ref="C99:L99" si="58">SUM(C97:C98)</f>
        <v>36</v>
      </c>
      <c r="D99" s="47">
        <f t="shared" si="58"/>
        <v>26</v>
      </c>
      <c r="E99" s="47">
        <f t="shared" si="58"/>
        <v>10</v>
      </c>
      <c r="F99" s="47">
        <f t="shared" si="58"/>
        <v>0</v>
      </c>
      <c r="G99" s="47">
        <f t="shared" si="58"/>
        <v>0</v>
      </c>
      <c r="H99" s="47">
        <f t="shared" si="58"/>
        <v>0</v>
      </c>
      <c r="I99" s="47">
        <f t="shared" si="58"/>
        <v>0</v>
      </c>
      <c r="J99" s="47">
        <f t="shared" si="58"/>
        <v>0</v>
      </c>
      <c r="K99" s="47">
        <f t="shared" si="58"/>
        <v>0</v>
      </c>
      <c r="L99" s="47">
        <f t="shared" si="58"/>
        <v>0</v>
      </c>
      <c r="M99" s="47">
        <f t="shared" ref="M99" si="59">SUM(D99:I99)</f>
        <v>36</v>
      </c>
      <c r="N99" s="50">
        <f t="shared" si="56"/>
        <v>100</v>
      </c>
      <c r="O99" s="47">
        <f t="shared" ref="O99" si="60">SUM(D99:K99)</f>
        <v>36</v>
      </c>
      <c r="P99" s="50">
        <f t="shared" si="57"/>
        <v>100</v>
      </c>
    </row>
    <row r="100" spans="1:16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5"/>
      <c r="O100" s="54"/>
      <c r="P100" s="55"/>
    </row>
    <row r="101" spans="1:16">
      <c r="A101" s="54"/>
      <c r="B101" s="54"/>
      <c r="C101" s="54"/>
      <c r="D101" s="54" t="s">
        <v>60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5"/>
      <c r="O101" s="54"/>
      <c r="P101" s="55"/>
    </row>
    <row r="102" spans="1:16" ht="24">
      <c r="A102" s="63" t="s">
        <v>61</v>
      </c>
      <c r="B102" s="64"/>
      <c r="C102" s="64"/>
      <c r="D102" s="64"/>
      <c r="E102" s="65"/>
      <c r="F102" s="65"/>
      <c r="G102" s="65"/>
      <c r="H102" s="65"/>
      <c r="I102" s="54"/>
      <c r="J102" s="54"/>
      <c r="K102" s="54"/>
      <c r="L102" s="54"/>
      <c r="M102" s="54"/>
      <c r="N102" s="55"/>
      <c r="O102" s="54"/>
      <c r="P102" s="55"/>
    </row>
    <row r="103" spans="1:16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5"/>
      <c r="O103" s="54"/>
      <c r="P103" s="55"/>
    </row>
    <row r="104" spans="1:16" ht="18.75">
      <c r="B104" s="66"/>
      <c r="C104" s="66"/>
      <c r="D104" s="145" t="s">
        <v>1</v>
      </c>
      <c r="E104" s="145"/>
      <c r="F104" s="145" t="s">
        <v>2</v>
      </c>
      <c r="G104" s="145"/>
      <c r="H104" s="145"/>
      <c r="I104" s="145"/>
      <c r="J104" s="145" t="s">
        <v>62</v>
      </c>
      <c r="K104" s="145"/>
      <c r="L104" s="80" t="s">
        <v>4</v>
      </c>
      <c r="M104" s="66"/>
      <c r="N104" s="66"/>
      <c r="O104" s="66"/>
      <c r="P104" s="66"/>
    </row>
    <row r="105" spans="1:16" ht="32.25" customHeight="1">
      <c r="A105" s="148" t="s">
        <v>63</v>
      </c>
      <c r="B105" s="148"/>
      <c r="C105" s="78" t="s">
        <v>7</v>
      </c>
      <c r="D105" s="78" t="s">
        <v>8</v>
      </c>
      <c r="E105" s="78" t="s">
        <v>9</v>
      </c>
      <c r="F105" s="78" t="s">
        <v>10</v>
      </c>
      <c r="G105" s="78" t="s">
        <v>11</v>
      </c>
      <c r="H105" s="78" t="s">
        <v>12</v>
      </c>
      <c r="I105" s="78" t="s">
        <v>13</v>
      </c>
      <c r="J105" s="78" t="s">
        <v>14</v>
      </c>
      <c r="K105" s="78" t="s">
        <v>15</v>
      </c>
      <c r="L105" s="78" t="s">
        <v>16</v>
      </c>
      <c r="M105" s="79" t="s">
        <v>17</v>
      </c>
      <c r="N105" s="79" t="s">
        <v>18</v>
      </c>
      <c r="O105" s="79" t="s">
        <v>19</v>
      </c>
      <c r="P105" s="79" t="s">
        <v>20</v>
      </c>
    </row>
    <row r="106" spans="1:16" ht="23.25" customHeight="1">
      <c r="A106" s="141" t="s">
        <v>64</v>
      </c>
      <c r="B106" s="141"/>
      <c r="C106" s="67">
        <f>C11</f>
        <v>156</v>
      </c>
      <c r="D106" s="67">
        <f t="shared" ref="D106:P106" si="61">D11</f>
        <v>0</v>
      </c>
      <c r="E106" s="67">
        <f t="shared" si="61"/>
        <v>12</v>
      </c>
      <c r="F106" s="67">
        <f t="shared" si="61"/>
        <v>24</v>
      </c>
      <c r="G106" s="67">
        <f t="shared" si="61"/>
        <v>27</v>
      </c>
      <c r="H106" s="67">
        <f t="shared" si="61"/>
        <v>27</v>
      </c>
      <c r="I106" s="67">
        <f t="shared" si="61"/>
        <v>28</v>
      </c>
      <c r="J106" s="67">
        <f t="shared" si="61"/>
        <v>21</v>
      </c>
      <c r="K106" s="67">
        <f t="shared" si="61"/>
        <v>9</v>
      </c>
      <c r="L106" s="67">
        <f t="shared" si="61"/>
        <v>8</v>
      </c>
      <c r="M106" s="67">
        <f t="shared" si="61"/>
        <v>118</v>
      </c>
      <c r="N106" s="67">
        <f t="shared" si="61"/>
        <v>75.641025641025635</v>
      </c>
      <c r="O106" s="67">
        <f t="shared" si="61"/>
        <v>148</v>
      </c>
      <c r="P106" s="67">
        <f t="shared" si="61"/>
        <v>94.871794871794862</v>
      </c>
    </row>
    <row r="107" spans="1:16" ht="23.25" customHeight="1">
      <c r="A107" s="141" t="s">
        <v>65</v>
      </c>
      <c r="B107" s="141"/>
      <c r="C107" s="67">
        <f>C23</f>
        <v>156</v>
      </c>
      <c r="D107" s="67">
        <f t="shared" ref="D107:P107" si="62">D23</f>
        <v>9</v>
      </c>
      <c r="E107" s="67">
        <f t="shared" si="62"/>
        <v>50</v>
      </c>
      <c r="F107" s="67">
        <f t="shared" si="62"/>
        <v>29</v>
      </c>
      <c r="G107" s="67">
        <f t="shared" si="62"/>
        <v>32</v>
      </c>
      <c r="H107" s="67">
        <f t="shared" si="62"/>
        <v>12</v>
      </c>
      <c r="I107" s="67">
        <f t="shared" si="62"/>
        <v>7</v>
      </c>
      <c r="J107" s="67">
        <f t="shared" si="62"/>
        <v>8</v>
      </c>
      <c r="K107" s="67">
        <f t="shared" si="62"/>
        <v>5</v>
      </c>
      <c r="L107" s="67">
        <f t="shared" si="62"/>
        <v>4</v>
      </c>
      <c r="M107" s="67">
        <f t="shared" si="62"/>
        <v>139</v>
      </c>
      <c r="N107" s="67">
        <f t="shared" si="62"/>
        <v>89.102564102564102</v>
      </c>
      <c r="O107" s="67">
        <f t="shared" si="62"/>
        <v>152</v>
      </c>
      <c r="P107" s="67">
        <f t="shared" si="62"/>
        <v>97.435897435897431</v>
      </c>
    </row>
    <row r="108" spans="1:16" ht="23.25" customHeight="1">
      <c r="A108" s="141" t="s">
        <v>66</v>
      </c>
      <c r="B108" s="141"/>
      <c r="C108" s="69">
        <f>C35</f>
        <v>156</v>
      </c>
      <c r="D108" s="69">
        <f t="shared" ref="D108:P108" si="63">D35</f>
        <v>34</v>
      </c>
      <c r="E108" s="69">
        <f t="shared" si="63"/>
        <v>34</v>
      </c>
      <c r="F108" s="69">
        <f t="shared" si="63"/>
        <v>15</v>
      </c>
      <c r="G108" s="69">
        <f t="shared" si="63"/>
        <v>17</v>
      </c>
      <c r="H108" s="69">
        <f t="shared" si="63"/>
        <v>13</v>
      </c>
      <c r="I108" s="69">
        <f t="shared" si="63"/>
        <v>10</v>
      </c>
      <c r="J108" s="69">
        <f t="shared" si="63"/>
        <v>13</v>
      </c>
      <c r="K108" s="69">
        <f t="shared" si="63"/>
        <v>10</v>
      </c>
      <c r="L108" s="69">
        <f t="shared" si="63"/>
        <v>10</v>
      </c>
      <c r="M108" s="69">
        <f t="shared" si="63"/>
        <v>123</v>
      </c>
      <c r="N108" s="69">
        <f t="shared" si="63"/>
        <v>78.84615384615384</v>
      </c>
      <c r="O108" s="69">
        <f t="shared" si="63"/>
        <v>146</v>
      </c>
      <c r="P108" s="69">
        <f t="shared" si="63"/>
        <v>93.589743589743591</v>
      </c>
    </row>
    <row r="109" spans="1:16" ht="23.25" customHeight="1">
      <c r="A109" s="141" t="s">
        <v>67</v>
      </c>
      <c r="B109" s="141"/>
      <c r="C109" s="69">
        <f>C47</f>
        <v>156</v>
      </c>
      <c r="D109" s="69">
        <f t="shared" ref="D109:P109" si="64">D47</f>
        <v>4</v>
      </c>
      <c r="E109" s="69">
        <f t="shared" si="64"/>
        <v>16</v>
      </c>
      <c r="F109" s="69">
        <f t="shared" si="64"/>
        <v>15</v>
      </c>
      <c r="G109" s="69">
        <f t="shared" si="64"/>
        <v>20</v>
      </c>
      <c r="H109" s="69">
        <f t="shared" si="64"/>
        <v>23</v>
      </c>
      <c r="I109" s="69">
        <f t="shared" si="64"/>
        <v>19</v>
      </c>
      <c r="J109" s="69">
        <f t="shared" si="64"/>
        <v>30</v>
      </c>
      <c r="K109" s="69">
        <f t="shared" si="64"/>
        <v>17</v>
      </c>
      <c r="L109" s="69">
        <f t="shared" si="64"/>
        <v>12</v>
      </c>
      <c r="M109" s="69">
        <f t="shared" si="64"/>
        <v>97</v>
      </c>
      <c r="N109" s="69">
        <f t="shared" si="64"/>
        <v>62.179487179487182</v>
      </c>
      <c r="O109" s="69">
        <f t="shared" si="64"/>
        <v>144</v>
      </c>
      <c r="P109" s="69">
        <f t="shared" si="64"/>
        <v>92.307692307692307</v>
      </c>
    </row>
    <row r="110" spans="1:16" ht="23.25" customHeight="1">
      <c r="A110" s="141" t="s">
        <v>68</v>
      </c>
      <c r="B110" s="141"/>
      <c r="C110" s="69">
        <f>C59</f>
        <v>156</v>
      </c>
      <c r="D110" s="69">
        <f t="shared" ref="D110:P110" si="65">D59</f>
        <v>1</v>
      </c>
      <c r="E110" s="69">
        <f t="shared" si="65"/>
        <v>6</v>
      </c>
      <c r="F110" s="69">
        <f t="shared" si="65"/>
        <v>3</v>
      </c>
      <c r="G110" s="69">
        <f t="shared" si="65"/>
        <v>9</v>
      </c>
      <c r="H110" s="69">
        <f t="shared" si="65"/>
        <v>10</v>
      </c>
      <c r="I110" s="69">
        <f t="shared" si="65"/>
        <v>15</v>
      </c>
      <c r="J110" s="69">
        <f t="shared" si="65"/>
        <v>15</v>
      </c>
      <c r="K110" s="69">
        <f t="shared" si="65"/>
        <v>25</v>
      </c>
      <c r="L110" s="69">
        <f t="shared" si="65"/>
        <v>72</v>
      </c>
      <c r="M110" s="69">
        <f t="shared" si="65"/>
        <v>44</v>
      </c>
      <c r="N110" s="69">
        <f t="shared" si="65"/>
        <v>28.205128205128204</v>
      </c>
      <c r="O110" s="69">
        <f t="shared" si="65"/>
        <v>84</v>
      </c>
      <c r="P110" s="69">
        <f t="shared" si="65"/>
        <v>53.846153846153847</v>
      </c>
    </row>
    <row r="111" spans="1:16" ht="23.25" customHeight="1">
      <c r="A111" s="141" t="s">
        <v>69</v>
      </c>
      <c r="B111" s="141"/>
      <c r="C111" s="69">
        <f>C71</f>
        <v>157</v>
      </c>
      <c r="D111" s="69">
        <f t="shared" ref="D111:P111" si="66">D71</f>
        <v>5</v>
      </c>
      <c r="E111" s="69">
        <f t="shared" si="66"/>
        <v>20</v>
      </c>
      <c r="F111" s="69">
        <f t="shared" si="66"/>
        <v>14</v>
      </c>
      <c r="G111" s="69">
        <f t="shared" si="66"/>
        <v>16</v>
      </c>
      <c r="H111" s="69">
        <f t="shared" si="66"/>
        <v>10</v>
      </c>
      <c r="I111" s="69">
        <f t="shared" si="66"/>
        <v>24</v>
      </c>
      <c r="J111" s="69">
        <f t="shared" si="66"/>
        <v>30</v>
      </c>
      <c r="K111" s="69">
        <f t="shared" si="66"/>
        <v>18</v>
      </c>
      <c r="L111" s="69">
        <f t="shared" si="66"/>
        <v>20</v>
      </c>
      <c r="M111" s="69">
        <f t="shared" si="66"/>
        <v>89</v>
      </c>
      <c r="N111" s="69">
        <f t="shared" si="66"/>
        <v>56.687898089171973</v>
      </c>
      <c r="O111" s="69">
        <f t="shared" si="66"/>
        <v>137</v>
      </c>
      <c r="P111" s="69">
        <f t="shared" si="66"/>
        <v>87.261146496815286</v>
      </c>
    </row>
    <row r="112" spans="1:16" ht="23.25" customHeight="1">
      <c r="A112" s="141" t="s">
        <v>70</v>
      </c>
      <c r="B112" s="141"/>
      <c r="C112" s="69">
        <f>C80</f>
        <v>76</v>
      </c>
      <c r="D112" s="69">
        <f t="shared" ref="D112:P112" si="67">D80</f>
        <v>9</v>
      </c>
      <c r="E112" s="69">
        <f t="shared" si="67"/>
        <v>19</v>
      </c>
      <c r="F112" s="69">
        <f t="shared" si="67"/>
        <v>14</v>
      </c>
      <c r="G112" s="69">
        <f t="shared" si="67"/>
        <v>5</v>
      </c>
      <c r="H112" s="69">
        <f t="shared" si="67"/>
        <v>6</v>
      </c>
      <c r="I112" s="69">
        <f t="shared" si="67"/>
        <v>8</v>
      </c>
      <c r="J112" s="69">
        <f t="shared" si="67"/>
        <v>6</v>
      </c>
      <c r="K112" s="69">
        <f t="shared" si="67"/>
        <v>6</v>
      </c>
      <c r="L112" s="69">
        <f t="shared" si="67"/>
        <v>3</v>
      </c>
      <c r="M112" s="69">
        <f t="shared" si="67"/>
        <v>61</v>
      </c>
      <c r="N112" s="69">
        <f t="shared" si="67"/>
        <v>80.26315789473685</v>
      </c>
      <c r="O112" s="69">
        <f t="shared" si="67"/>
        <v>73</v>
      </c>
      <c r="P112" s="69">
        <f t="shared" si="67"/>
        <v>96.05263157894737</v>
      </c>
    </row>
    <row r="113" spans="1:16" ht="23.25" customHeight="1">
      <c r="A113" s="140" t="s">
        <v>71</v>
      </c>
      <c r="B113" s="140"/>
      <c r="C113" s="122">
        <f>C92</f>
        <v>156</v>
      </c>
      <c r="D113" s="122">
        <f t="shared" ref="D113:P113" si="68">D92</f>
        <v>23</v>
      </c>
      <c r="E113" s="122">
        <f t="shared" si="68"/>
        <v>47</v>
      </c>
      <c r="F113" s="122">
        <f t="shared" si="68"/>
        <v>23</v>
      </c>
      <c r="G113" s="122">
        <f t="shared" si="68"/>
        <v>19</v>
      </c>
      <c r="H113" s="122">
        <f t="shared" si="68"/>
        <v>10</v>
      </c>
      <c r="I113" s="122">
        <f t="shared" si="68"/>
        <v>6</v>
      </c>
      <c r="J113" s="122">
        <f t="shared" si="68"/>
        <v>16</v>
      </c>
      <c r="K113" s="122">
        <f t="shared" si="68"/>
        <v>3</v>
      </c>
      <c r="L113" s="122">
        <f t="shared" si="68"/>
        <v>9</v>
      </c>
      <c r="M113" s="122">
        <f t="shared" si="68"/>
        <v>128</v>
      </c>
      <c r="N113" s="122">
        <f t="shared" si="68"/>
        <v>82.051282051282044</v>
      </c>
      <c r="O113" s="122">
        <f t="shared" si="68"/>
        <v>147</v>
      </c>
      <c r="P113" s="122">
        <f t="shared" si="68"/>
        <v>94.230769230769226</v>
      </c>
    </row>
    <row r="114" spans="1:16" ht="20.100000000000001" customHeight="1">
      <c r="A114" s="141" t="s">
        <v>72</v>
      </c>
      <c r="B114" s="141"/>
      <c r="C114" s="124">
        <f>C99</f>
        <v>36</v>
      </c>
      <c r="D114" s="124">
        <f t="shared" ref="D114:P114" si="69">D99</f>
        <v>26</v>
      </c>
      <c r="E114" s="124">
        <f t="shared" si="69"/>
        <v>10</v>
      </c>
      <c r="F114" s="124">
        <f t="shared" si="69"/>
        <v>0</v>
      </c>
      <c r="G114" s="124">
        <f t="shared" si="69"/>
        <v>0</v>
      </c>
      <c r="H114" s="124">
        <f t="shared" si="69"/>
        <v>0</v>
      </c>
      <c r="I114" s="124">
        <f t="shared" si="69"/>
        <v>0</v>
      </c>
      <c r="J114" s="124">
        <f t="shared" si="69"/>
        <v>0</v>
      </c>
      <c r="K114" s="124">
        <f t="shared" si="69"/>
        <v>0</v>
      </c>
      <c r="L114" s="124">
        <f t="shared" si="69"/>
        <v>0</v>
      </c>
      <c r="M114" s="124">
        <f t="shared" si="69"/>
        <v>36</v>
      </c>
      <c r="N114" s="124">
        <f t="shared" si="69"/>
        <v>100</v>
      </c>
      <c r="O114" s="124">
        <f t="shared" si="69"/>
        <v>36</v>
      </c>
      <c r="P114" s="124">
        <f t="shared" si="69"/>
        <v>100</v>
      </c>
    </row>
    <row r="115" spans="1:16" ht="9.75" customHeight="1">
      <c r="L115" s="71"/>
      <c r="N115" s="72"/>
      <c r="O115" s="72"/>
      <c r="P115" s="72"/>
    </row>
    <row r="116" spans="1:16" ht="36.75" customHeight="1"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4"/>
      <c r="O116" s="73"/>
      <c r="P116" s="74"/>
    </row>
    <row r="117" spans="1:16" ht="24" customHeight="1"/>
    <row r="118" spans="1:16" ht="24" customHeight="1"/>
    <row r="119" spans="1:16" ht="24" customHeight="1"/>
    <row r="120" spans="1:16" ht="24" customHeight="1"/>
    <row r="121" spans="1:16" ht="24" customHeight="1"/>
    <row r="122" spans="1:16" ht="24" customHeight="1"/>
    <row r="123" spans="1:16" ht="24" customHeight="1"/>
    <row r="124" spans="1:16" ht="26.25" customHeight="1"/>
  </sheetData>
  <mergeCells count="40">
    <mergeCell ref="A114:B114"/>
    <mergeCell ref="D26:E26"/>
    <mergeCell ref="J26:K26"/>
    <mergeCell ref="D14:E14"/>
    <mergeCell ref="J14:K14"/>
    <mergeCell ref="D50:E50"/>
    <mergeCell ref="J50:K50"/>
    <mergeCell ref="D38:E38"/>
    <mergeCell ref="J38:K38"/>
    <mergeCell ref="F38:I38"/>
    <mergeCell ref="F50:I50"/>
    <mergeCell ref="A105:B105"/>
    <mergeCell ref="A106:B106"/>
    <mergeCell ref="J95:K95"/>
    <mergeCell ref="D83:E83"/>
    <mergeCell ref="J83:K83"/>
    <mergeCell ref="D2:E2"/>
    <mergeCell ref="J2:K2"/>
    <mergeCell ref="F2:I2"/>
    <mergeCell ref="F14:I14"/>
    <mergeCell ref="F26:I26"/>
    <mergeCell ref="F95:I95"/>
    <mergeCell ref="F83:I83"/>
    <mergeCell ref="D95:E95"/>
    <mergeCell ref="D62:E62"/>
    <mergeCell ref="J104:K104"/>
    <mergeCell ref="D104:E104"/>
    <mergeCell ref="F104:I104"/>
    <mergeCell ref="D74:E74"/>
    <mergeCell ref="J74:K74"/>
    <mergeCell ref="F74:I74"/>
    <mergeCell ref="J62:K62"/>
    <mergeCell ref="F62:I62"/>
    <mergeCell ref="A113:B113"/>
    <mergeCell ref="A107:B107"/>
    <mergeCell ref="A108:B108"/>
    <mergeCell ref="A109:B109"/>
    <mergeCell ref="A110:B110"/>
    <mergeCell ref="A111:B111"/>
    <mergeCell ref="A112:B112"/>
  </mergeCells>
  <phoneticPr fontId="0" type="noConversion"/>
  <pageMargins left="0.43447916666666703" right="0.13541666666666699" top="0.96354166666666696" bottom="0.444583333333333" header="0.45" footer="0.25"/>
  <pageSetup scale="95" firstPageNumber="17" orientation="landscape" useFirstPageNumber="1" horizontalDpi="360" verticalDpi="360" r:id="rId1"/>
  <headerFooter alignWithMargins="0">
    <oddHeader>&amp;C&amp;"Aptos Display,Bold"&amp;14SEKOLAH MENENGAH PENGIRAN ANAK PUTERI HAJAH MASNA
YEAR 7, ASSESSMENT 2 2025</oddHeader>
  </headerFooter>
  <rowBreaks count="1" manualBreakCount="1">
    <brk id="101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11"/>
  <sheetViews>
    <sheetView view="pageLayout" zoomScale="55" zoomScaleNormal="100" zoomScalePageLayoutView="55" workbookViewId="0">
      <selection activeCell="S10" sqref="S10"/>
    </sheetView>
  </sheetViews>
  <sheetFormatPr defaultColWidth="8.85546875" defaultRowHeight="13.5"/>
  <cols>
    <col min="1" max="1" width="16.5703125" style="46" bestFit="1" customWidth="1"/>
    <col min="2" max="2" width="9.5703125" style="46" customWidth="1"/>
    <col min="3" max="3" width="10.28515625" style="46" customWidth="1"/>
    <col min="4" max="16384" width="8.85546875" style="46"/>
  </cols>
  <sheetData>
    <row r="2" spans="1:3" ht="31.5">
      <c r="A2" s="82" t="s">
        <v>73</v>
      </c>
      <c r="B2" s="83" t="s">
        <v>18</v>
      </c>
      <c r="C2" s="83" t="s">
        <v>20</v>
      </c>
    </row>
    <row r="3" spans="1:3" ht="18.75">
      <c r="A3" s="81" t="s">
        <v>64</v>
      </c>
      <c r="B3" s="68">
        <f>'YEAR 7'!N11</f>
        <v>75.641025641025635</v>
      </c>
      <c r="C3" s="68">
        <f>'YEAR 7'!P11</f>
        <v>94.871794871794862</v>
      </c>
    </row>
    <row r="4" spans="1:3" ht="18.75">
      <c r="A4" s="81" t="s">
        <v>65</v>
      </c>
      <c r="B4" s="68">
        <f>'YEAR 7'!N23</f>
        <v>89.102564102564102</v>
      </c>
      <c r="C4" s="68">
        <f>'YEAR 7'!P23</f>
        <v>97.435897435897431</v>
      </c>
    </row>
    <row r="5" spans="1:3" ht="18.75">
      <c r="A5" s="81" t="s">
        <v>66</v>
      </c>
      <c r="B5" s="70">
        <f>'YEAR 7'!N35</f>
        <v>78.84615384615384</v>
      </c>
      <c r="C5" s="70">
        <f>'YEAR 7'!P35</f>
        <v>93.589743589743591</v>
      </c>
    </row>
    <row r="6" spans="1:3" ht="18.75">
      <c r="A6" s="81" t="s">
        <v>67</v>
      </c>
      <c r="B6" s="70">
        <f>'YEAR 7'!N109</f>
        <v>62.179487179487182</v>
      </c>
      <c r="C6" s="70">
        <f>'YEAR 7'!P109</f>
        <v>92.307692307692307</v>
      </c>
    </row>
    <row r="7" spans="1:3" ht="18.75">
      <c r="A7" s="81" t="s">
        <v>68</v>
      </c>
      <c r="B7" s="70">
        <f>'YEAR 7'!N59</f>
        <v>28.205128205128204</v>
      </c>
      <c r="C7" s="70">
        <f>'YEAR 7'!P59</f>
        <v>53.846153846153847</v>
      </c>
    </row>
    <row r="8" spans="1:3" ht="18.75">
      <c r="A8" s="81" t="s">
        <v>69</v>
      </c>
      <c r="B8" s="70">
        <f>'YEAR 7'!N71</f>
        <v>56.687898089171973</v>
      </c>
      <c r="C8" s="70">
        <f>'YEAR 7'!P71</f>
        <v>87.261146496815286</v>
      </c>
    </row>
    <row r="9" spans="1:3" ht="18.75">
      <c r="A9" s="81" t="s">
        <v>70</v>
      </c>
      <c r="B9" s="70">
        <f>'YEAR 7'!N80</f>
        <v>80.26315789473685</v>
      </c>
      <c r="C9" s="70">
        <f>'YEAR 7'!P80</f>
        <v>96.05263157894737</v>
      </c>
    </row>
    <row r="10" spans="1:3" ht="18.75">
      <c r="A10" s="81" t="s">
        <v>71</v>
      </c>
      <c r="B10" s="123">
        <f>'YEAR 7'!N92</f>
        <v>82.051282051282044</v>
      </c>
      <c r="C10" s="123">
        <f>'YEAR 7'!P92</f>
        <v>94.230769230769226</v>
      </c>
    </row>
    <row r="11" spans="1:3" ht="18.75">
      <c r="A11" s="81" t="s">
        <v>72</v>
      </c>
      <c r="B11" s="134">
        <f>'YEAR 7'!P99</f>
        <v>100</v>
      </c>
      <c r="C11" s="134">
        <f>'YEAR 7'!P99</f>
        <v>100</v>
      </c>
    </row>
  </sheetData>
  <phoneticPr fontId="0" type="noConversion"/>
  <pageMargins left="0.516087962962963" right="4.2592592592592592E-2" top="1" bottom="1" header="0.5" footer="0.5"/>
  <pageSetup paperSize="9" scale="88" orientation="landscape" r:id="rId1"/>
  <headerFooter alignWithMargins="0">
    <oddHeader>&amp;C&amp;"Aptos Display,Bold"&amp;14SEKOLAH MENENGAH PENGIRAN ANAK PUTERI HAJAH MASNA
YEAR 7, ASSESSMENT 1 2025</oddHeader>
    <oddFooter>&amp;LExam Dept SMPAPHM&amp;CYEAR 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view="pageLayout" zoomScale="86" zoomScaleNormal="100" zoomScalePageLayoutView="86" workbookViewId="0">
      <selection activeCell="C12" sqref="C12"/>
    </sheetView>
  </sheetViews>
  <sheetFormatPr defaultColWidth="11.42578125" defaultRowHeight="15.75"/>
  <cols>
    <col min="1" max="1" width="15.42578125" style="84" customWidth="1"/>
    <col min="2" max="2" width="11.42578125" style="84" customWidth="1"/>
    <col min="3" max="11" width="6.42578125" style="84" customWidth="1"/>
    <col min="12" max="12" width="12.42578125" style="84" customWidth="1"/>
    <col min="13" max="13" width="10.5703125" style="84" customWidth="1"/>
    <col min="14" max="14" width="12" style="84" customWidth="1"/>
    <col min="15" max="15" width="14.42578125" style="84" customWidth="1"/>
    <col min="16" max="16384" width="11.42578125" style="84"/>
  </cols>
  <sheetData>
    <row r="1" spans="1:15" ht="31.5">
      <c r="A1" s="149" t="s">
        <v>74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ht="16.5" thickBo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1:15" s="87" customFormat="1" ht="32.25" customHeight="1">
      <c r="A3" s="86"/>
      <c r="B3" s="150" t="s">
        <v>75</v>
      </c>
      <c r="C3" s="152" t="s">
        <v>76</v>
      </c>
      <c r="D3" s="152"/>
      <c r="E3" s="152"/>
      <c r="F3" s="152"/>
      <c r="G3" s="152"/>
      <c r="H3" s="152"/>
      <c r="I3" s="152"/>
      <c r="J3" s="152"/>
      <c r="K3" s="153"/>
      <c r="L3" s="154" t="s">
        <v>77</v>
      </c>
      <c r="M3" s="155"/>
      <c r="N3" s="154" t="s">
        <v>78</v>
      </c>
      <c r="O3" s="156"/>
    </row>
    <row r="4" spans="1:15" s="87" customFormat="1" ht="32.25" customHeight="1">
      <c r="A4" s="86"/>
      <c r="B4" s="151"/>
      <c r="C4" s="132">
        <v>8</v>
      </c>
      <c r="D4" s="132">
        <v>7</v>
      </c>
      <c r="E4" s="132">
        <v>6</v>
      </c>
      <c r="F4" s="132">
        <v>5</v>
      </c>
      <c r="G4" s="132">
        <v>4</v>
      </c>
      <c r="H4" s="132">
        <v>3</v>
      </c>
      <c r="I4" s="132">
        <v>2</v>
      </c>
      <c r="J4" s="132">
        <v>1</v>
      </c>
      <c r="K4" s="133">
        <v>0</v>
      </c>
      <c r="L4" s="88" t="s">
        <v>75</v>
      </c>
      <c r="M4" s="89" t="s">
        <v>79</v>
      </c>
      <c r="N4" s="88" t="s">
        <v>75</v>
      </c>
      <c r="O4" s="90" t="s">
        <v>79</v>
      </c>
    </row>
    <row r="5" spans="1:15" s="87" customFormat="1" ht="32.25" customHeight="1">
      <c r="A5" s="91" t="s">
        <v>21</v>
      </c>
      <c r="B5" s="130">
        <f>SUM(C5:K5)</f>
        <v>18</v>
      </c>
      <c r="C5" s="129" cm="1">
        <f t="array" ref="C5:K5">TRANSPOSE([1]Master!$BO$48:$BO$56)</f>
        <v>16</v>
      </c>
      <c r="D5" s="129">
        <v>1</v>
      </c>
      <c r="E5" s="129">
        <v>1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31">
        <f t="shared" ref="L5:L12" si="0">SUM(C5:F5)</f>
        <v>18</v>
      </c>
      <c r="M5" s="92">
        <f t="shared" ref="M5:M12" si="1">L5/B5</f>
        <v>1</v>
      </c>
      <c r="N5" s="93">
        <f>SUM(C5:H5)</f>
        <v>18</v>
      </c>
      <c r="O5" s="94">
        <f t="shared" ref="O5:O12" si="2">N5/B5</f>
        <v>1</v>
      </c>
    </row>
    <row r="6" spans="1:15" s="87" customFormat="1" ht="32.25" customHeight="1">
      <c r="A6" s="95" t="s">
        <v>23</v>
      </c>
      <c r="B6" s="130">
        <f t="shared" ref="B6:B12" si="3">SUM(C6:K6)</f>
        <v>21</v>
      </c>
      <c r="C6" s="129" cm="1">
        <f t="array" ref="C6:K6">TRANSPOSE([2]Master!$BJ$65:$BJ$73)</f>
        <v>0</v>
      </c>
      <c r="D6" s="129">
        <v>0</v>
      </c>
      <c r="E6" s="129">
        <v>0</v>
      </c>
      <c r="F6" s="129">
        <v>20</v>
      </c>
      <c r="G6" s="129">
        <v>0</v>
      </c>
      <c r="H6" s="129">
        <v>1</v>
      </c>
      <c r="I6" s="129">
        <v>0</v>
      </c>
      <c r="J6" s="129">
        <v>0</v>
      </c>
      <c r="K6" s="129">
        <v>0</v>
      </c>
      <c r="L6" s="131">
        <f t="shared" si="0"/>
        <v>20</v>
      </c>
      <c r="M6" s="96">
        <f t="shared" si="1"/>
        <v>0.95238095238095233</v>
      </c>
      <c r="N6" s="97">
        <f t="shared" ref="N6:N11" si="4">SUM(C6:H6)</f>
        <v>21</v>
      </c>
      <c r="O6" s="98">
        <f t="shared" si="2"/>
        <v>1</v>
      </c>
    </row>
    <row r="7" spans="1:15" s="87" customFormat="1" ht="32.25" customHeight="1">
      <c r="A7" s="95" t="s">
        <v>25</v>
      </c>
      <c r="B7" s="130">
        <f t="shared" si="3"/>
        <v>24</v>
      </c>
      <c r="C7" s="129" cm="1">
        <f t="array" ref="C7:K7">TRANSPOSE([3]Master!$BB$67:$BB$75)</f>
        <v>6</v>
      </c>
      <c r="D7" s="129">
        <v>8</v>
      </c>
      <c r="E7" s="129">
        <v>4</v>
      </c>
      <c r="F7" s="129">
        <v>5</v>
      </c>
      <c r="G7" s="129">
        <v>1</v>
      </c>
      <c r="H7" s="129">
        <v>0</v>
      </c>
      <c r="I7" s="129">
        <v>0</v>
      </c>
      <c r="J7" s="129">
        <v>0</v>
      </c>
      <c r="K7" s="129">
        <v>0</v>
      </c>
      <c r="L7" s="131">
        <f t="shared" si="0"/>
        <v>23</v>
      </c>
      <c r="M7" s="96">
        <f t="shared" si="1"/>
        <v>0.95833333333333337</v>
      </c>
      <c r="N7" s="97">
        <f t="shared" si="4"/>
        <v>24</v>
      </c>
      <c r="O7" s="98">
        <f t="shared" si="2"/>
        <v>1</v>
      </c>
    </row>
    <row r="8" spans="1:15" s="87" customFormat="1" ht="32.25" customHeight="1">
      <c r="A8" s="95" t="s">
        <v>27</v>
      </c>
      <c r="B8" s="130">
        <f t="shared" si="3"/>
        <v>25</v>
      </c>
      <c r="C8" s="129" cm="1">
        <f t="array" ref="C8:K8">TRANSPOSE([4]Master!$BO$48:$BO$56)</f>
        <v>3</v>
      </c>
      <c r="D8" s="129">
        <v>9</v>
      </c>
      <c r="E8" s="129">
        <v>7</v>
      </c>
      <c r="F8" s="129">
        <v>3</v>
      </c>
      <c r="G8" s="129">
        <v>2</v>
      </c>
      <c r="H8" s="129">
        <v>0</v>
      </c>
      <c r="I8" s="129">
        <v>0</v>
      </c>
      <c r="J8" s="129">
        <v>1</v>
      </c>
      <c r="K8" s="129">
        <v>0</v>
      </c>
      <c r="L8" s="131">
        <f t="shared" si="0"/>
        <v>22</v>
      </c>
      <c r="M8" s="96">
        <f t="shared" si="1"/>
        <v>0.88</v>
      </c>
      <c r="N8" s="97">
        <f t="shared" si="4"/>
        <v>24</v>
      </c>
      <c r="O8" s="98">
        <f t="shared" si="2"/>
        <v>0.96</v>
      </c>
    </row>
    <row r="9" spans="1:15" s="87" customFormat="1" ht="32.25" customHeight="1">
      <c r="A9" s="95" t="s">
        <v>28</v>
      </c>
      <c r="B9" s="130">
        <f t="shared" si="3"/>
        <v>25</v>
      </c>
      <c r="C9" s="129" cm="1">
        <f t="array" ref="C9:K9">TRANSPOSE([5]Master!$BP$65:$BP$73)</f>
        <v>0</v>
      </c>
      <c r="D9" s="129">
        <v>4</v>
      </c>
      <c r="E9" s="129">
        <v>6</v>
      </c>
      <c r="F9" s="129">
        <v>2</v>
      </c>
      <c r="G9" s="129">
        <v>6</v>
      </c>
      <c r="H9" s="129">
        <v>3</v>
      </c>
      <c r="I9" s="129">
        <v>4</v>
      </c>
      <c r="J9" s="129">
        <v>0</v>
      </c>
      <c r="K9" s="129">
        <v>0</v>
      </c>
      <c r="L9" s="131">
        <f t="shared" si="0"/>
        <v>12</v>
      </c>
      <c r="M9" s="96">
        <f t="shared" si="1"/>
        <v>0.48</v>
      </c>
      <c r="N9" s="97">
        <f t="shared" si="4"/>
        <v>21</v>
      </c>
      <c r="O9" s="98">
        <f t="shared" si="2"/>
        <v>0.84</v>
      </c>
    </row>
    <row r="10" spans="1:15" s="87" customFormat="1" ht="32.25" customHeight="1">
      <c r="A10" s="95" t="s">
        <v>29</v>
      </c>
      <c r="B10" s="130">
        <f t="shared" si="3"/>
        <v>24</v>
      </c>
      <c r="C10" s="129" cm="1">
        <f t="array" ref="C10:K10">TRANSPOSE([6]Master!$BP$66:$BP$74)</f>
        <v>0</v>
      </c>
      <c r="D10" s="129">
        <v>0</v>
      </c>
      <c r="E10" s="129">
        <v>0</v>
      </c>
      <c r="F10" s="129">
        <v>0</v>
      </c>
      <c r="G10" s="129">
        <v>2</v>
      </c>
      <c r="H10" s="129">
        <v>6</v>
      </c>
      <c r="I10" s="129">
        <v>8</v>
      </c>
      <c r="J10" s="129">
        <v>1</v>
      </c>
      <c r="K10" s="129">
        <v>7</v>
      </c>
      <c r="L10" s="131">
        <f t="shared" si="0"/>
        <v>0</v>
      </c>
      <c r="M10" s="96">
        <f t="shared" si="1"/>
        <v>0</v>
      </c>
      <c r="N10" s="97">
        <f>SUM(C10:H10)</f>
        <v>8</v>
      </c>
      <c r="O10" s="98">
        <f t="shared" si="2"/>
        <v>0.33333333333333331</v>
      </c>
    </row>
    <row r="11" spans="1:15" s="87" customFormat="1" ht="32.25" customHeight="1">
      <c r="A11" s="95" t="s">
        <v>30</v>
      </c>
      <c r="B11" s="130">
        <f t="shared" si="3"/>
        <v>20</v>
      </c>
      <c r="C11" s="129" cm="1">
        <f t="array" ref="C11:K11">TRANSPOSE([7]Master!$BP$67:$BP$75)</f>
        <v>0</v>
      </c>
      <c r="D11" s="129">
        <v>0</v>
      </c>
      <c r="E11" s="129">
        <v>1</v>
      </c>
      <c r="F11" s="129">
        <v>3</v>
      </c>
      <c r="G11" s="129">
        <v>0</v>
      </c>
      <c r="H11" s="129">
        <v>4</v>
      </c>
      <c r="I11" s="129">
        <v>3</v>
      </c>
      <c r="J11" s="129">
        <v>3</v>
      </c>
      <c r="K11" s="138">
        <v>6</v>
      </c>
      <c r="L11" s="131">
        <f t="shared" si="0"/>
        <v>4</v>
      </c>
      <c r="M11" s="96">
        <f t="shared" si="1"/>
        <v>0.2</v>
      </c>
      <c r="N11" s="97">
        <f t="shared" si="4"/>
        <v>8</v>
      </c>
      <c r="O11" s="98">
        <f t="shared" si="2"/>
        <v>0.4</v>
      </c>
    </row>
    <row r="12" spans="1:15" s="87" customFormat="1" ht="32.25" customHeight="1">
      <c r="A12" s="99" t="s">
        <v>80</v>
      </c>
      <c r="B12" s="130">
        <f>SUM(B5:B11)</f>
        <v>157</v>
      </c>
      <c r="C12" s="130">
        <f t="shared" ref="C12:K12" si="5">SUM(C5:C11)</f>
        <v>25</v>
      </c>
      <c r="D12" s="130">
        <f t="shared" si="5"/>
        <v>22</v>
      </c>
      <c r="E12" s="130">
        <f t="shared" si="5"/>
        <v>19</v>
      </c>
      <c r="F12" s="130">
        <f t="shared" si="5"/>
        <v>33</v>
      </c>
      <c r="G12" s="130">
        <f t="shared" si="5"/>
        <v>11</v>
      </c>
      <c r="H12" s="130">
        <f t="shared" si="5"/>
        <v>14</v>
      </c>
      <c r="I12" s="130">
        <f t="shared" si="5"/>
        <v>15</v>
      </c>
      <c r="J12" s="130">
        <f t="shared" si="5"/>
        <v>5</v>
      </c>
      <c r="K12" s="137">
        <f t="shared" si="5"/>
        <v>13</v>
      </c>
      <c r="L12" s="131">
        <f t="shared" si="0"/>
        <v>99</v>
      </c>
      <c r="M12" s="100">
        <f t="shared" si="1"/>
        <v>0.63057324840764328</v>
      </c>
      <c r="N12" s="101">
        <f>SUM(N5:N11)</f>
        <v>124</v>
      </c>
      <c r="O12" s="102">
        <f t="shared" si="2"/>
        <v>0.78980891719745228</v>
      </c>
    </row>
    <row r="14" spans="1:15" ht="32.25" customHeight="1">
      <c r="A14" s="103" t="s">
        <v>81</v>
      </c>
      <c r="B14" s="104">
        <f>$M$12</f>
        <v>0.63057324840764328</v>
      </c>
      <c r="C14" s="105"/>
      <c r="D14" s="105"/>
      <c r="E14" s="105"/>
      <c r="F14" s="105"/>
      <c r="G14" s="105"/>
      <c r="H14" s="105"/>
      <c r="I14" s="105"/>
      <c r="J14" s="105"/>
      <c r="K14" s="105"/>
      <c r="L14" s="86"/>
      <c r="M14" s="86"/>
      <c r="N14" s="86"/>
      <c r="O14" s="86"/>
    </row>
    <row r="15" spans="1:15" ht="32.25" customHeight="1" thickBot="1">
      <c r="A15" s="106" t="s">
        <v>82</v>
      </c>
      <c r="B15" s="107">
        <f>$O$12</f>
        <v>0.78980891719745228</v>
      </c>
      <c r="C15" s="105"/>
      <c r="D15" s="105"/>
      <c r="E15" s="105"/>
      <c r="F15" s="105"/>
      <c r="G15" s="105"/>
      <c r="H15" s="105"/>
      <c r="I15" s="105"/>
      <c r="J15" s="105"/>
      <c r="K15" s="105"/>
      <c r="L15" s="86"/>
      <c r="M15" s="86"/>
      <c r="N15" s="86"/>
      <c r="O15" s="86"/>
    </row>
  </sheetData>
  <mergeCells count="5">
    <mergeCell ref="A1:O1"/>
    <mergeCell ref="B3:B4"/>
    <mergeCell ref="C3:K3"/>
    <mergeCell ref="L3:M3"/>
    <mergeCell ref="N3:O3"/>
  </mergeCells>
  <pageMargins left="0.55208333333333337" right="0.33333333333333331" top="1.0416666666666667" bottom="0.75" header="0.3" footer="0.3"/>
  <pageSetup paperSize="9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view="pageLayout" zoomScale="81" zoomScaleNormal="100" zoomScalePageLayoutView="81" workbookViewId="0">
      <selection activeCell="B17" sqref="B17"/>
    </sheetView>
  </sheetViews>
  <sheetFormatPr defaultColWidth="11.42578125" defaultRowHeight="13.5"/>
  <cols>
    <col min="1" max="1" width="10.5703125" style="109" customWidth="1"/>
    <col min="2" max="2" width="11.85546875" style="109" customWidth="1"/>
    <col min="3" max="3" width="9.85546875" style="109" customWidth="1"/>
    <col min="4" max="4" width="9.5703125" style="109" customWidth="1"/>
    <col min="5" max="19" width="6.85546875" style="109" customWidth="1"/>
    <col min="20" max="16384" width="11.42578125" style="109"/>
  </cols>
  <sheetData>
    <row r="1" spans="1:20" ht="31.5">
      <c r="A1" s="149" t="str">
        <f>'3''O'' and 5''O'' &amp; above'!$A$1</f>
        <v>YEAR 7, END OF YEAR EXAMINATION 2025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08"/>
    </row>
    <row r="3" spans="1:20" s="112" customFormat="1" ht="15.75" hidden="1">
      <c r="A3" s="157" t="s">
        <v>83</v>
      </c>
      <c r="B3" s="158"/>
      <c r="C3" s="158"/>
      <c r="D3" s="159"/>
      <c r="E3" s="110">
        <v>200</v>
      </c>
      <c r="F3" s="111"/>
      <c r="G3" s="111"/>
      <c r="H3" s="111"/>
      <c r="I3" s="111"/>
      <c r="J3" s="111"/>
      <c r="K3" s="111"/>
      <c r="L3" s="111"/>
    </row>
    <row r="4" spans="1:20" s="112" customFormat="1" ht="15.75">
      <c r="A4" s="157" t="s">
        <v>84</v>
      </c>
      <c r="B4" s="158"/>
      <c r="C4" s="158"/>
      <c r="D4" s="159"/>
      <c r="E4" s="110">
        <f>'3''O'' and 5''O'' &amp; above'!$B$12</f>
        <v>157</v>
      </c>
      <c r="F4" s="111"/>
      <c r="G4" s="111"/>
      <c r="H4" s="111"/>
      <c r="I4" s="111"/>
      <c r="J4" s="111"/>
      <c r="K4" s="111"/>
      <c r="L4" s="111"/>
    </row>
    <row r="5" spans="1:20" s="112" customFormat="1" ht="15.75">
      <c r="A5" s="157" t="s">
        <v>85</v>
      </c>
      <c r="B5" s="158"/>
      <c r="C5" s="158"/>
      <c r="D5" s="159"/>
      <c r="E5" s="110">
        <v>0</v>
      </c>
      <c r="F5" s="111"/>
      <c r="G5" s="111"/>
      <c r="H5" s="111"/>
      <c r="I5" s="111"/>
      <c r="J5" s="111"/>
      <c r="K5" s="111"/>
      <c r="L5" s="111"/>
    </row>
    <row r="6" spans="1:20" s="112" customFormat="1" ht="15.75"/>
    <row r="7" spans="1:20" s="112" customFormat="1" ht="63" customHeight="1">
      <c r="A7" s="126" t="s">
        <v>86</v>
      </c>
      <c r="B7" s="125" t="s">
        <v>87</v>
      </c>
      <c r="C7" s="127" t="s">
        <v>79</v>
      </c>
      <c r="E7" s="85"/>
      <c r="F7" s="85"/>
      <c r="G7" s="85"/>
      <c r="H7" s="85"/>
      <c r="I7" s="85"/>
      <c r="J7" s="85"/>
      <c r="K7" s="85"/>
      <c r="L7" s="111"/>
    </row>
    <row r="8" spans="1:20" s="112" customFormat="1" ht="15.75">
      <c r="A8" s="110">
        <v>8</v>
      </c>
      <c r="B8" s="135">
        <f>'3''O'' and 5''O'' &amp; above'!$C$12</f>
        <v>25</v>
      </c>
      <c r="C8" s="136">
        <f>B8/B17</f>
        <v>0.15923566878980891</v>
      </c>
      <c r="E8" s="111"/>
      <c r="F8" s="111"/>
      <c r="G8" s="111"/>
      <c r="H8" s="111"/>
      <c r="I8" s="111"/>
      <c r="J8" s="111"/>
      <c r="K8" s="111"/>
      <c r="L8" s="111"/>
    </row>
    <row r="9" spans="1:20" s="112" customFormat="1" ht="15.75">
      <c r="A9" s="110">
        <v>7</v>
      </c>
      <c r="B9" s="135">
        <f>'3''O'' and 5''O'' &amp; above'!$D$12</f>
        <v>22</v>
      </c>
      <c r="C9" s="136">
        <f>B9/B17</f>
        <v>0.14012738853503184</v>
      </c>
      <c r="E9" s="111"/>
      <c r="F9" s="111"/>
      <c r="G9" s="111"/>
      <c r="H9" s="111"/>
      <c r="I9" s="111"/>
      <c r="J9" s="111"/>
      <c r="K9" s="111"/>
      <c r="L9" s="111"/>
    </row>
    <row r="10" spans="1:20" s="112" customFormat="1" ht="15.75">
      <c r="A10" s="110">
        <v>6</v>
      </c>
      <c r="B10" s="135">
        <f>'3''O'' and 5''O'' &amp; above'!$E$12</f>
        <v>19</v>
      </c>
      <c r="C10" s="136">
        <f>B10/B17</f>
        <v>0.12101910828025478</v>
      </c>
      <c r="E10" s="111"/>
      <c r="F10" s="111"/>
      <c r="G10" s="111"/>
      <c r="H10" s="111"/>
      <c r="I10" s="111"/>
      <c r="J10" s="111"/>
      <c r="K10" s="111"/>
      <c r="L10" s="111"/>
    </row>
    <row r="11" spans="1:20" s="112" customFormat="1" ht="15.75">
      <c r="A11" s="110">
        <v>5</v>
      </c>
      <c r="B11" s="135">
        <f>'3''O'' and 5''O'' &amp; above'!$F$12</f>
        <v>33</v>
      </c>
      <c r="C11" s="136">
        <f>B11/B17</f>
        <v>0.21019108280254778</v>
      </c>
      <c r="E11" s="111"/>
      <c r="F11" s="111"/>
      <c r="G11" s="111"/>
      <c r="H11" s="111"/>
      <c r="I11" s="111"/>
      <c r="J11" s="111"/>
      <c r="K11" s="111"/>
      <c r="L11" s="111"/>
    </row>
    <row r="12" spans="1:20" s="112" customFormat="1" ht="15.75">
      <c r="A12" s="110">
        <v>4</v>
      </c>
      <c r="B12" s="135">
        <f>'3''O'' and 5''O'' &amp; above'!$G$12</f>
        <v>11</v>
      </c>
      <c r="C12" s="136">
        <f>B12/B17</f>
        <v>7.0063694267515922E-2</v>
      </c>
      <c r="E12" s="111"/>
      <c r="F12" s="111"/>
      <c r="G12" s="111"/>
      <c r="H12" s="111"/>
      <c r="I12" s="111"/>
      <c r="J12" s="111"/>
      <c r="K12" s="111"/>
      <c r="L12" s="111"/>
    </row>
    <row r="13" spans="1:20" s="112" customFormat="1" ht="15.75">
      <c r="A13" s="110">
        <v>3</v>
      </c>
      <c r="B13" s="135">
        <f>'3''O'' and 5''O'' &amp; above'!$H12</f>
        <v>14</v>
      </c>
      <c r="C13" s="136">
        <f>B13/B17</f>
        <v>8.9171974522292988E-2</v>
      </c>
    </row>
    <row r="14" spans="1:20" s="112" customFormat="1" ht="15.75">
      <c r="A14" s="110">
        <v>2</v>
      </c>
      <c r="B14" s="135">
        <f>'3''O'' and 5''O'' &amp; above'!$I$12</f>
        <v>15</v>
      </c>
      <c r="C14" s="136">
        <f>B14/B17</f>
        <v>9.5541401273885357E-2</v>
      </c>
    </row>
    <row r="15" spans="1:20" s="112" customFormat="1" ht="15.75">
      <c r="A15" s="110">
        <v>1</v>
      </c>
      <c r="B15" s="135">
        <f>'3''O'' and 5''O'' &amp; above'!$J$12</f>
        <v>5</v>
      </c>
      <c r="C15" s="136">
        <f>B15/B17</f>
        <v>3.1847133757961783E-2</v>
      </c>
    </row>
    <row r="16" spans="1:20" s="112" customFormat="1" ht="15.75">
      <c r="A16" s="110">
        <v>0</v>
      </c>
      <c r="B16" s="135">
        <f>'3''O'' and 5''O'' &amp; above'!$K$12</f>
        <v>13</v>
      </c>
      <c r="C16" s="136">
        <f>B16/B17</f>
        <v>8.2802547770700632E-2</v>
      </c>
    </row>
    <row r="17" spans="1:4" s="112" customFormat="1" ht="15.75">
      <c r="A17" s="113" t="s">
        <v>7</v>
      </c>
      <c r="B17" s="113">
        <f>SUM(B8:B16)</f>
        <v>157</v>
      </c>
      <c r="C17" s="139">
        <f>SUM(C8:C16)</f>
        <v>1</v>
      </c>
    </row>
    <row r="19" spans="1:4" ht="18.75">
      <c r="B19" s="114"/>
    </row>
    <row r="20" spans="1:4" ht="24.75" customHeight="1">
      <c r="C20" s="115" t="s">
        <v>88</v>
      </c>
      <c r="D20" s="116" t="s">
        <v>79</v>
      </c>
    </row>
    <row r="21" spans="1:4" ht="21.6" customHeight="1">
      <c r="A21" s="160" t="s">
        <v>89</v>
      </c>
      <c r="B21" s="161"/>
      <c r="C21" s="117">
        <f>SUM(B8:C13)</f>
        <v>124.78980891719745</v>
      </c>
      <c r="D21" s="118">
        <f>C21/B17</f>
        <v>0.79483954724329586</v>
      </c>
    </row>
    <row r="22" spans="1:4" ht="21.6" customHeight="1">
      <c r="A22" s="160" t="s">
        <v>90</v>
      </c>
      <c r="B22" s="161"/>
      <c r="C22" s="117">
        <f>SUM(B8:C12)</f>
        <v>110.70063694267516</v>
      </c>
      <c r="D22" s="118">
        <f>C22/B17</f>
        <v>0.70509959836098823</v>
      </c>
    </row>
    <row r="23" spans="1:4" ht="18.75">
      <c r="A23" s="160" t="s">
        <v>91</v>
      </c>
      <c r="B23" s="161"/>
      <c r="C23" s="117">
        <f>SUM(B8:C11)</f>
        <v>99.630573248407643</v>
      </c>
      <c r="D23" s="118">
        <f>C23/B17</f>
        <v>0.63458963852488948</v>
      </c>
    </row>
  </sheetData>
  <mergeCells count="7">
    <mergeCell ref="A1:S1"/>
    <mergeCell ref="A3:D3"/>
    <mergeCell ref="A4:D4"/>
    <mergeCell ref="A5:D5"/>
    <mergeCell ref="A23:B23"/>
    <mergeCell ref="A21:B21"/>
    <mergeCell ref="A22:B22"/>
  </mergeCells>
  <pageMargins left="0.53125" right="6.9444444444444448E-2" top="0.75" bottom="0.75" header="0.3" footer="1.3888888888888888E-2"/>
  <pageSetup paperSize="9" orientation="landscape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0"/>
  <sheetViews>
    <sheetView zoomScale="80" zoomScaleNormal="100" zoomScalePageLayoutView="80" workbookViewId="0">
      <selection activeCell="A26" sqref="A26"/>
    </sheetView>
  </sheetViews>
  <sheetFormatPr defaultColWidth="8.85546875" defaultRowHeight="12.75"/>
  <cols>
    <col min="1" max="1" width="14.42578125" customWidth="1"/>
    <col min="2" max="2" width="10.140625" customWidth="1"/>
  </cols>
  <sheetData>
    <row r="2" spans="1:2" ht="25.5">
      <c r="A2" s="42" t="s">
        <v>92</v>
      </c>
      <c r="B2" s="41" t="s">
        <v>93</v>
      </c>
    </row>
    <row r="3" spans="1:2">
      <c r="A3" s="4" t="s">
        <v>94</v>
      </c>
      <c r="B3" s="43"/>
    </row>
    <row r="4" spans="1:2">
      <c r="A4" s="4" t="s">
        <v>95</v>
      </c>
      <c r="B4" s="43"/>
    </row>
    <row r="5" spans="1:2">
      <c r="A5" s="4" t="s">
        <v>96</v>
      </c>
      <c r="B5" s="43"/>
    </row>
    <row r="6" spans="1:2">
      <c r="A6" s="4" t="s">
        <v>97</v>
      </c>
      <c r="B6" s="43"/>
    </row>
    <row r="7" spans="1:2">
      <c r="A7" s="4" t="s">
        <v>98</v>
      </c>
      <c r="B7" s="43"/>
    </row>
    <row r="8" spans="1:2">
      <c r="A8" s="4" t="s">
        <v>99</v>
      </c>
      <c r="B8" s="43"/>
    </row>
    <row r="9" spans="1:2">
      <c r="A9" s="4" t="s">
        <v>100</v>
      </c>
      <c r="B9" s="43"/>
    </row>
    <row r="10" spans="1:2">
      <c r="A10" s="4" t="s">
        <v>101</v>
      </c>
      <c r="B10" s="43"/>
    </row>
  </sheetData>
  <phoneticPr fontId="0" type="noConversion"/>
  <pageMargins left="0.4296875" right="0.22135416666666666" top="1" bottom="1" header="0.5" footer="0.5"/>
  <pageSetup orientation="landscape" r:id="rId1"/>
  <headerFooter alignWithMargins="0">
    <oddHeader>&amp;CSEKOLAH MENENGAH PENGIRAN ANAK PUTERI HAJAH MASNA
 YEAR 10Sci1 &amp; YEAR 11 QUALIFYING EXAMINATION 2015</oddHeader>
    <oddFooter>&amp;LExam Dept SMPAPHM&amp;CY10Sci1 and  Y11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ColWidth="8.85546875" defaultRowHeight="12.75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5">
      <c r="A2" s="34" t="s">
        <v>102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s="1" customFormat="1" ht="15.75">
      <c r="A3" s="34"/>
      <c r="B3" s="34"/>
      <c r="C3" s="35"/>
      <c r="D3" s="162" t="s">
        <v>1</v>
      </c>
      <c r="E3" s="163"/>
      <c r="F3" s="162" t="s">
        <v>2</v>
      </c>
      <c r="G3" s="164"/>
      <c r="H3" s="164"/>
      <c r="I3" s="163"/>
      <c r="J3" s="162" t="s">
        <v>62</v>
      </c>
      <c r="K3" s="163"/>
      <c r="L3" s="36" t="s">
        <v>4</v>
      </c>
      <c r="M3" s="34"/>
      <c r="N3" s="34"/>
      <c r="O3" s="34"/>
      <c r="P3" s="34"/>
    </row>
    <row r="4" spans="1:16" s="31" customFormat="1" ht="31.5">
      <c r="A4" s="24" t="s">
        <v>73</v>
      </c>
      <c r="B4" s="24" t="s">
        <v>6</v>
      </c>
      <c r="C4" s="24" t="s">
        <v>7</v>
      </c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>
        <v>6</v>
      </c>
      <c r="J4" s="24">
        <v>7</v>
      </c>
      <c r="K4" s="24">
        <v>8</v>
      </c>
      <c r="L4" s="24">
        <v>9</v>
      </c>
      <c r="M4" s="37" t="s">
        <v>17</v>
      </c>
      <c r="N4" s="37" t="s">
        <v>18</v>
      </c>
      <c r="O4" s="37" t="s">
        <v>19</v>
      </c>
      <c r="P4" s="37" t="s">
        <v>20</v>
      </c>
    </row>
    <row r="5" spans="1:16" s="1" customFormat="1" ht="15">
      <c r="A5" s="38" t="s">
        <v>103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27" t="e">
        <f t="shared" ref="N5:N13" si="0">((M5/C5)*100)</f>
        <v>#DIV/0!</v>
      </c>
      <c r="O5" s="30">
        <f t="shared" ref="O5:O13" si="1">SUM(D5:K5)</f>
        <v>0</v>
      </c>
      <c r="P5" s="27" t="e">
        <f t="shared" ref="P5:P13" si="2">((O5/C5)*100)</f>
        <v>#DIV/0!</v>
      </c>
    </row>
    <row r="6" spans="1:16" ht="15">
      <c r="A6" s="38" t="s">
        <v>104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27" t="e">
        <f t="shared" si="0"/>
        <v>#DIV/0!</v>
      </c>
      <c r="O6" s="30">
        <f t="shared" si="1"/>
        <v>0</v>
      </c>
      <c r="P6" s="27" t="e">
        <f t="shared" si="2"/>
        <v>#DIV/0!</v>
      </c>
    </row>
    <row r="7" spans="1:16" ht="15">
      <c r="A7" s="38" t="s">
        <v>105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 t="e">
        <f t="shared" si="0"/>
        <v>#DIV/0!</v>
      </c>
      <c r="O7" s="30">
        <f t="shared" si="1"/>
        <v>0</v>
      </c>
      <c r="P7" s="27" t="e">
        <f t="shared" si="2"/>
        <v>#DIV/0!</v>
      </c>
    </row>
    <row r="8" spans="1:16" ht="15">
      <c r="A8" s="38" t="s">
        <v>106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 t="e">
        <f t="shared" si="0"/>
        <v>#DIV/0!</v>
      </c>
      <c r="O8" s="30">
        <f t="shared" si="1"/>
        <v>0</v>
      </c>
      <c r="P8" s="27" t="e">
        <f t="shared" si="2"/>
        <v>#DIV/0!</v>
      </c>
    </row>
    <row r="9" spans="1:16" ht="15">
      <c r="A9" s="38" t="s">
        <v>107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7" t="e">
        <f t="shared" si="0"/>
        <v>#DIV/0!</v>
      </c>
      <c r="O9" s="30">
        <f t="shared" si="1"/>
        <v>0</v>
      </c>
      <c r="P9" s="27" t="e">
        <f t="shared" si="2"/>
        <v>#DIV/0!</v>
      </c>
    </row>
    <row r="10" spans="1:16" ht="15">
      <c r="A10" s="38" t="s">
        <v>108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7" t="e">
        <f t="shared" si="0"/>
        <v>#DIV/0!</v>
      </c>
      <c r="O10" s="30">
        <f t="shared" si="1"/>
        <v>0</v>
      </c>
      <c r="P10" s="27" t="e">
        <f t="shared" si="2"/>
        <v>#DIV/0!</v>
      </c>
    </row>
    <row r="11" spans="1:16" ht="15">
      <c r="A11" s="38" t="s">
        <v>109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 t="e">
        <f t="shared" si="0"/>
        <v>#DIV/0!</v>
      </c>
      <c r="O11" s="30">
        <f t="shared" si="1"/>
        <v>0</v>
      </c>
      <c r="P11" s="27" t="e">
        <f t="shared" si="2"/>
        <v>#DIV/0!</v>
      </c>
    </row>
    <row r="12" spans="1:16" ht="15">
      <c r="A12" s="38" t="s">
        <v>110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 t="e">
        <f t="shared" si="0"/>
        <v>#DIV/0!</v>
      </c>
      <c r="O12" s="30">
        <f t="shared" si="1"/>
        <v>0</v>
      </c>
      <c r="P12" s="27" t="e">
        <f t="shared" si="2"/>
        <v>#DIV/0!</v>
      </c>
    </row>
    <row r="13" spans="1:16" ht="15">
      <c r="A13" s="39" t="s">
        <v>111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7" t="e">
        <f t="shared" si="0"/>
        <v>#DIV/0!</v>
      </c>
      <c r="O13" s="30">
        <f t="shared" si="1"/>
        <v>0</v>
      </c>
      <c r="P13" s="27" t="e">
        <f t="shared" si="2"/>
        <v>#DIV/0!</v>
      </c>
    </row>
    <row r="14" spans="1:16" ht="15.7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2" t="e">
        <f>AVERAGE(N5:N13)</f>
        <v>#DIV/0!</v>
      </c>
      <c r="O14" s="33"/>
      <c r="P14" s="32" t="e">
        <f>AVERAGE(P5:P13)</f>
        <v>#DIV/0!</v>
      </c>
    </row>
    <row r="15" spans="1:16" ht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1:16" ht="15">
      <c r="A16" s="34" t="s">
        <v>112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16" s="1" customFormat="1" ht="15.75">
      <c r="A17" s="34"/>
      <c r="B17" s="34"/>
      <c r="C17" s="35"/>
      <c r="D17" s="162" t="s">
        <v>1</v>
      </c>
      <c r="E17" s="163"/>
      <c r="F17" s="162" t="s">
        <v>2</v>
      </c>
      <c r="G17" s="164"/>
      <c r="H17" s="164"/>
      <c r="I17" s="163"/>
      <c r="J17" s="162" t="s">
        <v>62</v>
      </c>
      <c r="K17" s="163"/>
      <c r="L17" s="36" t="s">
        <v>4</v>
      </c>
      <c r="M17" s="34"/>
      <c r="N17" s="34"/>
      <c r="O17" s="34"/>
      <c r="P17" s="34"/>
    </row>
    <row r="18" spans="1:16" s="31" customFormat="1" ht="31.5">
      <c r="A18" s="24" t="s">
        <v>73</v>
      </c>
      <c r="B18" s="24" t="s">
        <v>6</v>
      </c>
      <c r="C18" s="24" t="s">
        <v>7</v>
      </c>
      <c r="D18" s="24">
        <v>1</v>
      </c>
      <c r="E18" s="24">
        <v>2</v>
      </c>
      <c r="F18" s="24">
        <v>3</v>
      </c>
      <c r="G18" s="24">
        <v>4</v>
      </c>
      <c r="H18" s="24">
        <v>5</v>
      </c>
      <c r="I18" s="24">
        <v>6</v>
      </c>
      <c r="J18" s="24">
        <v>7</v>
      </c>
      <c r="K18" s="24">
        <v>8</v>
      </c>
      <c r="L18" s="24">
        <v>9</v>
      </c>
      <c r="M18" s="37" t="s">
        <v>17</v>
      </c>
      <c r="N18" s="37" t="s">
        <v>18</v>
      </c>
      <c r="O18" s="37" t="s">
        <v>19</v>
      </c>
      <c r="P18" s="37" t="s">
        <v>20</v>
      </c>
    </row>
    <row r="19" spans="1:16" ht="15">
      <c r="A19" s="38" t="s">
        <v>103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 t="e">
        <f>((M19/C19)*100)</f>
        <v>#DIV/0!</v>
      </c>
      <c r="O19" s="30">
        <f>SUM(D19:K19)</f>
        <v>0</v>
      </c>
      <c r="P19" s="27" t="e">
        <f>((O19/C19)*100)</f>
        <v>#DIV/0!</v>
      </c>
    </row>
    <row r="20" spans="1:16" ht="15">
      <c r="A20" s="38" t="s">
        <v>104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 t="e">
        <f>((M20/C20)*100)</f>
        <v>#DIV/0!</v>
      </c>
      <c r="O20" s="30">
        <f>SUM(D20:K20)</f>
        <v>0</v>
      </c>
      <c r="P20" s="27" t="e">
        <f>((O20/C20)*100)</f>
        <v>#DIV/0!</v>
      </c>
    </row>
    <row r="21" spans="1:16" ht="15">
      <c r="A21" s="38" t="s">
        <v>105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7" t="e">
        <f>((M21/C21)*100)</f>
        <v>#DIV/0!</v>
      </c>
      <c r="O21" s="30">
        <f>SUM(D21:K21)</f>
        <v>0</v>
      </c>
      <c r="P21" s="27" t="e">
        <f>((O21/C21)*100)</f>
        <v>#DIV/0!</v>
      </c>
    </row>
    <row r="22" spans="1:16" ht="15">
      <c r="A22" s="38" t="s">
        <v>107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27" t="e">
        <f t="shared" ref="N22:N28" si="3">((M22/C22)*100)</f>
        <v>#DIV/0!</v>
      </c>
      <c r="O22" s="30">
        <v>10</v>
      </c>
      <c r="P22" s="27" t="e">
        <f t="shared" ref="P22:P28" si="4">((O22/C22)*100)</f>
        <v>#DIV/0!</v>
      </c>
    </row>
    <row r="23" spans="1:16" ht="15">
      <c r="A23" s="38" t="s">
        <v>108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7" t="e">
        <f t="shared" si="3"/>
        <v>#DIV/0!</v>
      </c>
      <c r="O23" s="30">
        <v>10</v>
      </c>
      <c r="P23" s="27" t="e">
        <f t="shared" si="4"/>
        <v>#DIV/0!</v>
      </c>
    </row>
    <row r="24" spans="1:16" ht="15">
      <c r="A24" s="38" t="s">
        <v>109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27" t="e">
        <f t="shared" si="3"/>
        <v>#DIV/0!</v>
      </c>
      <c r="O24" s="30">
        <v>19</v>
      </c>
      <c r="P24" s="27" t="e">
        <f t="shared" si="4"/>
        <v>#DIV/0!</v>
      </c>
    </row>
    <row r="25" spans="1:16" ht="15">
      <c r="A25" s="38" t="s">
        <v>110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27" t="e">
        <f t="shared" si="3"/>
        <v>#DIV/0!</v>
      </c>
      <c r="O25" s="30">
        <v>19</v>
      </c>
      <c r="P25" s="27" t="e">
        <f t="shared" si="4"/>
        <v>#DIV/0!</v>
      </c>
    </row>
    <row r="26" spans="1:16" ht="15">
      <c r="A26" s="30" t="s">
        <v>113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27" t="e">
        <f t="shared" si="3"/>
        <v>#DIV/0!</v>
      </c>
      <c r="O26" s="30">
        <v>3</v>
      </c>
      <c r="P26" s="27" t="e">
        <f t="shared" si="4"/>
        <v>#DIV/0!</v>
      </c>
    </row>
    <row r="27" spans="1:16" ht="15">
      <c r="A27" s="39" t="s">
        <v>111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27" t="e">
        <f t="shared" si="3"/>
        <v>#DIV/0!</v>
      </c>
      <c r="O27" s="30">
        <v>2</v>
      </c>
      <c r="P27" s="27" t="e">
        <f t="shared" si="4"/>
        <v>#DIV/0!</v>
      </c>
    </row>
    <row r="28" spans="1:16" ht="15">
      <c r="A28" s="39" t="s">
        <v>114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27" t="e">
        <f t="shared" si="3"/>
        <v>#DIV/0!</v>
      </c>
      <c r="O28" s="30">
        <v>12</v>
      </c>
      <c r="P28" s="27" t="e">
        <f t="shared" si="4"/>
        <v>#DIV/0!</v>
      </c>
    </row>
    <row r="29" spans="1:16" ht="15.7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2" t="e">
        <f>AVERAGE(N19:N28)</f>
        <v>#DIV/0!</v>
      </c>
      <c r="O29" s="33"/>
      <c r="P29" s="32" t="e">
        <f>AVERAGE(P19:P28)</f>
        <v>#DIV/0!</v>
      </c>
    </row>
    <row r="30" spans="1:16" ht="1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40"/>
      <c r="O30" s="35"/>
      <c r="P30" s="40"/>
    </row>
    <row r="31" spans="1:16" ht="15">
      <c r="A31" s="34" t="s">
        <v>115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1:16" s="1" customFormat="1" ht="15.75">
      <c r="A32" s="34"/>
      <c r="B32" s="34"/>
      <c r="C32" s="35"/>
      <c r="D32" s="162" t="s">
        <v>1</v>
      </c>
      <c r="E32" s="163"/>
      <c r="F32" s="162" t="s">
        <v>2</v>
      </c>
      <c r="G32" s="164"/>
      <c r="H32" s="164"/>
      <c r="I32" s="163"/>
      <c r="J32" s="162" t="s">
        <v>62</v>
      </c>
      <c r="K32" s="163"/>
      <c r="L32" s="36" t="s">
        <v>4</v>
      </c>
      <c r="M32" s="34"/>
      <c r="N32" s="34"/>
      <c r="O32" s="34"/>
      <c r="P32" s="34"/>
    </row>
    <row r="33" spans="1:16" s="31" customFormat="1" ht="31.5">
      <c r="A33" s="24" t="s">
        <v>73</v>
      </c>
      <c r="B33" s="24" t="s">
        <v>6</v>
      </c>
      <c r="C33" s="24" t="s">
        <v>7</v>
      </c>
      <c r="D33" s="24">
        <v>1</v>
      </c>
      <c r="E33" s="24">
        <v>2</v>
      </c>
      <c r="F33" s="24">
        <v>3</v>
      </c>
      <c r="G33" s="24">
        <v>4</v>
      </c>
      <c r="H33" s="24">
        <v>5</v>
      </c>
      <c r="I33" s="24">
        <v>6</v>
      </c>
      <c r="J33" s="24">
        <v>7</v>
      </c>
      <c r="K33" s="24">
        <v>8</v>
      </c>
      <c r="L33" s="24">
        <v>9</v>
      </c>
      <c r="M33" s="37" t="s">
        <v>17</v>
      </c>
      <c r="N33" s="37" t="s">
        <v>18</v>
      </c>
      <c r="O33" s="37" t="s">
        <v>19</v>
      </c>
      <c r="P33" s="37" t="s">
        <v>20</v>
      </c>
    </row>
    <row r="34" spans="1:16" ht="15">
      <c r="A34" s="38" t="s">
        <v>103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27" t="e">
        <f t="shared" ref="N34:N42" si="5">((M34/C34)*100)</f>
        <v>#DIV/0!</v>
      </c>
      <c r="O34" s="30">
        <v>18</v>
      </c>
      <c r="P34" s="27" t="e">
        <f t="shared" ref="P34:P42" si="6">((O34/C34)*100)</f>
        <v>#DIV/0!</v>
      </c>
    </row>
    <row r="35" spans="1:16" ht="15">
      <c r="A35" s="38" t="s">
        <v>104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27" t="e">
        <f t="shared" si="5"/>
        <v>#DIV/0!</v>
      </c>
      <c r="O35" s="30">
        <v>15</v>
      </c>
      <c r="P35" s="27" t="e">
        <f t="shared" si="6"/>
        <v>#DIV/0!</v>
      </c>
    </row>
    <row r="36" spans="1:16" ht="15">
      <c r="A36" s="38" t="s">
        <v>105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27" t="e">
        <f t="shared" si="5"/>
        <v>#DIV/0!</v>
      </c>
      <c r="O36" s="30">
        <v>9</v>
      </c>
      <c r="P36" s="27" t="e">
        <f t="shared" si="6"/>
        <v>#DIV/0!</v>
      </c>
    </row>
    <row r="37" spans="1:16" ht="15">
      <c r="A37" s="38" t="s">
        <v>116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27" t="e">
        <f t="shared" si="5"/>
        <v>#DIV/0!</v>
      </c>
      <c r="O37" s="30">
        <v>6</v>
      </c>
      <c r="P37" s="27" t="e">
        <f t="shared" si="6"/>
        <v>#DIV/0!</v>
      </c>
    </row>
    <row r="38" spans="1:16" ht="15">
      <c r="A38" s="38" t="s">
        <v>110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27" t="e">
        <f t="shared" si="5"/>
        <v>#DIV/0!</v>
      </c>
      <c r="O38" s="30">
        <v>7</v>
      </c>
      <c r="P38" s="27" t="e">
        <f t="shared" si="6"/>
        <v>#DIV/0!</v>
      </c>
    </row>
    <row r="39" spans="1:16" ht="15">
      <c r="A39" s="38" t="s">
        <v>117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27" t="e">
        <f t="shared" si="5"/>
        <v>#DIV/0!</v>
      </c>
      <c r="O39" s="30">
        <v>14</v>
      </c>
      <c r="P39" s="27" t="e">
        <f t="shared" si="6"/>
        <v>#DIV/0!</v>
      </c>
    </row>
    <row r="40" spans="1:16" ht="15">
      <c r="A40" s="38" t="s">
        <v>118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27" t="e">
        <f t="shared" si="5"/>
        <v>#DIV/0!</v>
      </c>
      <c r="O40" s="30">
        <v>16</v>
      </c>
      <c r="P40" s="27" t="e">
        <f t="shared" si="6"/>
        <v>#DIV/0!</v>
      </c>
    </row>
    <row r="41" spans="1:16" ht="15">
      <c r="A41" s="39" t="s">
        <v>119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7" t="e">
        <f t="shared" si="5"/>
        <v>#DIV/0!</v>
      </c>
      <c r="O41" s="30">
        <v>14</v>
      </c>
      <c r="P41" s="27" t="e">
        <f t="shared" si="6"/>
        <v>#DIV/0!</v>
      </c>
    </row>
    <row r="42" spans="1:16" ht="15">
      <c r="A42" s="39" t="s">
        <v>120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7" t="e">
        <f t="shared" si="5"/>
        <v>#DIV/0!</v>
      </c>
      <c r="O42" s="30">
        <v>2</v>
      </c>
      <c r="P42" s="27" t="e">
        <f t="shared" si="6"/>
        <v>#DIV/0!</v>
      </c>
    </row>
    <row r="43" spans="1:16" ht="15.7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2" t="e">
        <f>AVERAGE(N34:N42)</f>
        <v>#DIV/0!</v>
      </c>
      <c r="O43" s="33"/>
      <c r="P43" s="32" t="e">
        <f>AVERAGE(P34:P42)</f>
        <v>#DIV/0!</v>
      </c>
    </row>
    <row r="44" spans="1:16" ht="1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40"/>
      <c r="O44" s="35"/>
      <c r="P44" s="40"/>
    </row>
    <row r="45" spans="1:16" ht="15">
      <c r="A45" s="34" t="s">
        <v>121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</row>
    <row r="46" spans="1:16" s="1" customFormat="1" ht="15.75">
      <c r="A46" s="34"/>
      <c r="B46" s="34"/>
      <c r="C46" s="35"/>
      <c r="D46" s="162" t="s">
        <v>1</v>
      </c>
      <c r="E46" s="163"/>
      <c r="F46" s="162" t="s">
        <v>2</v>
      </c>
      <c r="G46" s="164"/>
      <c r="H46" s="164"/>
      <c r="I46" s="163"/>
      <c r="J46" s="162" t="s">
        <v>62</v>
      </c>
      <c r="K46" s="163"/>
      <c r="L46" s="36" t="s">
        <v>4</v>
      </c>
      <c r="M46" s="34"/>
      <c r="N46" s="34"/>
      <c r="O46" s="34"/>
      <c r="P46" s="34"/>
    </row>
    <row r="47" spans="1:16" s="31" customFormat="1" ht="31.5">
      <c r="A47" s="24" t="s">
        <v>73</v>
      </c>
      <c r="B47" s="24" t="s">
        <v>6</v>
      </c>
      <c r="C47" s="24" t="s">
        <v>7</v>
      </c>
      <c r="D47" s="24">
        <v>1</v>
      </c>
      <c r="E47" s="24">
        <v>2</v>
      </c>
      <c r="F47" s="24">
        <v>3</v>
      </c>
      <c r="G47" s="24">
        <v>4</v>
      </c>
      <c r="H47" s="24">
        <v>5</v>
      </c>
      <c r="I47" s="24">
        <v>6</v>
      </c>
      <c r="J47" s="24">
        <v>7</v>
      </c>
      <c r="K47" s="24">
        <v>8</v>
      </c>
      <c r="L47" s="24">
        <v>9</v>
      </c>
      <c r="M47" s="37" t="s">
        <v>17</v>
      </c>
      <c r="N47" s="37" t="s">
        <v>18</v>
      </c>
      <c r="O47" s="37" t="s">
        <v>19</v>
      </c>
      <c r="P47" s="37" t="s">
        <v>20</v>
      </c>
    </row>
    <row r="48" spans="1:16" ht="15">
      <c r="A48" s="38" t="s">
        <v>103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27" t="e">
        <f t="shared" ref="N48:N56" si="7">((M48/C48)*100)</f>
        <v>#DIV/0!</v>
      </c>
      <c r="O48" s="30">
        <v>24</v>
      </c>
      <c r="P48" s="27" t="e">
        <f t="shared" ref="P48:P56" si="8">((O48/C48)*100)</f>
        <v>#DIV/0!</v>
      </c>
    </row>
    <row r="49" spans="1:16" ht="15">
      <c r="A49" s="38" t="s">
        <v>104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27" t="e">
        <f t="shared" si="7"/>
        <v>#DIV/0!</v>
      </c>
      <c r="O49" s="30">
        <v>20</v>
      </c>
      <c r="P49" s="27" t="e">
        <f t="shared" si="8"/>
        <v>#DIV/0!</v>
      </c>
    </row>
    <row r="50" spans="1:16" ht="15">
      <c r="A50" s="38" t="s">
        <v>105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27" t="e">
        <f t="shared" si="7"/>
        <v>#DIV/0!</v>
      </c>
      <c r="O50" s="30">
        <v>5</v>
      </c>
      <c r="P50" s="27" t="e">
        <f t="shared" si="8"/>
        <v>#DIV/0!</v>
      </c>
    </row>
    <row r="51" spans="1:16" ht="15">
      <c r="A51" s="38" t="s">
        <v>116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27" t="e">
        <f t="shared" si="7"/>
        <v>#DIV/0!</v>
      </c>
      <c r="O51" s="30">
        <v>10</v>
      </c>
      <c r="P51" s="27" t="e">
        <f t="shared" si="8"/>
        <v>#DIV/0!</v>
      </c>
    </row>
    <row r="52" spans="1:16" ht="15">
      <c r="A52" s="38" t="s">
        <v>110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27" t="e">
        <f t="shared" si="7"/>
        <v>#DIV/0!</v>
      </c>
      <c r="O52" s="30">
        <v>12</v>
      </c>
      <c r="P52" s="27" t="e">
        <f t="shared" si="8"/>
        <v>#DIV/0!</v>
      </c>
    </row>
    <row r="53" spans="1:16" ht="15">
      <c r="A53" s="38" t="s">
        <v>117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27" t="e">
        <f t="shared" si="7"/>
        <v>#DIV/0!</v>
      </c>
      <c r="O53" s="30">
        <v>13</v>
      </c>
      <c r="P53" s="27" t="e">
        <f t="shared" si="8"/>
        <v>#DIV/0!</v>
      </c>
    </row>
    <row r="54" spans="1:16" ht="15">
      <c r="A54" s="38" t="s">
        <v>118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27" t="e">
        <f t="shared" si="7"/>
        <v>#DIV/0!</v>
      </c>
      <c r="O54" s="30">
        <v>22</v>
      </c>
      <c r="P54" s="27" t="e">
        <f t="shared" si="8"/>
        <v>#DIV/0!</v>
      </c>
    </row>
    <row r="55" spans="1:16" ht="15.75">
      <c r="A55" s="39" t="s">
        <v>122</v>
      </c>
      <c r="B55" s="30"/>
      <c r="C55" s="30"/>
      <c r="D55" s="36"/>
      <c r="E55" s="30"/>
      <c r="F55" s="30"/>
      <c r="G55" s="30"/>
      <c r="H55" s="30"/>
      <c r="I55" s="30"/>
      <c r="J55" s="36"/>
      <c r="K55" s="36"/>
      <c r="L55" s="36"/>
      <c r="M55" s="30"/>
      <c r="N55" s="27" t="e">
        <f t="shared" si="7"/>
        <v>#DIV/0!</v>
      </c>
      <c r="O55" s="30">
        <v>10</v>
      </c>
      <c r="P55" s="27" t="e">
        <f t="shared" si="8"/>
        <v>#DIV/0!</v>
      </c>
    </row>
    <row r="56" spans="1:16" ht="15">
      <c r="A56" s="39" t="s">
        <v>114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27" t="e">
        <f t="shared" si="7"/>
        <v>#DIV/0!</v>
      </c>
      <c r="O56" s="30">
        <v>8</v>
      </c>
      <c r="P56" s="27" t="e">
        <f t="shared" si="8"/>
        <v>#DIV/0!</v>
      </c>
    </row>
    <row r="57" spans="1:16" ht="15.7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2" t="e">
        <f>AVERAGE(N48:N56)</f>
        <v>#DIV/0!</v>
      </c>
      <c r="O57" s="33"/>
      <c r="P57" s="32" t="e">
        <f>AVERAGE(P48:P56)</f>
        <v>#DIV/0!</v>
      </c>
    </row>
    <row r="58" spans="1:16" ht="1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40"/>
      <c r="O58" s="35"/>
      <c r="P58" s="40"/>
    </row>
    <row r="59" spans="1:16" ht="15">
      <c r="A59" s="34" t="s">
        <v>123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  <row r="60" spans="1:16" s="1" customFormat="1" ht="15.75">
      <c r="A60" s="34"/>
      <c r="B60" s="34"/>
      <c r="C60" s="35"/>
      <c r="D60" s="162" t="s">
        <v>1</v>
      </c>
      <c r="E60" s="163"/>
      <c r="F60" s="162" t="s">
        <v>2</v>
      </c>
      <c r="G60" s="164"/>
      <c r="H60" s="164"/>
      <c r="I60" s="163"/>
      <c r="J60" s="162" t="s">
        <v>62</v>
      </c>
      <c r="K60" s="163"/>
      <c r="L60" s="36" t="s">
        <v>4</v>
      </c>
      <c r="M60" s="34"/>
      <c r="N60" s="34"/>
      <c r="O60" s="34"/>
      <c r="P60" s="34"/>
    </row>
    <row r="61" spans="1:16" s="31" customFormat="1" ht="31.5">
      <c r="A61" s="24" t="s">
        <v>73</v>
      </c>
      <c r="B61" s="24" t="s">
        <v>6</v>
      </c>
      <c r="C61" s="24" t="s">
        <v>7</v>
      </c>
      <c r="D61" s="24">
        <v>1</v>
      </c>
      <c r="E61" s="24">
        <v>2</v>
      </c>
      <c r="F61" s="24">
        <v>3</v>
      </c>
      <c r="G61" s="24">
        <v>4</v>
      </c>
      <c r="H61" s="24">
        <v>5</v>
      </c>
      <c r="I61" s="24">
        <v>6</v>
      </c>
      <c r="J61" s="24">
        <v>7</v>
      </c>
      <c r="K61" s="24">
        <v>8</v>
      </c>
      <c r="L61" s="24">
        <v>9</v>
      </c>
      <c r="M61" s="37" t="s">
        <v>17</v>
      </c>
      <c r="N61" s="37" t="s">
        <v>18</v>
      </c>
      <c r="O61" s="37" t="s">
        <v>19</v>
      </c>
      <c r="P61" s="37" t="s">
        <v>20</v>
      </c>
    </row>
    <row r="62" spans="1:16" ht="15">
      <c r="A62" s="38" t="s">
        <v>103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27" t="e">
        <f t="shared" ref="N62:N69" si="9">((M62/C62)*100)</f>
        <v>#DIV/0!</v>
      </c>
      <c r="O62" s="30">
        <v>18</v>
      </c>
      <c r="P62" s="27" t="e">
        <f t="shared" ref="P62:P69" si="10">((O62/C62)*100)</f>
        <v>#DIV/0!</v>
      </c>
    </row>
    <row r="63" spans="1:16" ht="15">
      <c r="A63" s="38" t="s">
        <v>104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27" t="e">
        <f t="shared" si="9"/>
        <v>#DIV/0!</v>
      </c>
      <c r="O63" s="30">
        <v>7</v>
      </c>
      <c r="P63" s="27" t="e">
        <f t="shared" si="10"/>
        <v>#DIV/0!</v>
      </c>
    </row>
    <row r="64" spans="1:16" ht="15">
      <c r="A64" s="38" t="s">
        <v>105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27" t="e">
        <f t="shared" si="9"/>
        <v>#DIV/0!</v>
      </c>
      <c r="O64" s="30">
        <v>2</v>
      </c>
      <c r="P64" s="27" t="e">
        <f t="shared" si="10"/>
        <v>#DIV/0!</v>
      </c>
    </row>
    <row r="65" spans="1:16" ht="15">
      <c r="A65" s="38" t="s">
        <v>116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27" t="e">
        <f t="shared" si="9"/>
        <v>#DIV/0!</v>
      </c>
      <c r="O65" s="30">
        <v>1</v>
      </c>
      <c r="P65" s="27" t="e">
        <f t="shared" si="10"/>
        <v>#DIV/0!</v>
      </c>
    </row>
    <row r="66" spans="1:16" ht="15">
      <c r="A66" s="38" t="s">
        <v>110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27" t="e">
        <f t="shared" si="9"/>
        <v>#DIV/0!</v>
      </c>
      <c r="O66" s="30">
        <v>9</v>
      </c>
      <c r="P66" s="27" t="e">
        <f t="shared" si="10"/>
        <v>#DIV/0!</v>
      </c>
    </row>
    <row r="67" spans="1:16" ht="15">
      <c r="A67" s="38" t="s">
        <v>118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27" t="e">
        <f t="shared" si="9"/>
        <v>#DIV/0!</v>
      </c>
      <c r="O67" s="30">
        <v>15</v>
      </c>
      <c r="P67" s="27" t="e">
        <f t="shared" si="10"/>
        <v>#DIV/0!</v>
      </c>
    </row>
    <row r="68" spans="1:16" ht="15">
      <c r="A68" s="30" t="s">
        <v>119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27" t="e">
        <f t="shared" si="9"/>
        <v>#DIV/0!</v>
      </c>
      <c r="O68" s="30">
        <v>17</v>
      </c>
      <c r="P68" s="27" t="e">
        <f t="shared" si="10"/>
        <v>#DIV/0!</v>
      </c>
    </row>
    <row r="69" spans="1:16" ht="15">
      <c r="A69" s="38" t="s">
        <v>124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27" t="e">
        <f t="shared" si="9"/>
        <v>#DIV/0!</v>
      </c>
      <c r="O69" s="30">
        <v>17</v>
      </c>
      <c r="P69" s="27" t="e">
        <f t="shared" si="10"/>
        <v>#DIV/0!</v>
      </c>
    </row>
    <row r="70" spans="1:16" ht="15.75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2" t="e">
        <f>AVERAGE(N62:N69)</f>
        <v>#DIV/0!</v>
      </c>
      <c r="O70" s="33"/>
      <c r="P70" s="32" t="e">
        <f>AVERAGE(P62:P69)</f>
        <v>#DIV/0!</v>
      </c>
    </row>
    <row r="71" spans="1:16" ht="15">
      <c r="A71" s="3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40"/>
      <c r="O71" s="35"/>
      <c r="P71" s="40"/>
    </row>
    <row r="72" spans="1:16" ht="15">
      <c r="A72" s="34" t="s">
        <v>125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</row>
    <row r="73" spans="1:16" ht="18" customHeight="1">
      <c r="A73" s="34"/>
      <c r="B73" s="34"/>
      <c r="C73" s="35"/>
      <c r="D73" s="162" t="s">
        <v>1</v>
      </c>
      <c r="E73" s="163"/>
      <c r="F73" s="162" t="s">
        <v>2</v>
      </c>
      <c r="G73" s="164"/>
      <c r="H73" s="164"/>
      <c r="I73" s="163"/>
      <c r="J73" s="162" t="s">
        <v>62</v>
      </c>
      <c r="K73" s="163"/>
      <c r="L73" s="36" t="s">
        <v>4</v>
      </c>
      <c r="M73" s="34"/>
      <c r="N73" s="34"/>
      <c r="O73" s="34"/>
      <c r="P73" s="34"/>
    </row>
    <row r="74" spans="1:16" s="1" customFormat="1" ht="31.5">
      <c r="A74" s="24" t="s">
        <v>73</v>
      </c>
      <c r="B74" s="24" t="s">
        <v>6</v>
      </c>
      <c r="C74" s="24" t="s">
        <v>7</v>
      </c>
      <c r="D74" s="24">
        <v>1</v>
      </c>
      <c r="E74" s="24">
        <v>2</v>
      </c>
      <c r="F74" s="24">
        <v>3</v>
      </c>
      <c r="G74" s="24">
        <v>4</v>
      </c>
      <c r="H74" s="24">
        <v>5</v>
      </c>
      <c r="I74" s="24">
        <v>6</v>
      </c>
      <c r="J74" s="24">
        <v>7</v>
      </c>
      <c r="K74" s="24">
        <v>8</v>
      </c>
      <c r="L74" s="24">
        <v>9</v>
      </c>
      <c r="M74" s="37" t="s">
        <v>17</v>
      </c>
      <c r="N74" s="37" t="s">
        <v>18</v>
      </c>
      <c r="O74" s="37" t="s">
        <v>19</v>
      </c>
      <c r="P74" s="37" t="s">
        <v>20</v>
      </c>
    </row>
    <row r="75" spans="1:16" s="31" customFormat="1" ht="15">
      <c r="A75" s="38" t="s">
        <v>103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27" t="e">
        <f t="shared" ref="N75:N82" si="11">((M75/C75)*100)</f>
        <v>#DIV/0!</v>
      </c>
      <c r="O75" s="30">
        <v>25</v>
      </c>
      <c r="P75" s="27" t="e">
        <f t="shared" ref="P75:P82" si="12">((O75/C75)*100)</f>
        <v>#DIV/0!</v>
      </c>
    </row>
    <row r="76" spans="1:16" ht="15">
      <c r="A76" s="38" t="s">
        <v>104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27" t="e">
        <f t="shared" si="11"/>
        <v>#DIV/0!</v>
      </c>
      <c r="O76" s="30">
        <v>7</v>
      </c>
      <c r="P76" s="27" t="e">
        <f t="shared" si="12"/>
        <v>#DIV/0!</v>
      </c>
    </row>
    <row r="77" spans="1:16" ht="15">
      <c r="A77" s="38" t="s">
        <v>105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27" t="e">
        <f t="shared" si="11"/>
        <v>#DIV/0!</v>
      </c>
      <c r="O77" s="30">
        <v>2</v>
      </c>
      <c r="P77" s="27" t="e">
        <f t="shared" si="12"/>
        <v>#DIV/0!</v>
      </c>
    </row>
    <row r="78" spans="1:16" ht="15">
      <c r="A78" s="38" t="s">
        <v>116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27" t="e">
        <f t="shared" si="11"/>
        <v>#DIV/0!</v>
      </c>
      <c r="O78" s="30">
        <v>9</v>
      </c>
      <c r="P78" s="27" t="e">
        <f t="shared" si="12"/>
        <v>#DIV/0!</v>
      </c>
    </row>
    <row r="79" spans="1:16" ht="15">
      <c r="A79" s="38" t="s">
        <v>110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27" t="e">
        <f t="shared" si="11"/>
        <v>#DIV/0!</v>
      </c>
      <c r="O79" s="30">
        <v>3</v>
      </c>
      <c r="P79" s="27" t="e">
        <f t="shared" si="12"/>
        <v>#DIV/0!</v>
      </c>
    </row>
    <row r="80" spans="1:16" s="1" customFormat="1" ht="15">
      <c r="A80" s="38" t="s">
        <v>118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27" t="e">
        <f t="shared" si="11"/>
        <v>#DIV/0!</v>
      </c>
      <c r="O80" s="30">
        <v>24</v>
      </c>
      <c r="P80" s="27" t="e">
        <f t="shared" si="12"/>
        <v>#DIV/0!</v>
      </c>
    </row>
    <row r="81" spans="1:17" ht="15">
      <c r="A81" s="39" t="s">
        <v>114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27" t="e">
        <f t="shared" si="11"/>
        <v>#DIV/0!</v>
      </c>
      <c r="O81" s="30">
        <v>2</v>
      </c>
      <c r="P81" s="27" t="e">
        <f t="shared" si="12"/>
        <v>#DIV/0!</v>
      </c>
    </row>
    <row r="82" spans="1:17" s="1" customFormat="1" ht="15">
      <c r="A82" s="38" t="s">
        <v>124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27" t="e">
        <f t="shared" si="11"/>
        <v>#DIV/0!</v>
      </c>
      <c r="O82" s="30">
        <v>24</v>
      </c>
      <c r="P82" s="27" t="e">
        <f t="shared" si="12"/>
        <v>#DIV/0!</v>
      </c>
      <c r="Q82"/>
    </row>
    <row r="83" spans="1:17" s="1" customFormat="1" ht="15.75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2" t="e">
        <f>AVERAGE(N75:N82)</f>
        <v>#DIV/0!</v>
      </c>
      <c r="O83" s="33"/>
      <c r="P83" s="32" t="e">
        <f>AVERAGE(P75:P82)</f>
        <v>#DIV/0!</v>
      </c>
      <c r="Q83"/>
    </row>
    <row r="84" spans="1:17" s="1" customFormat="1" ht="15.75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2"/>
      <c r="O84" s="33"/>
      <c r="P84" s="32"/>
      <c r="Q84"/>
    </row>
    <row r="85" spans="1:17" s="1" customFormat="1" ht="15.75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2"/>
      <c r="O85" s="33"/>
      <c r="P85" s="32"/>
      <c r="Q85"/>
    </row>
    <row r="86" spans="1:17" ht="15">
      <c r="A86" s="34" t="s">
        <v>126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</row>
    <row r="87" spans="1:17" s="1" customFormat="1" ht="15.75">
      <c r="A87" s="34"/>
      <c r="B87" s="34"/>
      <c r="C87" s="35"/>
      <c r="D87" s="162" t="s">
        <v>1</v>
      </c>
      <c r="E87" s="163"/>
      <c r="F87" s="162" t="s">
        <v>2</v>
      </c>
      <c r="G87" s="164"/>
      <c r="H87" s="164"/>
      <c r="I87" s="163"/>
      <c r="J87" s="162" t="s">
        <v>62</v>
      </c>
      <c r="K87" s="163"/>
      <c r="L87" s="36" t="s">
        <v>4</v>
      </c>
      <c r="M87" s="34"/>
      <c r="N87" s="34"/>
      <c r="O87" s="34"/>
      <c r="P87" s="34"/>
    </row>
    <row r="88" spans="1:17" s="31" customFormat="1" ht="31.5">
      <c r="A88" s="24" t="s">
        <v>73</v>
      </c>
      <c r="B88" s="24" t="s">
        <v>6</v>
      </c>
      <c r="C88" s="24" t="s">
        <v>7</v>
      </c>
      <c r="D88" s="24">
        <v>1</v>
      </c>
      <c r="E88" s="24">
        <v>2</v>
      </c>
      <c r="F88" s="24">
        <v>3</v>
      </c>
      <c r="G88" s="24">
        <v>4</v>
      </c>
      <c r="H88" s="24">
        <v>5</v>
      </c>
      <c r="I88" s="24">
        <v>6</v>
      </c>
      <c r="J88" s="24">
        <v>7</v>
      </c>
      <c r="K88" s="24">
        <v>8</v>
      </c>
      <c r="L88" s="24">
        <v>9</v>
      </c>
      <c r="M88" s="37" t="s">
        <v>17</v>
      </c>
      <c r="N88" s="37" t="s">
        <v>18</v>
      </c>
      <c r="O88" s="37" t="s">
        <v>19</v>
      </c>
      <c r="P88" s="37" t="s">
        <v>20</v>
      </c>
    </row>
    <row r="89" spans="1:17" ht="15">
      <c r="A89" s="38" t="s">
        <v>103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27" t="e">
        <f t="shared" ref="N89:N95" si="13">((M89/C89)*100)</f>
        <v>#DIV/0!</v>
      </c>
      <c r="O89" s="30">
        <v>15</v>
      </c>
      <c r="P89" s="27" t="e">
        <f t="shared" ref="P89:P95" si="14">((O89/C89)*100)</f>
        <v>#DIV/0!</v>
      </c>
      <c r="Q89" s="1"/>
    </row>
    <row r="90" spans="1:17" s="1" customFormat="1" ht="15">
      <c r="A90" s="38" t="s">
        <v>104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27" t="e">
        <f t="shared" si="13"/>
        <v>#DIV/0!</v>
      </c>
      <c r="O90" s="30">
        <v>1</v>
      </c>
      <c r="P90" s="27" t="e">
        <f t="shared" si="14"/>
        <v>#DIV/0!</v>
      </c>
      <c r="Q90"/>
    </row>
    <row r="91" spans="1:17" s="1" customFormat="1" ht="15">
      <c r="A91" s="38" t="s">
        <v>105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27" t="e">
        <f t="shared" si="13"/>
        <v>#DIV/0!</v>
      </c>
      <c r="O91" s="30">
        <v>1</v>
      </c>
      <c r="P91" s="27" t="e">
        <f t="shared" si="14"/>
        <v>#DIV/0!</v>
      </c>
      <c r="Q91"/>
    </row>
    <row r="92" spans="1:17" s="1" customFormat="1" ht="15">
      <c r="A92" s="38" t="s">
        <v>116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27" t="e">
        <f t="shared" si="13"/>
        <v>#DIV/0!</v>
      </c>
      <c r="O92" s="30">
        <v>0</v>
      </c>
      <c r="P92" s="27" t="e">
        <f t="shared" si="14"/>
        <v>#DIV/0!</v>
      </c>
      <c r="Q92"/>
    </row>
    <row r="93" spans="1:17" s="1" customFormat="1" ht="15">
      <c r="A93" s="38" t="s">
        <v>122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27" t="e">
        <f t="shared" si="13"/>
        <v>#DIV/0!</v>
      </c>
      <c r="O93" s="30">
        <v>15</v>
      </c>
      <c r="P93" s="27" t="e">
        <f t="shared" si="14"/>
        <v>#DIV/0!</v>
      </c>
    </row>
    <row r="94" spans="1:17" s="1" customFormat="1" ht="15">
      <c r="A94" s="38" t="s">
        <v>118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27" t="e">
        <f t="shared" si="13"/>
        <v>#DIV/0!</v>
      </c>
      <c r="O94" s="30">
        <v>12</v>
      </c>
      <c r="P94" s="27" t="e">
        <f t="shared" si="14"/>
        <v>#DIV/0!</v>
      </c>
    </row>
    <row r="95" spans="1:17" ht="13.5" customHeight="1">
      <c r="A95" s="38" t="s">
        <v>124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27" t="e">
        <f t="shared" si="13"/>
        <v>#DIV/0!</v>
      </c>
      <c r="O95" s="30">
        <v>13</v>
      </c>
      <c r="P95" s="27" t="e">
        <f t="shared" si="14"/>
        <v>#DIV/0!</v>
      </c>
    </row>
    <row r="96" spans="1:17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2" t="e">
        <f>AVERAGE(N89:N95)</f>
        <v>#DIV/0!</v>
      </c>
      <c r="O96" s="33"/>
      <c r="P96" s="32" t="e">
        <f>AVERAGE(P89:P95)</f>
        <v>#DIV/0!</v>
      </c>
    </row>
    <row r="97" spans="1:16" ht="15" customHeight="1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2"/>
      <c r="O97" s="33"/>
      <c r="P97" s="32"/>
    </row>
    <row r="98" spans="1:16" ht="15" customHeight="1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2"/>
      <c r="O98" s="33"/>
      <c r="P98" s="32"/>
    </row>
    <row r="99" spans="1:16" ht="19.5" customHeight="1">
      <c r="A99" s="34" t="s">
        <v>127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</row>
    <row r="100" spans="1:16" ht="18" customHeight="1">
      <c r="A100" s="34"/>
      <c r="B100" s="34"/>
      <c r="C100" s="35"/>
      <c r="D100" s="162" t="s">
        <v>1</v>
      </c>
      <c r="E100" s="163"/>
      <c r="F100" s="162" t="s">
        <v>2</v>
      </c>
      <c r="G100" s="164"/>
      <c r="H100" s="164"/>
      <c r="I100" s="163"/>
      <c r="J100" s="162" t="s">
        <v>62</v>
      </c>
      <c r="K100" s="163"/>
      <c r="L100" s="36" t="s">
        <v>4</v>
      </c>
      <c r="M100" s="34"/>
      <c r="N100" s="34"/>
      <c r="O100" s="34"/>
      <c r="P100" s="34"/>
    </row>
    <row r="101" spans="1:16" ht="35.25" customHeight="1">
      <c r="A101" s="24" t="s">
        <v>73</v>
      </c>
      <c r="B101" s="24" t="s">
        <v>6</v>
      </c>
      <c r="C101" s="24" t="s">
        <v>7</v>
      </c>
      <c r="D101" s="24">
        <v>1</v>
      </c>
      <c r="E101" s="24">
        <v>2</v>
      </c>
      <c r="F101" s="24">
        <v>3</v>
      </c>
      <c r="G101" s="24">
        <v>4</v>
      </c>
      <c r="H101" s="24">
        <v>5</v>
      </c>
      <c r="I101" s="24">
        <v>6</v>
      </c>
      <c r="J101" s="24">
        <v>7</v>
      </c>
      <c r="K101" s="24">
        <v>8</v>
      </c>
      <c r="L101" s="24">
        <v>9</v>
      </c>
      <c r="M101" s="37" t="s">
        <v>17</v>
      </c>
      <c r="N101" s="37" t="s">
        <v>18</v>
      </c>
      <c r="O101" s="37" t="s">
        <v>19</v>
      </c>
      <c r="P101" s="37" t="s">
        <v>20</v>
      </c>
    </row>
    <row r="102" spans="1:16" ht="15" customHeight="1">
      <c r="A102" s="38" t="s">
        <v>103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27" t="e">
        <f t="shared" ref="N102:N108" si="15">((M102/C102)*100)</f>
        <v>#DIV/0!</v>
      </c>
      <c r="O102" s="30">
        <v>16</v>
      </c>
      <c r="P102" s="27" t="e">
        <f t="shared" ref="P102:P108" si="16">((O102/C102)*100)</f>
        <v>#DIV/0!</v>
      </c>
    </row>
    <row r="103" spans="1:16" ht="15" customHeight="1">
      <c r="A103" s="38" t="s">
        <v>104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27" t="e">
        <f t="shared" si="15"/>
        <v>#DIV/0!</v>
      </c>
      <c r="O103" s="30">
        <v>6</v>
      </c>
      <c r="P103" s="27" t="e">
        <f t="shared" si="16"/>
        <v>#DIV/0!</v>
      </c>
    </row>
    <row r="104" spans="1:16" ht="15" customHeight="1">
      <c r="A104" s="38" t="s">
        <v>105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27" t="e">
        <f t="shared" si="15"/>
        <v>#DIV/0!</v>
      </c>
      <c r="O104" s="30">
        <v>0</v>
      </c>
      <c r="P104" s="27" t="e">
        <f t="shared" si="16"/>
        <v>#DIV/0!</v>
      </c>
    </row>
    <row r="105" spans="1:16" ht="15" customHeight="1">
      <c r="A105" s="38" t="s">
        <v>116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27" t="e">
        <f t="shared" si="15"/>
        <v>#DIV/0!</v>
      </c>
      <c r="O105" s="30">
        <v>0</v>
      </c>
      <c r="P105" s="27" t="e">
        <f t="shared" si="16"/>
        <v>#DIV/0!</v>
      </c>
    </row>
    <row r="106" spans="1:16" ht="15.75" customHeight="1">
      <c r="A106" s="38" t="s">
        <v>122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27" t="e">
        <f t="shared" si="15"/>
        <v>#DIV/0!</v>
      </c>
      <c r="O106" s="30">
        <v>16</v>
      </c>
      <c r="P106" s="27" t="e">
        <f t="shared" si="16"/>
        <v>#DIV/0!</v>
      </c>
    </row>
    <row r="107" spans="1:16" ht="15" customHeight="1">
      <c r="A107" s="38" t="s">
        <v>118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27" t="e">
        <f t="shared" si="15"/>
        <v>#DIV/0!</v>
      </c>
      <c r="O107" s="30">
        <v>11</v>
      </c>
      <c r="P107" s="27" t="e">
        <f t="shared" si="16"/>
        <v>#DIV/0!</v>
      </c>
    </row>
    <row r="108" spans="1:16" ht="15" customHeight="1">
      <c r="A108" s="38" t="s">
        <v>124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27" t="e">
        <f t="shared" si="15"/>
        <v>#DIV/0!</v>
      </c>
      <c r="O108" s="30">
        <v>12</v>
      </c>
      <c r="P108" s="27" t="e">
        <f t="shared" si="16"/>
        <v>#DIV/0!</v>
      </c>
    </row>
    <row r="109" spans="1:16" ht="18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2" t="e">
        <f>AVERAGE(N102:N108)</f>
        <v>#DIV/0!</v>
      </c>
      <c r="O109" s="33"/>
      <c r="P109" s="32" t="e">
        <f>AVERAGE(P102:P108)</f>
        <v>#DIV/0!</v>
      </c>
    </row>
    <row r="110" spans="1:16" ht="21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</row>
    <row r="111" spans="1:16" ht="21" customHeight="1"/>
    <row r="112" spans="1:16" ht="21" customHeight="1"/>
    <row r="113" spans="2:18" ht="21" customHeight="1"/>
    <row r="114" spans="2:18" ht="12.75" customHeight="1">
      <c r="Q114" s="2"/>
      <c r="R114" s="3"/>
    </row>
    <row r="115" spans="2:18" ht="18.75" customHeight="1">
      <c r="B115" s="23"/>
      <c r="C115" s="23"/>
      <c r="D115" s="168" t="s">
        <v>1</v>
      </c>
      <c r="E115" s="169"/>
      <c r="F115" s="168" t="s">
        <v>2</v>
      </c>
      <c r="G115" s="170"/>
      <c r="H115" s="170"/>
      <c r="I115" s="169"/>
      <c r="J115" s="168" t="s">
        <v>62</v>
      </c>
      <c r="K115" s="169"/>
      <c r="L115" s="24" t="s">
        <v>4</v>
      </c>
      <c r="M115" s="23"/>
      <c r="N115" s="23"/>
      <c r="O115" s="23"/>
      <c r="P115" s="23"/>
    </row>
    <row r="116" spans="2:18" ht="30" customHeight="1">
      <c r="B116" s="5"/>
      <c r="C116" s="5"/>
      <c r="D116" s="165" t="s">
        <v>1</v>
      </c>
      <c r="E116" s="166"/>
      <c r="F116" s="165" t="s">
        <v>2</v>
      </c>
      <c r="G116" s="167"/>
      <c r="H116" s="167"/>
      <c r="I116" s="166"/>
      <c r="J116" s="165" t="s">
        <v>62</v>
      </c>
      <c r="K116" s="166"/>
      <c r="L116" s="44" t="s">
        <v>4</v>
      </c>
      <c r="M116" s="5"/>
      <c r="N116" s="5"/>
      <c r="O116" s="5"/>
      <c r="P116" s="5"/>
    </row>
    <row r="117" spans="2:18" ht="32.25" customHeight="1">
      <c r="B117" s="44" t="s">
        <v>63</v>
      </c>
      <c r="C117" s="44" t="s">
        <v>7</v>
      </c>
      <c r="D117" s="44">
        <v>1</v>
      </c>
      <c r="E117" s="44">
        <v>2</v>
      </c>
      <c r="F117" s="44">
        <v>3</v>
      </c>
      <c r="G117" s="44">
        <v>4</v>
      </c>
      <c r="H117" s="44">
        <v>5</v>
      </c>
      <c r="I117" s="44">
        <v>6</v>
      </c>
      <c r="J117" s="44">
        <v>7</v>
      </c>
      <c r="K117" s="44">
        <v>8</v>
      </c>
      <c r="L117" s="44">
        <v>9</v>
      </c>
      <c r="M117" s="6" t="s">
        <v>17</v>
      </c>
      <c r="N117" s="6" t="s">
        <v>18</v>
      </c>
      <c r="O117" s="6" t="s">
        <v>19</v>
      </c>
      <c r="P117" s="6" t="s">
        <v>20</v>
      </c>
    </row>
    <row r="118" spans="2:18" ht="21.75" customHeight="1">
      <c r="B118" s="16" t="s">
        <v>128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25"/>
      <c r="O118" s="16"/>
      <c r="P118" s="25"/>
    </row>
    <row r="119" spans="2:18" ht="21" customHeight="1">
      <c r="B119" s="16" t="s">
        <v>129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6"/>
      <c r="O119" s="28"/>
      <c r="P119" s="26"/>
    </row>
    <row r="120" spans="2:18" ht="21" customHeight="1">
      <c r="B120" s="16" t="s">
        <v>105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25"/>
      <c r="O120" s="16"/>
      <c r="P120" s="25"/>
    </row>
    <row r="121" spans="2:18" ht="21" customHeight="1">
      <c r="B121" s="16" t="s">
        <v>130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25"/>
      <c r="O121" s="16"/>
      <c r="P121" s="25"/>
    </row>
    <row r="122" spans="2:18" ht="21" customHeight="1">
      <c r="B122" s="16" t="s">
        <v>131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25"/>
      <c r="O122" s="16"/>
      <c r="P122" s="25"/>
    </row>
    <row r="123" spans="2:18" ht="15">
      <c r="B123" s="16" t="s">
        <v>132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25"/>
      <c r="O123" s="16"/>
      <c r="P123" s="25"/>
    </row>
    <row r="124" spans="2:18" ht="21" customHeight="1">
      <c r="B124" s="16" t="s">
        <v>133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25"/>
      <c r="O124" s="16"/>
      <c r="P124" s="25"/>
    </row>
    <row r="125" spans="2:18" ht="15">
      <c r="B125" s="16" t="s">
        <v>134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25"/>
      <c r="O125" s="16"/>
      <c r="P125" s="25"/>
    </row>
    <row r="126" spans="2:18" ht="15">
      <c r="B126" s="16" t="s">
        <v>135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25"/>
      <c r="O126" s="16"/>
      <c r="P126" s="25"/>
    </row>
    <row r="127" spans="2:18" ht="15">
      <c r="B127" s="16" t="s">
        <v>136</v>
      </c>
      <c r="C127" s="29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27"/>
    </row>
    <row r="128" spans="2:18" ht="15">
      <c r="B128" s="16" t="s">
        <v>118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25"/>
      <c r="O128" s="16"/>
      <c r="P128" s="25"/>
    </row>
    <row r="129" spans="2:16" ht="15">
      <c r="B129" s="16" t="s">
        <v>137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25"/>
      <c r="O129" s="16"/>
      <c r="P129" s="25"/>
    </row>
    <row r="130" spans="2:16" ht="15">
      <c r="B130" s="16" t="s">
        <v>138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25"/>
      <c r="O130" s="28"/>
      <c r="P130" s="25"/>
    </row>
    <row r="131" spans="2:16" ht="15">
      <c r="B131" s="16" t="s">
        <v>139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25"/>
      <c r="O131" s="28"/>
      <c r="P131" s="25"/>
    </row>
    <row r="132" spans="2:16" ht="15">
      <c r="B132" s="16" t="s">
        <v>114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6"/>
      <c r="O132" s="28"/>
      <c r="P132" s="26"/>
    </row>
    <row r="133" spans="2:16" ht="15">
      <c r="B133" s="16" t="s">
        <v>140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25"/>
      <c r="O133" s="28"/>
      <c r="P133" s="25"/>
    </row>
    <row r="134" spans="2:16" ht="15">
      <c r="B134" s="16" t="s">
        <v>122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25"/>
      <c r="O134" s="28"/>
      <c r="P134" s="25"/>
    </row>
    <row r="135" spans="2:16" ht="15">
      <c r="B135" s="16" t="s">
        <v>141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25"/>
      <c r="O135" s="16"/>
      <c r="P135" s="25"/>
    </row>
    <row r="136" spans="2:16" ht="20.2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 t="s">
        <v>142</v>
      </c>
      <c r="M136" s="10"/>
      <c r="N136" s="12" t="e">
        <f>AVERAGE(N118:N135)</f>
        <v>#DIV/0!</v>
      </c>
      <c r="O136" s="12"/>
      <c r="P136" s="12" t="e">
        <f>AVERAGE(P118:P135)</f>
        <v>#DIV/0!</v>
      </c>
    </row>
    <row r="137" spans="2:16" ht="20.25">
      <c r="L137" s="13"/>
      <c r="N137" s="14"/>
      <c r="O137" s="14"/>
      <c r="P137" s="14"/>
    </row>
    <row r="142" spans="2:16" ht="31.5">
      <c r="B142" s="44"/>
      <c r="C142" s="6" t="s">
        <v>18</v>
      </c>
      <c r="D142" s="6" t="s">
        <v>20</v>
      </c>
    </row>
    <row r="143" spans="2:16" ht="18">
      <c r="B143" s="7" t="s">
        <v>128</v>
      </c>
      <c r="C143" s="8"/>
      <c r="D143" s="15"/>
    </row>
    <row r="144" spans="2:16" ht="18">
      <c r="B144" s="7" t="s">
        <v>129</v>
      </c>
      <c r="C144" s="9"/>
      <c r="D144" s="9"/>
    </row>
    <row r="145" spans="2:4" ht="18">
      <c r="B145" s="7" t="s">
        <v>105</v>
      </c>
      <c r="C145" s="8"/>
      <c r="D145" s="8"/>
    </row>
    <row r="146" spans="2:4" ht="18">
      <c r="B146" s="7" t="s">
        <v>130</v>
      </c>
      <c r="C146" s="8"/>
      <c r="D146" s="8"/>
    </row>
    <row r="147" spans="2:4" ht="18">
      <c r="B147" s="7" t="s">
        <v>131</v>
      </c>
      <c r="C147" s="8"/>
      <c r="D147" s="8"/>
    </row>
    <row r="148" spans="2:4" ht="18">
      <c r="B148" s="7" t="s">
        <v>132</v>
      </c>
      <c r="C148" s="8"/>
      <c r="D148" s="8"/>
    </row>
    <row r="149" spans="2:4" ht="18">
      <c r="B149" s="7" t="s">
        <v>133</v>
      </c>
      <c r="C149" s="8"/>
      <c r="D149" s="15"/>
    </row>
    <row r="150" spans="2:4" ht="18">
      <c r="B150" s="7" t="s">
        <v>134</v>
      </c>
      <c r="C150" s="8"/>
      <c r="D150" s="8"/>
    </row>
    <row r="151" spans="2:4" ht="18">
      <c r="B151" s="7" t="s">
        <v>135</v>
      </c>
      <c r="C151" s="8"/>
      <c r="D151" s="8"/>
    </row>
    <row r="152" spans="2:4" ht="18">
      <c r="B152" s="7" t="s">
        <v>136</v>
      </c>
      <c r="C152" s="8"/>
      <c r="D152" s="8"/>
    </row>
    <row r="153" spans="2:4" ht="18">
      <c r="B153" s="7" t="s">
        <v>118</v>
      </c>
      <c r="C153" s="8"/>
      <c r="D153" s="15"/>
    </row>
    <row r="154" spans="2:4" ht="18">
      <c r="B154" s="7" t="s">
        <v>137</v>
      </c>
      <c r="C154" s="15"/>
      <c r="D154" s="15"/>
    </row>
    <row r="155" spans="2:4" ht="18">
      <c r="B155" s="7" t="s">
        <v>138</v>
      </c>
      <c r="C155" s="8"/>
      <c r="D155" s="8"/>
    </row>
    <row r="156" spans="2:4" ht="18">
      <c r="B156" s="7" t="s">
        <v>139</v>
      </c>
      <c r="C156" s="15"/>
      <c r="D156" s="15"/>
    </row>
    <row r="157" spans="2:4" ht="18">
      <c r="B157" s="7" t="s">
        <v>114</v>
      </c>
      <c r="C157" s="9"/>
      <c r="D157" s="9"/>
    </row>
    <row r="158" spans="2:4" ht="18">
      <c r="B158" s="7" t="s">
        <v>140</v>
      </c>
      <c r="C158" s="8"/>
      <c r="D158" s="8"/>
    </row>
    <row r="159" spans="2:4" ht="18">
      <c r="B159" s="7" t="s">
        <v>122</v>
      </c>
      <c r="C159" s="15"/>
      <c r="D159" s="15"/>
    </row>
    <row r="160" spans="2:4" ht="18">
      <c r="B160" s="7" t="s">
        <v>141</v>
      </c>
      <c r="C160" s="8"/>
      <c r="D160" s="8"/>
    </row>
    <row r="163" spans="17:19" ht="30">
      <c r="Q163" s="16" t="s">
        <v>143</v>
      </c>
      <c r="R163" s="17" t="s">
        <v>18</v>
      </c>
      <c r="S163" s="17" t="s">
        <v>20</v>
      </c>
    </row>
    <row r="164" spans="17:19" ht="24" customHeight="1">
      <c r="Q164" s="18" t="s">
        <v>128</v>
      </c>
      <c r="R164" s="19">
        <v>97.979797979797979</v>
      </c>
      <c r="S164" s="20">
        <v>100</v>
      </c>
    </row>
    <row r="165" spans="17:19" ht="24" customHeight="1">
      <c r="Q165" s="18" t="s">
        <v>129</v>
      </c>
      <c r="R165" s="21">
        <v>22</v>
      </c>
      <c r="S165" s="21">
        <v>50</v>
      </c>
    </row>
    <row r="166" spans="17:19" ht="24" customHeight="1">
      <c r="Q166" s="18" t="s">
        <v>105</v>
      </c>
      <c r="R166" s="19">
        <v>40</v>
      </c>
      <c r="S166" s="19">
        <v>63</v>
      </c>
    </row>
    <row r="167" spans="17:19" ht="24" customHeight="1">
      <c r="Q167" s="18" t="s">
        <v>130</v>
      </c>
      <c r="R167" s="19">
        <v>81.818181818181827</v>
      </c>
      <c r="S167" s="19">
        <v>90.909090909090907</v>
      </c>
    </row>
    <row r="168" spans="17:19" ht="24" customHeight="1">
      <c r="Q168" s="18" t="s">
        <v>131</v>
      </c>
      <c r="R168" s="19">
        <v>76.666666666666671</v>
      </c>
      <c r="S168" s="19">
        <v>93.333333333333329</v>
      </c>
    </row>
    <row r="169" spans="17:19" ht="24" customHeight="1">
      <c r="Q169" s="18" t="s">
        <v>132</v>
      </c>
      <c r="R169" s="19">
        <v>64</v>
      </c>
      <c r="S169" s="19">
        <v>84</v>
      </c>
    </row>
    <row r="170" spans="17:19" ht="24" customHeight="1">
      <c r="Q170" s="18" t="s">
        <v>133</v>
      </c>
      <c r="R170" s="19">
        <v>93.333333333333329</v>
      </c>
      <c r="S170" s="20">
        <v>100</v>
      </c>
    </row>
    <row r="171" spans="17:19" ht="24" customHeight="1">
      <c r="Q171" s="18" t="s">
        <v>134</v>
      </c>
      <c r="R171" s="19">
        <v>84</v>
      </c>
      <c r="S171" s="19">
        <v>98</v>
      </c>
    </row>
    <row r="172" spans="17:19" ht="24" customHeight="1">
      <c r="Q172" s="18" t="s">
        <v>135</v>
      </c>
      <c r="R172" s="19">
        <v>52</v>
      </c>
      <c r="S172" s="19">
        <v>68</v>
      </c>
    </row>
    <row r="173" spans="17:19" ht="24" customHeight="1">
      <c r="Q173" s="18" t="s">
        <v>136</v>
      </c>
      <c r="R173" s="19">
        <v>20</v>
      </c>
      <c r="S173" s="19">
        <v>65</v>
      </c>
    </row>
    <row r="174" spans="17:19" ht="24" customHeight="1">
      <c r="Q174" s="18" t="s">
        <v>118</v>
      </c>
      <c r="R174" s="19">
        <v>97.368421052631575</v>
      </c>
      <c r="S174" s="20">
        <v>100</v>
      </c>
    </row>
    <row r="175" spans="17:19" ht="24" customHeight="1">
      <c r="Q175" s="18" t="s">
        <v>137</v>
      </c>
      <c r="R175" s="20">
        <v>100</v>
      </c>
      <c r="S175" s="20">
        <v>100</v>
      </c>
    </row>
    <row r="176" spans="17:19" ht="24" customHeight="1">
      <c r="Q176" s="18" t="s">
        <v>138</v>
      </c>
      <c r="R176" s="19">
        <v>15.384615384615385</v>
      </c>
      <c r="S176" s="19">
        <v>76.923076923076934</v>
      </c>
    </row>
    <row r="177" spans="17:19" ht="24" customHeight="1">
      <c r="Q177" s="18" t="s">
        <v>139</v>
      </c>
      <c r="R177" s="20">
        <v>100</v>
      </c>
      <c r="S177" s="20">
        <v>100</v>
      </c>
    </row>
    <row r="178" spans="17:19" ht="24" customHeight="1">
      <c r="Q178" s="18" t="s">
        <v>114</v>
      </c>
      <c r="R178" s="21">
        <v>43.478260869565219</v>
      </c>
      <c r="S178" s="21">
        <v>73.91304347826086</v>
      </c>
    </row>
    <row r="179" spans="17:19" ht="24" customHeight="1">
      <c r="Q179" s="18" t="s">
        <v>140</v>
      </c>
      <c r="R179" s="19">
        <v>80</v>
      </c>
      <c r="S179" s="19">
        <v>80</v>
      </c>
    </row>
    <row r="180" spans="17:19" ht="24" customHeight="1">
      <c r="Q180" s="18" t="s">
        <v>122</v>
      </c>
      <c r="R180" s="20">
        <v>100</v>
      </c>
      <c r="S180" s="20">
        <v>100</v>
      </c>
    </row>
    <row r="181" spans="17:19" ht="24" customHeight="1">
      <c r="Q181" s="18" t="s">
        <v>141</v>
      </c>
      <c r="R181" s="19">
        <v>86.956521739130437</v>
      </c>
      <c r="S181" s="19">
        <v>95.652173913043484</v>
      </c>
    </row>
    <row r="182" spans="17:19">
      <c r="Q182" s="22"/>
      <c r="R182" s="22"/>
      <c r="S182" s="22"/>
    </row>
  </sheetData>
  <mergeCells count="30"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  <mergeCell ref="F17:I17"/>
    <mergeCell ref="J17:K17"/>
    <mergeCell ref="D32:E32"/>
    <mergeCell ref="F32:I32"/>
    <mergeCell ref="J32:K32"/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A2EE18CB3E64ABAFABBB6986B9A32" ma:contentTypeVersion="14" ma:contentTypeDescription="Create a new document." ma:contentTypeScope="" ma:versionID="77c17746d369f830365a0228d73cb1b5">
  <xsd:schema xmlns:xsd="http://www.w3.org/2001/XMLSchema" xmlns:xs="http://www.w3.org/2001/XMLSchema" xmlns:p="http://schemas.microsoft.com/office/2006/metadata/properties" xmlns:ns2="22654dc4-867b-4591-8088-9c5fa2ce1fc8" xmlns:ns3="0737c322-3a19-4541-9cff-efbbbad6ee01" targetNamespace="http://schemas.microsoft.com/office/2006/metadata/properties" ma:root="true" ma:fieldsID="3736ab6d7162001d2a86e1ec8790087a" ns2:_="" ns3:_="">
    <xsd:import namespace="22654dc4-867b-4591-8088-9c5fa2ce1fc8"/>
    <xsd:import namespace="0737c322-3a19-4541-9cff-efbbbad6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54dc4-867b-4591-8088-9c5fa2ce1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106d83-448a-4aa3-89fb-861fa519b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7c322-3a19-4541-9cff-efbbbad6ee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653ab-a2e0-46a8-b5e6-02da2c4d25bd}" ma:internalName="TaxCatchAll" ma:showField="CatchAllData" ma:web="0737c322-3a19-4541-9cff-efbbbad6e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54dc4-867b-4591-8088-9c5fa2ce1fc8">
      <Terms xmlns="http://schemas.microsoft.com/office/infopath/2007/PartnerControls"/>
    </lcf76f155ced4ddcb4097134ff3c332f>
    <TaxCatchAll xmlns="0737c322-3a19-4541-9cff-efbbbad6ee01" xsi:nil="true"/>
  </documentManagement>
</p:properties>
</file>

<file path=customXml/itemProps1.xml><?xml version="1.0" encoding="utf-8"?>
<ds:datastoreItem xmlns:ds="http://schemas.openxmlformats.org/officeDocument/2006/customXml" ds:itemID="{DDCB0076-04A9-47C0-B658-07166ED331E1}"/>
</file>

<file path=customXml/itemProps2.xml><?xml version="1.0" encoding="utf-8"?>
<ds:datastoreItem xmlns:ds="http://schemas.openxmlformats.org/officeDocument/2006/customXml" ds:itemID="{3D11110E-B161-45FE-ADDC-C9A779DCE269}"/>
</file>

<file path=customXml/itemProps3.xml><?xml version="1.0" encoding="utf-8"?>
<ds:datastoreItem xmlns:ds="http://schemas.openxmlformats.org/officeDocument/2006/customXml" ds:itemID="{569F87B4-F9B2-4A80-8DAB-A667FEFF7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exam section SMPAPHM 2025</cp:lastModifiedBy>
  <cp:revision/>
  <dcterms:created xsi:type="dcterms:W3CDTF">2005-03-29T23:57:46Z</dcterms:created>
  <dcterms:modified xsi:type="dcterms:W3CDTF">2025-11-21T09:45:00Z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0x0101004FEA2EE18CB3E64ABAFABBB6986B9A32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{"FileActivityType":"9","FileActivityTimeStamp":"2025-07-29T12:03:02.257Z","FileActivityUsersOnPage":[{"DisplayName":"exam section SMPAPHM 2025","Id":"exam.section@smpapmasna.edu.moe.bn"}],"FileActivityNavigationId":null}</vt:lpwstr>
  </property>
  <property fmtid="{D5CDD505-2E9C-101B-9397-08002B2CF9AE}" pid="9" name="TriggerFlowInfo">
    <vt:lpwstr/>
  </property>
</Properties>
</file>