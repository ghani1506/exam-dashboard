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Owner\Documents\SMPAPHM\2025\EXAM\"/>
    </mc:Choice>
  </mc:AlternateContent>
  <xr:revisionPtr revIDLastSave="2775" documentId="13_ncr:1_{8383044F-4398-49AB-916E-B974A0A9C342}" xr6:coauthVersionLast="47" xr6:coauthVersionMax="47" xr10:uidLastSave="{C4547A96-BE94-4429-AC75-2E7D24CE5588}"/>
  <bookViews>
    <workbookView xWindow="-110" yWindow="-110" windowWidth="19420" windowHeight="10300" firstSheet="5" xr2:uid="{00000000-000D-0000-FFFF-FFFF00000000}"/>
  </bookViews>
  <sheets>
    <sheet name="ANALYSIS BY SUBJECTS" sheetId="19" r:id="rId1"/>
    <sheet name="OVERALL PERFORMANCES" sheetId="20" r:id="rId2"/>
    <sheet name="CLASS AVERAGE" sheetId="18" state="hidden" r:id="rId3"/>
    <sheet name="By Class" sheetId="21" state="hidden" r:id="rId4"/>
    <sheet name="IGCSE SUBJECTS" sheetId="23" state="hidden" r:id="rId5"/>
    <sheet name="OVERALL ANALYSIS" sheetId="24" r:id="rId6"/>
    <sheet name="Sheet1" sheetId="22" state="hidden" r:id="rId7"/>
    <sheet name="Sheet2" sheetId="25" state="hidden" r:id="rId8"/>
    <sheet name="3'O' and 5'O' &amp; above" sheetId="27" r:id="rId9"/>
    <sheet name="No.of Credits Attained" sheetId="28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Print_Area" localSheetId="3">'By Class'!$A$85:$P$110</definedName>
    <definedName name="_xlnm.Print_Area" localSheetId="2">'CLASS AVERAGE'!$A$1:$M$33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7" l="1"/>
  <c r="K11" i="27"/>
  <c r="J11" i="27"/>
  <c r="I11" i="27"/>
  <c r="H11" i="27"/>
  <c r="G11" i="27"/>
  <c r="F11" i="27"/>
  <c r="E11" i="27"/>
  <c r="D11" i="27"/>
  <c r="C11" i="27"/>
  <c r="C10" i="27" a="1"/>
  <c r="C10" i="27"/>
  <c r="C9" i="27" a="1"/>
  <c r="C9" i="27"/>
  <c r="C8" i="27" a="1"/>
  <c r="C8" i="27"/>
  <c r="C7" i="27" a="1"/>
  <c r="C7" i="27"/>
  <c r="C6" i="27" a="1"/>
  <c r="C6" i="27"/>
  <c r="C5" i="27" a="1"/>
  <c r="C5" i="27"/>
  <c r="L196" i="19"/>
  <c r="K196" i="19"/>
  <c r="J196" i="19"/>
  <c r="I196" i="19"/>
  <c r="H196" i="19"/>
  <c r="G196" i="19"/>
  <c r="F196" i="19"/>
  <c r="E196" i="19"/>
  <c r="D196" i="19"/>
  <c r="E195" i="19"/>
  <c r="E197" i="19" s="1"/>
  <c r="F33" i="24" s="1"/>
  <c r="F195" i="19"/>
  <c r="F197" i="19" s="1"/>
  <c r="G33" i="24" s="1"/>
  <c r="G195" i="19"/>
  <c r="G197" i="19" s="1"/>
  <c r="H33" i="24" s="1"/>
  <c r="H195" i="19"/>
  <c r="H197" i="19" s="1"/>
  <c r="I33" i="24" s="1"/>
  <c r="I195" i="19"/>
  <c r="I197" i="19" s="1"/>
  <c r="J33" i="24" s="1"/>
  <c r="J195" i="19"/>
  <c r="J197" i="19" s="1"/>
  <c r="K33" i="24" s="1"/>
  <c r="K195" i="19"/>
  <c r="K197" i="19" s="1"/>
  <c r="L33" i="24" s="1"/>
  <c r="L195" i="19"/>
  <c r="L197" i="19" s="1"/>
  <c r="M33" i="24" s="1"/>
  <c r="D195" i="19"/>
  <c r="L188" i="19"/>
  <c r="K188" i="19"/>
  <c r="J188" i="19"/>
  <c r="I188" i="19"/>
  <c r="H188" i="19"/>
  <c r="G188" i="19"/>
  <c r="F188" i="19"/>
  <c r="E188" i="19"/>
  <c r="D188" i="19"/>
  <c r="L187" i="19"/>
  <c r="K187" i="19"/>
  <c r="J187" i="19"/>
  <c r="I187" i="19"/>
  <c r="H187" i="19"/>
  <c r="G187" i="19"/>
  <c r="F187" i="19"/>
  <c r="E187" i="19"/>
  <c r="D187" i="19"/>
  <c r="L181" i="19"/>
  <c r="K181" i="19"/>
  <c r="J181" i="19"/>
  <c r="I181" i="19"/>
  <c r="H181" i="19"/>
  <c r="G181" i="19"/>
  <c r="F181" i="19"/>
  <c r="E181" i="19"/>
  <c r="D181" i="19"/>
  <c r="L180" i="19"/>
  <c r="K180" i="19"/>
  <c r="J180" i="19"/>
  <c r="I180" i="19"/>
  <c r="H180" i="19"/>
  <c r="G180" i="19"/>
  <c r="F180" i="19"/>
  <c r="E180" i="19"/>
  <c r="D180" i="19"/>
  <c r="L174" i="19"/>
  <c r="K174" i="19"/>
  <c r="J174" i="19"/>
  <c r="I174" i="19"/>
  <c r="H174" i="19"/>
  <c r="G174" i="19"/>
  <c r="F174" i="19"/>
  <c r="E174" i="19"/>
  <c r="D174" i="19"/>
  <c r="L173" i="19"/>
  <c r="K173" i="19"/>
  <c r="J173" i="19"/>
  <c r="I173" i="19"/>
  <c r="H173" i="19"/>
  <c r="G173" i="19"/>
  <c r="F173" i="19"/>
  <c r="E173" i="19"/>
  <c r="D173" i="19"/>
  <c r="L166" i="19"/>
  <c r="K166" i="19"/>
  <c r="J166" i="19"/>
  <c r="I166" i="19"/>
  <c r="H166" i="19"/>
  <c r="G166" i="19"/>
  <c r="F166" i="19"/>
  <c r="E166" i="19"/>
  <c r="D166" i="19"/>
  <c r="L165" i="19"/>
  <c r="K165" i="19"/>
  <c r="J165" i="19"/>
  <c r="I165" i="19"/>
  <c r="H165" i="19"/>
  <c r="G165" i="19"/>
  <c r="F165" i="19"/>
  <c r="E165" i="19"/>
  <c r="D165" i="19"/>
  <c r="D158" i="19"/>
  <c r="L158" i="19"/>
  <c r="K158" i="19"/>
  <c r="J158" i="19"/>
  <c r="I158" i="19"/>
  <c r="H158" i="19"/>
  <c r="G158" i="19"/>
  <c r="F158" i="19"/>
  <c r="E158" i="19"/>
  <c r="L157" i="19"/>
  <c r="K157" i="19"/>
  <c r="K159" i="19" s="1"/>
  <c r="J157" i="19"/>
  <c r="I157" i="19"/>
  <c r="H157" i="19"/>
  <c r="G157" i="19"/>
  <c r="F157" i="19"/>
  <c r="E157" i="19"/>
  <c r="D157" i="19"/>
  <c r="D159" i="19" s="1"/>
  <c r="L145" i="19"/>
  <c r="K145" i="19"/>
  <c r="J145" i="19"/>
  <c r="I145" i="19"/>
  <c r="H145" i="19"/>
  <c r="G145" i="19"/>
  <c r="F145" i="19"/>
  <c r="E145" i="19"/>
  <c r="D145" i="19"/>
  <c r="L144" i="19"/>
  <c r="K144" i="19"/>
  <c r="J144" i="19"/>
  <c r="I144" i="19"/>
  <c r="H144" i="19"/>
  <c r="G144" i="19"/>
  <c r="F144" i="19"/>
  <c r="E144" i="19"/>
  <c r="D144" i="19"/>
  <c r="L132" i="19"/>
  <c r="K132" i="19"/>
  <c r="J132" i="19"/>
  <c r="I132" i="19"/>
  <c r="H132" i="19"/>
  <c r="G132" i="19"/>
  <c r="F132" i="19"/>
  <c r="E132" i="19"/>
  <c r="D132" i="19"/>
  <c r="L126" i="19"/>
  <c r="K126" i="19"/>
  <c r="J126" i="19"/>
  <c r="I126" i="19"/>
  <c r="H126" i="19"/>
  <c r="G126" i="19"/>
  <c r="F126" i="19"/>
  <c r="E126" i="19"/>
  <c r="D126" i="19"/>
  <c r="L125" i="19"/>
  <c r="K125" i="19"/>
  <c r="J125" i="19"/>
  <c r="I125" i="19"/>
  <c r="H125" i="19"/>
  <c r="G125" i="19"/>
  <c r="F125" i="19"/>
  <c r="E125" i="19"/>
  <c r="D125" i="19"/>
  <c r="L124" i="19"/>
  <c r="K124" i="19"/>
  <c r="J124" i="19"/>
  <c r="I124" i="19"/>
  <c r="H124" i="19"/>
  <c r="G124" i="19"/>
  <c r="D124" i="19"/>
  <c r="F124" i="19"/>
  <c r="E124" i="19"/>
  <c r="L118" i="19"/>
  <c r="K118" i="19"/>
  <c r="J118" i="19"/>
  <c r="I118" i="19"/>
  <c r="H118" i="19"/>
  <c r="G118" i="19"/>
  <c r="F118" i="19"/>
  <c r="E118" i="19"/>
  <c r="D118" i="19"/>
  <c r="L117" i="19"/>
  <c r="K117" i="19"/>
  <c r="J117" i="19"/>
  <c r="I117" i="19"/>
  <c r="H117" i="19"/>
  <c r="G117" i="19"/>
  <c r="F117" i="19"/>
  <c r="E117" i="19"/>
  <c r="D117" i="19"/>
  <c r="L116" i="19"/>
  <c r="K116" i="19"/>
  <c r="J116" i="19"/>
  <c r="I116" i="19"/>
  <c r="H116" i="19"/>
  <c r="G116" i="19"/>
  <c r="F116" i="19"/>
  <c r="E116" i="19"/>
  <c r="D116" i="19"/>
  <c r="L110" i="19"/>
  <c r="K110" i="19"/>
  <c r="J110" i="19"/>
  <c r="I110" i="19"/>
  <c r="H110" i="19"/>
  <c r="G110" i="19"/>
  <c r="F110" i="19"/>
  <c r="E110" i="19"/>
  <c r="L109" i="19"/>
  <c r="K109" i="19"/>
  <c r="J109" i="19"/>
  <c r="I109" i="19"/>
  <c r="H109" i="19"/>
  <c r="G109" i="19"/>
  <c r="F109" i="19"/>
  <c r="E109" i="19"/>
  <c r="L108" i="19"/>
  <c r="K108" i="19"/>
  <c r="J108" i="19"/>
  <c r="I108" i="19"/>
  <c r="H108" i="19"/>
  <c r="G108" i="19"/>
  <c r="F108" i="19"/>
  <c r="E108" i="19"/>
  <c r="L107" i="19"/>
  <c r="K107" i="19"/>
  <c r="J107" i="19"/>
  <c r="I107" i="19"/>
  <c r="H107" i="19"/>
  <c r="G107" i="19"/>
  <c r="F107" i="19"/>
  <c r="E107" i="19"/>
  <c r="L106" i="19"/>
  <c r="K106" i="19"/>
  <c r="J106" i="19"/>
  <c r="I106" i="19"/>
  <c r="H106" i="19"/>
  <c r="G106" i="19"/>
  <c r="F106" i="19"/>
  <c r="E106" i="19"/>
  <c r="L105" i="19"/>
  <c r="K105" i="19"/>
  <c r="J105" i="19"/>
  <c r="I105" i="19"/>
  <c r="H105" i="19"/>
  <c r="G105" i="19"/>
  <c r="F105" i="19"/>
  <c r="E105" i="19"/>
  <c r="L104" i="19"/>
  <c r="K104" i="19"/>
  <c r="J104" i="19"/>
  <c r="I104" i="19"/>
  <c r="H104" i="19"/>
  <c r="G104" i="19"/>
  <c r="F104" i="19"/>
  <c r="E104" i="19"/>
  <c r="D108" i="19"/>
  <c r="D107" i="19"/>
  <c r="D106" i="19"/>
  <c r="M106" i="19" s="1"/>
  <c r="D105" i="19"/>
  <c r="D104" i="19"/>
  <c r="D109" i="19"/>
  <c r="D110" i="19"/>
  <c r="L98" i="19"/>
  <c r="K98" i="19"/>
  <c r="J98" i="19"/>
  <c r="I98" i="19"/>
  <c r="H98" i="19"/>
  <c r="G98" i="19"/>
  <c r="F98" i="19"/>
  <c r="E98" i="19"/>
  <c r="L97" i="19"/>
  <c r="K97" i="19"/>
  <c r="J97" i="19"/>
  <c r="I97" i="19"/>
  <c r="H97" i="19"/>
  <c r="G97" i="19"/>
  <c r="F97" i="19"/>
  <c r="E97" i="19"/>
  <c r="D97" i="19"/>
  <c r="D98" i="19"/>
  <c r="L91" i="19"/>
  <c r="K91" i="19"/>
  <c r="J91" i="19"/>
  <c r="I91" i="19"/>
  <c r="H91" i="19"/>
  <c r="G91" i="19"/>
  <c r="F91" i="19"/>
  <c r="E91" i="19"/>
  <c r="L90" i="19"/>
  <c r="K90" i="19"/>
  <c r="J90" i="19"/>
  <c r="I90" i="19"/>
  <c r="H90" i="19"/>
  <c r="G90" i="19"/>
  <c r="F90" i="19"/>
  <c r="E90" i="19"/>
  <c r="D91" i="19"/>
  <c r="D90" i="19"/>
  <c r="L84" i="19"/>
  <c r="K84" i="19"/>
  <c r="J84" i="19"/>
  <c r="I84" i="19"/>
  <c r="H84" i="19"/>
  <c r="G84" i="19"/>
  <c r="F84" i="19"/>
  <c r="E84" i="19"/>
  <c r="D84" i="19"/>
  <c r="L83" i="19"/>
  <c r="K83" i="19"/>
  <c r="J83" i="19"/>
  <c r="I83" i="19"/>
  <c r="H83" i="19"/>
  <c r="G83" i="19"/>
  <c r="F83" i="19"/>
  <c r="E83" i="19"/>
  <c r="L82" i="19"/>
  <c r="K82" i="19"/>
  <c r="D82" i="19"/>
  <c r="J82" i="19"/>
  <c r="I82" i="19"/>
  <c r="H82" i="19"/>
  <c r="G82" i="19"/>
  <c r="F82" i="19"/>
  <c r="E82" i="19"/>
  <c r="D83" i="19"/>
  <c r="L74" i="19"/>
  <c r="K74" i="19"/>
  <c r="J74" i="19"/>
  <c r="I74" i="19"/>
  <c r="H74" i="19"/>
  <c r="G74" i="19"/>
  <c r="F74" i="19"/>
  <c r="E74" i="19"/>
  <c r="D74" i="19"/>
  <c r="L73" i="19"/>
  <c r="K73" i="19"/>
  <c r="J73" i="19"/>
  <c r="I73" i="19"/>
  <c r="H73" i="19"/>
  <c r="G73" i="19"/>
  <c r="D73" i="19"/>
  <c r="F73" i="19"/>
  <c r="E73" i="19"/>
  <c r="L72" i="19"/>
  <c r="K72" i="19"/>
  <c r="J72" i="19"/>
  <c r="I72" i="19"/>
  <c r="H72" i="19"/>
  <c r="G72" i="19"/>
  <c r="F72" i="19"/>
  <c r="E72" i="19"/>
  <c r="D72" i="19"/>
  <c r="L71" i="19"/>
  <c r="K71" i="19"/>
  <c r="J71" i="19"/>
  <c r="I71" i="19"/>
  <c r="H71" i="19"/>
  <c r="G71" i="19"/>
  <c r="F71" i="19"/>
  <c r="E71" i="19"/>
  <c r="D71" i="19"/>
  <c r="I59" i="19"/>
  <c r="H59" i="19"/>
  <c r="G59" i="19"/>
  <c r="F59" i="19"/>
  <c r="E59" i="19"/>
  <c r="D59" i="19"/>
  <c r="I58" i="19"/>
  <c r="H58" i="19"/>
  <c r="G58" i="19"/>
  <c r="F58" i="19"/>
  <c r="E58" i="19"/>
  <c r="D58" i="19"/>
  <c r="L52" i="19"/>
  <c r="K52" i="19"/>
  <c r="J52" i="19"/>
  <c r="I52" i="19"/>
  <c r="H52" i="19"/>
  <c r="G52" i="19"/>
  <c r="F52" i="19"/>
  <c r="E52" i="19"/>
  <c r="D52" i="19"/>
  <c r="L51" i="19"/>
  <c r="K51" i="19"/>
  <c r="J51" i="19"/>
  <c r="I51" i="19"/>
  <c r="H51" i="19"/>
  <c r="G51" i="19"/>
  <c r="F51" i="19"/>
  <c r="E51" i="19"/>
  <c r="D51" i="19"/>
  <c r="L50" i="19"/>
  <c r="K50" i="19"/>
  <c r="J50" i="19"/>
  <c r="I50" i="19"/>
  <c r="H50" i="19"/>
  <c r="G50" i="19"/>
  <c r="F50" i="19"/>
  <c r="E50" i="19"/>
  <c r="D50" i="19"/>
  <c r="L49" i="19"/>
  <c r="K49" i="19"/>
  <c r="J49" i="19"/>
  <c r="I49" i="19"/>
  <c r="H49" i="19"/>
  <c r="G49" i="19"/>
  <c r="F49" i="19"/>
  <c r="E49" i="19"/>
  <c r="D49" i="19"/>
  <c r="L48" i="19"/>
  <c r="K48" i="19"/>
  <c r="J48" i="19"/>
  <c r="I48" i="19"/>
  <c r="H48" i="19"/>
  <c r="G48" i="19"/>
  <c r="F48" i="19"/>
  <c r="E48" i="19"/>
  <c r="D48" i="19"/>
  <c r="L34" i="19"/>
  <c r="K34" i="19"/>
  <c r="J34" i="19"/>
  <c r="I34" i="19"/>
  <c r="H34" i="19"/>
  <c r="G34" i="19"/>
  <c r="F34" i="19"/>
  <c r="E34" i="19"/>
  <c r="D34" i="19"/>
  <c r="L27" i="19"/>
  <c r="E27" i="19"/>
  <c r="D27" i="19"/>
  <c r="D28" i="19"/>
  <c r="L28" i="19"/>
  <c r="K28" i="19"/>
  <c r="J28" i="19"/>
  <c r="I28" i="19"/>
  <c r="H28" i="19"/>
  <c r="G28" i="19"/>
  <c r="F28" i="19"/>
  <c r="E28" i="19"/>
  <c r="K27" i="19"/>
  <c r="J27" i="19"/>
  <c r="I27" i="19"/>
  <c r="H27" i="19"/>
  <c r="G27" i="19"/>
  <c r="F27" i="19"/>
  <c r="L26" i="19"/>
  <c r="K26" i="19"/>
  <c r="J26" i="19"/>
  <c r="I26" i="19"/>
  <c r="H26" i="19"/>
  <c r="G26" i="19"/>
  <c r="F26" i="19"/>
  <c r="E26" i="19"/>
  <c r="D26" i="19"/>
  <c r="L25" i="19"/>
  <c r="K25" i="19"/>
  <c r="J25" i="19"/>
  <c r="I25" i="19"/>
  <c r="H25" i="19"/>
  <c r="G25" i="19"/>
  <c r="F25" i="19"/>
  <c r="E25" i="19"/>
  <c r="D25" i="19"/>
  <c r="L24" i="19"/>
  <c r="K24" i="19"/>
  <c r="I24" i="19"/>
  <c r="J24" i="19"/>
  <c r="H24" i="19"/>
  <c r="G24" i="19"/>
  <c r="F24" i="19"/>
  <c r="E24" i="19"/>
  <c r="D24" i="19"/>
  <c r="L23" i="19"/>
  <c r="K23" i="19"/>
  <c r="J23" i="19"/>
  <c r="I23" i="19"/>
  <c r="H23" i="19"/>
  <c r="G23" i="19"/>
  <c r="F23" i="19"/>
  <c r="E23" i="19"/>
  <c r="D23" i="19"/>
  <c r="L17" i="19"/>
  <c r="K17" i="19"/>
  <c r="J17" i="19"/>
  <c r="I17" i="19"/>
  <c r="H17" i="19"/>
  <c r="G17" i="19"/>
  <c r="F17" i="19"/>
  <c r="E17" i="19"/>
  <c r="D17" i="19"/>
  <c r="L16" i="19"/>
  <c r="K16" i="19"/>
  <c r="J16" i="19"/>
  <c r="I16" i="19"/>
  <c r="H16" i="19"/>
  <c r="G16" i="19"/>
  <c r="F16" i="19"/>
  <c r="E16" i="19"/>
  <c r="D16" i="19"/>
  <c r="L10" i="19"/>
  <c r="K10" i="19"/>
  <c r="J10" i="19"/>
  <c r="I10" i="19"/>
  <c r="H10" i="19"/>
  <c r="G10" i="19"/>
  <c r="F10" i="19"/>
  <c r="E10" i="19"/>
  <c r="L9" i="19"/>
  <c r="K9" i="19"/>
  <c r="J9" i="19"/>
  <c r="I9" i="19"/>
  <c r="H9" i="19"/>
  <c r="G9" i="19"/>
  <c r="F9" i="19"/>
  <c r="E9" i="19"/>
  <c r="L8" i="19"/>
  <c r="K8" i="19"/>
  <c r="J8" i="19"/>
  <c r="I8" i="19"/>
  <c r="H8" i="19"/>
  <c r="G8" i="19"/>
  <c r="F8" i="19"/>
  <c r="E8" i="19"/>
  <c r="L7" i="19"/>
  <c r="K7" i="19"/>
  <c r="J7" i="19"/>
  <c r="I7" i="19"/>
  <c r="H7" i="19"/>
  <c r="G7" i="19"/>
  <c r="F7" i="19"/>
  <c r="E7" i="19"/>
  <c r="L6" i="19"/>
  <c r="K6" i="19"/>
  <c r="J6" i="19"/>
  <c r="I6" i="19"/>
  <c r="H6" i="19"/>
  <c r="G6" i="19"/>
  <c r="F6" i="19"/>
  <c r="E6" i="19"/>
  <c r="L5" i="19"/>
  <c r="K5" i="19"/>
  <c r="J5" i="19"/>
  <c r="I5" i="19"/>
  <c r="H5" i="19"/>
  <c r="G5" i="19"/>
  <c r="F5" i="19"/>
  <c r="E5" i="19"/>
  <c r="D5" i="19"/>
  <c r="D10" i="19"/>
  <c r="D9" i="19"/>
  <c r="D8" i="19"/>
  <c r="D7" i="19"/>
  <c r="D6" i="19"/>
  <c r="D4" i="19"/>
  <c r="L4" i="19"/>
  <c r="K4" i="19"/>
  <c r="J4" i="19"/>
  <c r="I4" i="19"/>
  <c r="H4" i="19"/>
  <c r="G4" i="19"/>
  <c r="F4" i="19"/>
  <c r="E4" i="19"/>
  <c r="C196" i="19"/>
  <c r="C195" i="19"/>
  <c r="C188" i="19"/>
  <c r="C187" i="19"/>
  <c r="C181" i="19"/>
  <c r="C180" i="19"/>
  <c r="C174" i="19"/>
  <c r="C173" i="19"/>
  <c r="C166" i="19"/>
  <c r="C165" i="19"/>
  <c r="C158" i="19"/>
  <c r="C157" i="19"/>
  <c r="C151" i="19"/>
  <c r="C145" i="19"/>
  <c r="C144" i="19"/>
  <c r="C132" i="19"/>
  <c r="C125" i="19"/>
  <c r="C126" i="19"/>
  <c r="C124" i="19"/>
  <c r="C127" i="19" s="1"/>
  <c r="C118" i="19"/>
  <c r="C117" i="19"/>
  <c r="C116" i="19"/>
  <c r="C105" i="19"/>
  <c r="C106" i="19"/>
  <c r="C107" i="19"/>
  <c r="C108" i="19"/>
  <c r="C109" i="19"/>
  <c r="C110" i="19"/>
  <c r="C104" i="19"/>
  <c r="C98" i="19"/>
  <c r="C97" i="19"/>
  <c r="C91" i="19"/>
  <c r="C90" i="19"/>
  <c r="C84" i="19"/>
  <c r="C83" i="19"/>
  <c r="C82" i="19"/>
  <c r="C72" i="19"/>
  <c r="C73" i="19"/>
  <c r="C74" i="19"/>
  <c r="C71" i="19"/>
  <c r="C65" i="19"/>
  <c r="C59" i="19"/>
  <c r="C58" i="19"/>
  <c r="C49" i="19"/>
  <c r="C50" i="19"/>
  <c r="C51" i="19"/>
  <c r="C52" i="19"/>
  <c r="C48" i="19"/>
  <c r="C34" i="19"/>
  <c r="C24" i="19"/>
  <c r="C25" i="19"/>
  <c r="C26" i="19"/>
  <c r="C27" i="19"/>
  <c r="C28" i="19"/>
  <c r="C23" i="19"/>
  <c r="C17" i="19"/>
  <c r="C16" i="19"/>
  <c r="C5" i="19"/>
  <c r="C6" i="19"/>
  <c r="C7" i="19"/>
  <c r="C8" i="19"/>
  <c r="C9" i="19"/>
  <c r="C10" i="19"/>
  <c r="C4" i="19"/>
  <c r="M165" i="19"/>
  <c r="O82" i="19"/>
  <c r="M82" i="19"/>
  <c r="O71" i="19"/>
  <c r="P71" i="19" s="1"/>
  <c r="M71" i="19"/>
  <c r="C53" i="19"/>
  <c r="C205" i="19" s="1"/>
  <c r="C29" i="19"/>
  <c r="C203" i="19" s="1"/>
  <c r="C35" i="19"/>
  <c r="C204" i="19" s="1"/>
  <c r="L35" i="19"/>
  <c r="L204" i="19" s="1"/>
  <c r="M9" i="24" s="1"/>
  <c r="K35" i="19"/>
  <c r="K204" i="19" s="1"/>
  <c r="L9" i="24" s="1"/>
  <c r="J35" i="19"/>
  <c r="J204" i="19" s="1"/>
  <c r="K9" i="24" s="1"/>
  <c r="I35" i="19"/>
  <c r="I204" i="19" s="1"/>
  <c r="J9" i="24" s="1"/>
  <c r="H35" i="19"/>
  <c r="H204" i="19" s="1"/>
  <c r="I9" i="24" s="1"/>
  <c r="G35" i="19"/>
  <c r="G204" i="19" s="1"/>
  <c r="H9" i="24" s="1"/>
  <c r="F35" i="19"/>
  <c r="F204" i="19" s="1"/>
  <c r="G9" i="24" s="1"/>
  <c r="E35" i="19"/>
  <c r="E204" i="19" s="1"/>
  <c r="F9" i="24" s="1"/>
  <c r="D35" i="19"/>
  <c r="D204" i="19" s="1"/>
  <c r="E9" i="24" s="1"/>
  <c r="O34" i="19"/>
  <c r="M34" i="19"/>
  <c r="O195" i="19" l="1"/>
  <c r="M195" i="19"/>
  <c r="M196" i="19"/>
  <c r="O196" i="19"/>
  <c r="N71" i="19"/>
  <c r="D9" i="24"/>
  <c r="C9" i="24"/>
  <c r="M35" i="19"/>
  <c r="N34" i="19"/>
  <c r="O35" i="19"/>
  <c r="P34" i="19"/>
  <c r="M11" i="27"/>
  <c r="M6" i="27"/>
  <c r="M7" i="27"/>
  <c r="M8" i="27"/>
  <c r="M9" i="27"/>
  <c r="M10" i="27"/>
  <c r="O197" i="19" l="1"/>
  <c r="R9" i="24"/>
  <c r="Q9" i="24"/>
  <c r="P9" i="24"/>
  <c r="O9" i="24"/>
  <c r="P35" i="19"/>
  <c r="P204" i="19" s="1"/>
  <c r="O204" i="19"/>
  <c r="N35" i="19"/>
  <c r="N204" i="19" s="1"/>
  <c r="M204" i="19"/>
  <c r="B5" i="27"/>
  <c r="M5" i="27"/>
  <c r="N5" i="27" s="1"/>
  <c r="O5" i="27"/>
  <c r="M12" i="27"/>
  <c r="B6" i="27"/>
  <c r="B7" i="27"/>
  <c r="B8" i="27"/>
  <c r="B9" i="27"/>
  <c r="B10" i="27"/>
  <c r="B11" i="27"/>
  <c r="S9" i="24" l="1"/>
  <c r="B5" i="20"/>
  <c r="T9" i="24"/>
  <c r="C5" i="20"/>
  <c r="M17" i="19"/>
  <c r="M16" i="19"/>
  <c r="O17" i="19"/>
  <c r="P17" i="19" s="1"/>
  <c r="O16" i="19"/>
  <c r="O18" i="19" s="1"/>
  <c r="O9" i="19"/>
  <c r="O8" i="19"/>
  <c r="O7" i="19"/>
  <c r="O6" i="19"/>
  <c r="O5" i="19"/>
  <c r="O4" i="19"/>
  <c r="P4" i="19" s="1"/>
  <c r="M10" i="19"/>
  <c r="N10" i="19" s="1"/>
  <c r="M9" i="19"/>
  <c r="M8" i="19"/>
  <c r="N8" i="19" s="1"/>
  <c r="M6" i="19"/>
  <c r="N6" i="19" s="1"/>
  <c r="M5" i="19"/>
  <c r="N5" i="19" s="1"/>
  <c r="M4" i="19"/>
  <c r="M7" i="19"/>
  <c r="N7" i="19" s="1"/>
  <c r="M65" i="19"/>
  <c r="P196" i="19"/>
  <c r="P195" i="19"/>
  <c r="N196" i="19"/>
  <c r="N195" i="19"/>
  <c r="D197" i="19"/>
  <c r="E33" i="24" s="1"/>
  <c r="C197" i="19"/>
  <c r="C33" i="24" s="1"/>
  <c r="O33" i="24" s="1"/>
  <c r="O188" i="19"/>
  <c r="P188" i="19" s="1"/>
  <c r="O187" i="19"/>
  <c r="P187" i="19" s="1"/>
  <c r="M188" i="19"/>
  <c r="N188" i="19" s="1"/>
  <c r="M187" i="19"/>
  <c r="N187" i="19" s="1"/>
  <c r="C189" i="19"/>
  <c r="O181" i="19"/>
  <c r="P181" i="19" s="1"/>
  <c r="O180" i="19"/>
  <c r="P180" i="19" s="1"/>
  <c r="M181" i="19"/>
  <c r="N181" i="19" s="1"/>
  <c r="M180" i="19"/>
  <c r="N180" i="19" s="1"/>
  <c r="C182" i="19"/>
  <c r="O174" i="19"/>
  <c r="P174" i="19" s="1"/>
  <c r="O173" i="19"/>
  <c r="P173" i="19" s="1"/>
  <c r="M174" i="19"/>
  <c r="N174" i="19" s="1"/>
  <c r="M173" i="19"/>
  <c r="C175" i="19"/>
  <c r="O166" i="19"/>
  <c r="P166" i="19" s="1"/>
  <c r="O165" i="19"/>
  <c r="P165" i="19" s="1"/>
  <c r="M166" i="19"/>
  <c r="N166" i="19" s="1"/>
  <c r="N165" i="19"/>
  <c r="D167" i="19"/>
  <c r="C167" i="19"/>
  <c r="O158" i="19"/>
  <c r="P158" i="19" s="1"/>
  <c r="O157" i="19"/>
  <c r="P157" i="19" s="1"/>
  <c r="M158" i="19"/>
  <c r="N158" i="19" s="1"/>
  <c r="M157" i="19"/>
  <c r="M159" i="19" s="1"/>
  <c r="C159" i="19"/>
  <c r="O151" i="19"/>
  <c r="O152" i="19" s="1"/>
  <c r="M151" i="19"/>
  <c r="M152" i="19" s="1"/>
  <c r="C152" i="19"/>
  <c r="O145" i="19"/>
  <c r="P145" i="19" s="1"/>
  <c r="O144" i="19"/>
  <c r="O146" i="19" s="1"/>
  <c r="M145" i="19"/>
  <c r="N145" i="19" s="1"/>
  <c r="M144" i="19"/>
  <c r="N144" i="19" s="1"/>
  <c r="C146" i="19"/>
  <c r="O132" i="19"/>
  <c r="P132" i="19" s="1"/>
  <c r="M132" i="19"/>
  <c r="M133" i="19" s="1"/>
  <c r="C133" i="19"/>
  <c r="O126" i="19"/>
  <c r="P126" i="19" s="1"/>
  <c r="O125" i="19"/>
  <c r="P125" i="19" s="1"/>
  <c r="O124" i="19"/>
  <c r="P124" i="19" s="1"/>
  <c r="M126" i="19"/>
  <c r="N126" i="19" s="1"/>
  <c r="M125" i="19"/>
  <c r="N125" i="19" s="1"/>
  <c r="M124" i="19"/>
  <c r="N124" i="19" s="1"/>
  <c r="O118" i="19"/>
  <c r="P118" i="19" s="1"/>
  <c r="O117" i="19"/>
  <c r="O116" i="19"/>
  <c r="P116" i="19" s="1"/>
  <c r="M118" i="19"/>
  <c r="N118" i="19" s="1"/>
  <c r="M117" i="19"/>
  <c r="N117" i="19" s="1"/>
  <c r="M116" i="19"/>
  <c r="N116" i="19" s="1"/>
  <c r="C119" i="19"/>
  <c r="O110" i="19"/>
  <c r="P110" i="19" s="1"/>
  <c r="O109" i="19"/>
  <c r="P109" i="19" s="1"/>
  <c r="O108" i="19"/>
  <c r="P108" i="19" s="1"/>
  <c r="O107" i="19"/>
  <c r="P107" i="19" s="1"/>
  <c r="O106" i="19"/>
  <c r="P106" i="19" s="1"/>
  <c r="O105" i="19"/>
  <c r="P105" i="19" s="1"/>
  <c r="O104" i="19"/>
  <c r="O111" i="19" s="1"/>
  <c r="M110" i="19"/>
  <c r="N110" i="19" s="1"/>
  <c r="M109" i="19"/>
  <c r="N109" i="19" s="1"/>
  <c r="M108" i="19"/>
  <c r="N108" i="19" s="1"/>
  <c r="M107" i="19"/>
  <c r="N106" i="19"/>
  <c r="M105" i="19"/>
  <c r="N105" i="19" s="1"/>
  <c r="M104" i="19"/>
  <c r="N104" i="19" s="1"/>
  <c r="C111" i="19"/>
  <c r="O98" i="19"/>
  <c r="P98" i="19" s="1"/>
  <c r="O97" i="19"/>
  <c r="P97" i="19" s="1"/>
  <c r="C99" i="19"/>
  <c r="O91" i="19"/>
  <c r="P91" i="19" s="1"/>
  <c r="O90" i="19"/>
  <c r="O92" i="19" s="1"/>
  <c r="M91" i="19"/>
  <c r="N91" i="19" s="1"/>
  <c r="M90" i="19"/>
  <c r="M92" i="19" s="1"/>
  <c r="C92" i="19"/>
  <c r="O84" i="19"/>
  <c r="P84" i="19" s="1"/>
  <c r="O83" i="19"/>
  <c r="P83" i="19" s="1"/>
  <c r="O85" i="19"/>
  <c r="M84" i="19"/>
  <c r="N84" i="19" s="1"/>
  <c r="M83" i="19"/>
  <c r="N83" i="19" s="1"/>
  <c r="D85" i="19"/>
  <c r="E85" i="19"/>
  <c r="F85" i="19"/>
  <c r="G85" i="19"/>
  <c r="H85" i="19"/>
  <c r="I85" i="19"/>
  <c r="J85" i="19"/>
  <c r="K85" i="19"/>
  <c r="L85" i="19"/>
  <c r="C85" i="19"/>
  <c r="O74" i="19"/>
  <c r="P74" i="19" s="1"/>
  <c r="O73" i="19"/>
  <c r="P73" i="19" s="1"/>
  <c r="O72" i="19"/>
  <c r="P72" i="19" s="1"/>
  <c r="O75" i="19"/>
  <c r="M74" i="19"/>
  <c r="N74" i="19" s="1"/>
  <c r="M73" i="19"/>
  <c r="N73" i="19" s="1"/>
  <c r="M72" i="19"/>
  <c r="D75" i="19"/>
  <c r="E75" i="19"/>
  <c r="F75" i="19"/>
  <c r="G75" i="19"/>
  <c r="H75" i="19"/>
  <c r="I75" i="19"/>
  <c r="J75" i="19"/>
  <c r="K75" i="19"/>
  <c r="L75" i="19"/>
  <c r="C75" i="19"/>
  <c r="O65" i="19"/>
  <c r="O66" i="19" s="1"/>
  <c r="D66" i="19"/>
  <c r="O59" i="19"/>
  <c r="P59" i="19" s="1"/>
  <c r="O58" i="19"/>
  <c r="P58" i="19" s="1"/>
  <c r="M59" i="19"/>
  <c r="N59" i="19" s="1"/>
  <c r="M58" i="19"/>
  <c r="N58" i="19" s="1"/>
  <c r="C60" i="19"/>
  <c r="O52" i="19"/>
  <c r="P52" i="19" s="1"/>
  <c r="O51" i="19"/>
  <c r="P51" i="19" s="1"/>
  <c r="O50" i="19"/>
  <c r="P50" i="19" s="1"/>
  <c r="O49" i="19"/>
  <c r="P49" i="19" s="1"/>
  <c r="O48" i="19"/>
  <c r="P48" i="19" s="1"/>
  <c r="M52" i="19"/>
  <c r="N52" i="19" s="1"/>
  <c r="M51" i="19"/>
  <c r="N51" i="19" s="1"/>
  <c r="M50" i="19"/>
  <c r="N50" i="19" s="1"/>
  <c r="M49" i="19"/>
  <c r="N49" i="19" s="1"/>
  <c r="M48" i="19"/>
  <c r="M53" i="19" s="1"/>
  <c r="O28" i="19"/>
  <c r="P28" i="19" s="1"/>
  <c r="O27" i="19"/>
  <c r="P27" i="19" s="1"/>
  <c r="O26" i="19"/>
  <c r="P26" i="19" s="1"/>
  <c r="O25" i="19"/>
  <c r="P25" i="19" s="1"/>
  <c r="O24" i="19"/>
  <c r="P24" i="19" s="1"/>
  <c r="O23" i="19"/>
  <c r="O29" i="19" s="1"/>
  <c r="P29" i="19" s="1"/>
  <c r="M28" i="19"/>
  <c r="N28" i="19" s="1"/>
  <c r="M27" i="19"/>
  <c r="N27" i="19" s="1"/>
  <c r="M26" i="19"/>
  <c r="N26" i="19" s="1"/>
  <c r="M25" i="19"/>
  <c r="N25" i="19" s="1"/>
  <c r="M24" i="19"/>
  <c r="N24" i="19" s="1"/>
  <c r="M23" i="19"/>
  <c r="N23" i="19" s="1"/>
  <c r="D18" i="19"/>
  <c r="N9" i="19"/>
  <c r="N72" i="19" l="1"/>
  <c r="M75" i="19"/>
  <c r="N159" i="19"/>
  <c r="D25" i="24"/>
  <c r="C25" i="24"/>
  <c r="M11" i="19"/>
  <c r="N4" i="19"/>
  <c r="S33" i="24"/>
  <c r="P33" i="24"/>
  <c r="R33" i="24"/>
  <c r="Q33" i="24"/>
  <c r="D33" i="24"/>
  <c r="T33" i="24" s="1"/>
  <c r="M175" i="19"/>
  <c r="N175" i="19" s="1"/>
  <c r="M85" i="19"/>
  <c r="N173" i="19"/>
  <c r="N157" i="19"/>
  <c r="N152" i="19"/>
  <c r="P152" i="19"/>
  <c r="P144" i="19"/>
  <c r="P146" i="19"/>
  <c r="N133" i="19"/>
  <c r="O119" i="19"/>
  <c r="P119" i="19" s="1"/>
  <c r="P111" i="19"/>
  <c r="O99" i="19"/>
  <c r="P99" i="19" s="1"/>
  <c r="N90" i="19"/>
  <c r="P90" i="19"/>
  <c r="N92" i="19"/>
  <c r="P92" i="19"/>
  <c r="P82" i="19"/>
  <c r="N82" i="19"/>
  <c r="N85" i="19"/>
  <c r="P85" i="19"/>
  <c r="P75" i="19"/>
  <c r="M127" i="19"/>
  <c r="N127" i="19" s="1"/>
  <c r="O127" i="19"/>
  <c r="P127" i="19" s="1"/>
  <c r="N132" i="19"/>
  <c r="P151" i="19"/>
  <c r="O167" i="19"/>
  <c r="P167" i="19" s="1"/>
  <c r="M197" i="19"/>
  <c r="P197" i="19"/>
  <c r="P65" i="19"/>
  <c r="M111" i="19"/>
  <c r="N111" i="19" s="1"/>
  <c r="P117" i="19"/>
  <c r="M182" i="19"/>
  <c r="N182" i="19" s="1"/>
  <c r="O182" i="19"/>
  <c r="P182" i="19" s="1"/>
  <c r="M60" i="19"/>
  <c r="N60" i="19" s="1"/>
  <c r="O175" i="19"/>
  <c r="P175" i="19" s="1"/>
  <c r="O189" i="19"/>
  <c r="P189" i="19" s="1"/>
  <c r="O60" i="19"/>
  <c r="P60" i="19" s="1"/>
  <c r="P104" i="19"/>
  <c r="O133" i="19"/>
  <c r="P133" i="19" s="1"/>
  <c r="N151" i="19"/>
  <c r="M18" i="19"/>
  <c r="N48" i="19"/>
  <c r="O53" i="19"/>
  <c r="P53" i="19" s="1"/>
  <c r="N53" i="19"/>
  <c r="M29" i="19"/>
  <c r="N29" i="19" s="1"/>
  <c r="P23" i="19"/>
  <c r="P16" i="19"/>
  <c r="M189" i="19"/>
  <c r="N189" i="19" s="1"/>
  <c r="M167" i="19"/>
  <c r="N167" i="19" s="1"/>
  <c r="M146" i="19"/>
  <c r="N146" i="19" s="1"/>
  <c r="M119" i="19"/>
  <c r="N119" i="19" s="1"/>
  <c r="N197" i="19" l="1"/>
  <c r="N33" i="24"/>
  <c r="N10" i="27"/>
  <c r="C8" i="24"/>
  <c r="D29" i="19"/>
  <c r="D203" i="19" s="1"/>
  <c r="E8" i="24" s="1"/>
  <c r="E29" i="19"/>
  <c r="E203" i="19" s="1"/>
  <c r="F8" i="24" s="1"/>
  <c r="F29" i="19"/>
  <c r="F203" i="19" s="1"/>
  <c r="G8" i="24" s="1"/>
  <c r="G29" i="19"/>
  <c r="G203" i="19" s="1"/>
  <c r="H8" i="24" s="1"/>
  <c r="H29" i="19"/>
  <c r="H203" i="19" s="1"/>
  <c r="I8" i="24" s="1"/>
  <c r="I29" i="19"/>
  <c r="I203" i="19" s="1"/>
  <c r="J8" i="24" s="1"/>
  <c r="J29" i="19"/>
  <c r="J203" i="19" s="1"/>
  <c r="K8" i="24" s="1"/>
  <c r="K29" i="19"/>
  <c r="K203" i="19" s="1"/>
  <c r="L8" i="24" s="1"/>
  <c r="L29" i="19"/>
  <c r="L203" i="19" s="1"/>
  <c r="M8" i="24" s="1"/>
  <c r="D218" i="19"/>
  <c r="E22" i="24" s="1"/>
  <c r="E167" i="19"/>
  <c r="E218" i="19" s="1"/>
  <c r="F22" i="24" s="1"/>
  <c r="F167" i="19"/>
  <c r="G167" i="19"/>
  <c r="G218" i="19" s="1"/>
  <c r="H22" i="24" s="1"/>
  <c r="H167" i="19"/>
  <c r="H218" i="19" s="1"/>
  <c r="I22" i="24" s="1"/>
  <c r="I167" i="19"/>
  <c r="I218" i="19" s="1"/>
  <c r="J22" i="24" s="1"/>
  <c r="J167" i="19"/>
  <c r="J218" i="19" s="1"/>
  <c r="K22" i="24" s="1"/>
  <c r="K167" i="19"/>
  <c r="K218" i="19" s="1"/>
  <c r="L22" i="24" s="1"/>
  <c r="L167" i="19"/>
  <c r="L218" i="19" s="1"/>
  <c r="M22" i="24" s="1"/>
  <c r="C218" i="19"/>
  <c r="D22" i="24" s="1"/>
  <c r="D189" i="19"/>
  <c r="D220" i="19" s="1"/>
  <c r="E24" i="24" s="1"/>
  <c r="E189" i="19"/>
  <c r="E220" i="19" s="1"/>
  <c r="F24" i="24" s="1"/>
  <c r="F189" i="19"/>
  <c r="F220" i="19" s="1"/>
  <c r="G24" i="24" s="1"/>
  <c r="G189" i="19"/>
  <c r="G220" i="19" s="1"/>
  <c r="H24" i="24" s="1"/>
  <c r="H189" i="19"/>
  <c r="H220" i="19" s="1"/>
  <c r="I24" i="24" s="1"/>
  <c r="I189" i="19"/>
  <c r="I220" i="19" s="1"/>
  <c r="J24" i="24" s="1"/>
  <c r="J189" i="19"/>
  <c r="J220" i="19" s="1"/>
  <c r="K24" i="24" s="1"/>
  <c r="K189" i="19"/>
  <c r="K220" i="19" s="1"/>
  <c r="L24" i="24" s="1"/>
  <c r="L189" i="19"/>
  <c r="L220" i="19" s="1"/>
  <c r="M24" i="24" s="1"/>
  <c r="C220" i="19"/>
  <c r="N9" i="27"/>
  <c r="N11" i="27"/>
  <c r="M98" i="19"/>
  <c r="N98" i="19" s="1"/>
  <c r="N17" i="19"/>
  <c r="L152" i="19"/>
  <c r="K152" i="19"/>
  <c r="J152" i="19"/>
  <c r="I152" i="19"/>
  <c r="H152" i="19"/>
  <c r="G152" i="19"/>
  <c r="F152" i="19"/>
  <c r="E152" i="19"/>
  <c r="D152" i="19"/>
  <c r="D133" i="19"/>
  <c r="D214" i="19" s="1"/>
  <c r="E18" i="24" s="1"/>
  <c r="E133" i="19"/>
  <c r="E214" i="19" s="1"/>
  <c r="F18" i="24" s="1"/>
  <c r="F133" i="19"/>
  <c r="F134" i="19" s="1"/>
  <c r="G133" i="19"/>
  <c r="G134" i="19" s="1"/>
  <c r="H133" i="19"/>
  <c r="H214" i="19" s="1"/>
  <c r="I18" i="24" s="1"/>
  <c r="I133" i="19"/>
  <c r="I134" i="19" s="1"/>
  <c r="J133" i="19"/>
  <c r="J214" i="19" s="1"/>
  <c r="K18" i="24" s="1"/>
  <c r="K133" i="19"/>
  <c r="K134" i="19" s="1"/>
  <c r="L133" i="19"/>
  <c r="L134" i="19" s="1"/>
  <c r="C134" i="19"/>
  <c r="L119" i="19"/>
  <c r="L211" i="19" s="1"/>
  <c r="M15" i="24" s="1"/>
  <c r="J207" i="19"/>
  <c r="K11" i="24" s="1"/>
  <c r="L66" i="19"/>
  <c r="L206" i="19" s="1"/>
  <c r="D206" i="19"/>
  <c r="E66" i="19"/>
  <c r="E206" i="19" s="1"/>
  <c r="F66" i="19"/>
  <c r="F206" i="19" s="1"/>
  <c r="G66" i="19"/>
  <c r="G206" i="19" s="1"/>
  <c r="H66" i="19"/>
  <c r="H206" i="19" s="1"/>
  <c r="I66" i="19"/>
  <c r="I206" i="19" s="1"/>
  <c r="J66" i="19"/>
  <c r="J206" i="19" s="1"/>
  <c r="K66" i="19"/>
  <c r="K206" i="19" s="1"/>
  <c r="C66" i="19"/>
  <c r="N107" i="19"/>
  <c r="O10" i="27"/>
  <c r="O10" i="19"/>
  <c r="P10" i="19" s="1"/>
  <c r="C212" i="19"/>
  <c r="C210" i="19"/>
  <c r="C14" i="24" s="1"/>
  <c r="C10" i="24"/>
  <c r="C18" i="19"/>
  <c r="D11" i="19"/>
  <c r="E11" i="19"/>
  <c r="E202" i="19" s="1"/>
  <c r="F7" i="24" s="1"/>
  <c r="F11" i="19"/>
  <c r="F202" i="19" s="1"/>
  <c r="G7" i="24" s="1"/>
  <c r="G11" i="19"/>
  <c r="G202" i="19" s="1"/>
  <c r="H7" i="24" s="1"/>
  <c r="H11" i="19"/>
  <c r="H202" i="19" s="1"/>
  <c r="I7" i="24" s="1"/>
  <c r="I11" i="19"/>
  <c r="I202" i="19" s="1"/>
  <c r="J7" i="24" s="1"/>
  <c r="J11" i="19"/>
  <c r="J202" i="19" s="1"/>
  <c r="K7" i="24" s="1"/>
  <c r="K11" i="19"/>
  <c r="K202" i="19" s="1"/>
  <c r="L7" i="24" s="1"/>
  <c r="L11" i="19"/>
  <c r="L202" i="19" s="1"/>
  <c r="M7" i="24" s="1"/>
  <c r="O26" i="24"/>
  <c r="P26" i="24"/>
  <c r="L12" i="27"/>
  <c r="B18" i="28" s="1"/>
  <c r="O7" i="27"/>
  <c r="O41" i="19"/>
  <c r="P41" i="19" s="1"/>
  <c r="M41" i="19"/>
  <c r="N41" i="19" s="1"/>
  <c r="P9" i="19"/>
  <c r="O9" i="27"/>
  <c r="P9" i="27" s="1"/>
  <c r="O11" i="27"/>
  <c r="O8" i="27"/>
  <c r="O6" i="27"/>
  <c r="P5" i="27"/>
  <c r="J146" i="19"/>
  <c r="J215" i="19" s="1"/>
  <c r="K19" i="24" s="1"/>
  <c r="K207" i="19"/>
  <c r="L11" i="24" s="1"/>
  <c r="D43" i="19"/>
  <c r="H31" i="24" s="1"/>
  <c r="E43" i="19"/>
  <c r="I31" i="24" s="1"/>
  <c r="F43" i="19"/>
  <c r="J31" i="24" s="1"/>
  <c r="G43" i="19"/>
  <c r="K31" i="24" s="1"/>
  <c r="H43" i="19"/>
  <c r="L9" i="23" s="1"/>
  <c r="C43" i="19"/>
  <c r="C31" i="24" s="1"/>
  <c r="O31" i="24" s="1"/>
  <c r="I43" i="19"/>
  <c r="M31" i="24" s="1"/>
  <c r="D60" i="19"/>
  <c r="H32" i="24" s="1"/>
  <c r="E60" i="19"/>
  <c r="I32" i="24" s="1"/>
  <c r="F60" i="19"/>
  <c r="J32" i="24" s="1"/>
  <c r="G60" i="19"/>
  <c r="K32" i="24" s="1"/>
  <c r="H60" i="19"/>
  <c r="L32" i="24" s="1"/>
  <c r="D32" i="24"/>
  <c r="I60" i="19"/>
  <c r="M32" i="24" s="1"/>
  <c r="D53" i="19"/>
  <c r="D205" i="19" s="1"/>
  <c r="E10" i="24" s="1"/>
  <c r="C12" i="27"/>
  <c r="D12" i="27"/>
  <c r="B10" i="28" s="1"/>
  <c r="E12" i="27"/>
  <c r="B11" i="28" s="1"/>
  <c r="F12" i="27"/>
  <c r="B12" i="28" s="1"/>
  <c r="G12" i="27"/>
  <c r="B13" i="28" s="1"/>
  <c r="H12" i="27"/>
  <c r="B14" i="28" s="1"/>
  <c r="I12" i="27"/>
  <c r="B15" i="28" s="1"/>
  <c r="J12" i="27"/>
  <c r="B16" i="28" s="1"/>
  <c r="K12" i="27"/>
  <c r="B17" i="28" s="1"/>
  <c r="M97" i="19"/>
  <c r="N16" i="19"/>
  <c r="C213" i="19"/>
  <c r="D17" i="24" s="1"/>
  <c r="C208" i="19"/>
  <c r="D12" i="24" s="1"/>
  <c r="E119" i="19"/>
  <c r="E211" i="19" s="1"/>
  <c r="F15" i="24" s="1"/>
  <c r="F119" i="19"/>
  <c r="F211" i="19" s="1"/>
  <c r="G15" i="24" s="1"/>
  <c r="G119" i="19"/>
  <c r="G211" i="19" s="1"/>
  <c r="H15" i="24" s="1"/>
  <c r="H119" i="19"/>
  <c r="H211" i="19" s="1"/>
  <c r="I15" i="24" s="1"/>
  <c r="I119" i="19"/>
  <c r="I211" i="19" s="1"/>
  <c r="J15" i="24" s="1"/>
  <c r="C211" i="19"/>
  <c r="J119" i="19"/>
  <c r="J211" i="19" s="1"/>
  <c r="K15" i="24" s="1"/>
  <c r="K119" i="19"/>
  <c r="K211" i="19" s="1"/>
  <c r="L15" i="24" s="1"/>
  <c r="D119" i="19"/>
  <c r="D211" i="19" s="1"/>
  <c r="E15" i="24" s="1"/>
  <c r="D92" i="19"/>
  <c r="D209" i="19" s="1"/>
  <c r="E13" i="24" s="1"/>
  <c r="E92" i="19"/>
  <c r="E209" i="19" s="1"/>
  <c r="F13" i="24" s="1"/>
  <c r="F92" i="19"/>
  <c r="F209" i="19" s="1"/>
  <c r="G13" i="24" s="1"/>
  <c r="G92" i="19"/>
  <c r="G209" i="19" s="1"/>
  <c r="H13" i="24" s="1"/>
  <c r="H92" i="19"/>
  <c r="H209" i="19" s="1"/>
  <c r="I13" i="24" s="1"/>
  <c r="I92" i="19"/>
  <c r="I209" i="19" s="1"/>
  <c r="J13" i="24" s="1"/>
  <c r="J92" i="19"/>
  <c r="J209" i="19" s="1"/>
  <c r="K13" i="24" s="1"/>
  <c r="K92" i="19"/>
  <c r="K209" i="19" s="1"/>
  <c r="L13" i="24" s="1"/>
  <c r="L92" i="19"/>
  <c r="L209" i="19" s="1"/>
  <c r="M13" i="24" s="1"/>
  <c r="C209" i="19"/>
  <c r="D208" i="19"/>
  <c r="E12" i="24" s="1"/>
  <c r="E208" i="19"/>
  <c r="F12" i="24" s="1"/>
  <c r="F208" i="19"/>
  <c r="G12" i="24" s="1"/>
  <c r="G208" i="19"/>
  <c r="H12" i="24" s="1"/>
  <c r="H208" i="19"/>
  <c r="I12" i="24" s="1"/>
  <c r="I208" i="19"/>
  <c r="J12" i="24" s="1"/>
  <c r="J208" i="19"/>
  <c r="K12" i="24" s="1"/>
  <c r="K208" i="19"/>
  <c r="L12" i="24" s="1"/>
  <c r="L208" i="19"/>
  <c r="M12" i="24" s="1"/>
  <c r="D207" i="19"/>
  <c r="E11" i="24" s="1"/>
  <c r="E207" i="19"/>
  <c r="F11" i="24" s="1"/>
  <c r="F207" i="19"/>
  <c r="G11" i="24" s="1"/>
  <c r="G207" i="19"/>
  <c r="H11" i="24" s="1"/>
  <c r="H207" i="19"/>
  <c r="I11" i="24" s="1"/>
  <c r="I207" i="19"/>
  <c r="J11" i="24" s="1"/>
  <c r="L207" i="19"/>
  <c r="M11" i="24" s="1"/>
  <c r="C207" i="19"/>
  <c r="D11" i="24" s="1"/>
  <c r="M42" i="19"/>
  <c r="N42" i="19" s="1"/>
  <c r="O42" i="19"/>
  <c r="P42" i="19" s="1"/>
  <c r="P6" i="19"/>
  <c r="P7" i="19"/>
  <c r="P8" i="19"/>
  <c r="I10" i="23"/>
  <c r="D219" i="19"/>
  <c r="E23" i="24" s="1"/>
  <c r="E18" i="19"/>
  <c r="E219" i="19" s="1"/>
  <c r="F23" i="24" s="1"/>
  <c r="F18" i="19"/>
  <c r="F219" i="19" s="1"/>
  <c r="G23" i="24" s="1"/>
  <c r="G18" i="19"/>
  <c r="G219" i="19" s="1"/>
  <c r="H23" i="24" s="1"/>
  <c r="H18" i="19"/>
  <c r="H219" i="19" s="1"/>
  <c r="I23" i="24" s="1"/>
  <c r="I18" i="19"/>
  <c r="I219" i="19" s="1"/>
  <c r="J23" i="24" s="1"/>
  <c r="J18" i="19"/>
  <c r="J219" i="19" s="1"/>
  <c r="K23" i="24" s="1"/>
  <c r="K18" i="19"/>
  <c r="K219" i="19" s="1"/>
  <c r="L23" i="24" s="1"/>
  <c r="L219" i="19"/>
  <c r="M23" i="24" s="1"/>
  <c r="E53" i="19"/>
  <c r="E205" i="19" s="1"/>
  <c r="F10" i="24" s="1"/>
  <c r="F53" i="19"/>
  <c r="F205" i="19" s="1"/>
  <c r="G10" i="24" s="1"/>
  <c r="G53" i="19"/>
  <c r="G205" i="19" s="1"/>
  <c r="H10" i="24" s="1"/>
  <c r="H53" i="19"/>
  <c r="H205" i="19" s="1"/>
  <c r="I10" i="24" s="1"/>
  <c r="I53" i="19"/>
  <c r="I205" i="19" s="1"/>
  <c r="J10" i="24" s="1"/>
  <c r="J53" i="19"/>
  <c r="J205" i="19" s="1"/>
  <c r="K10" i="24" s="1"/>
  <c r="K53" i="19"/>
  <c r="K205" i="19" s="1"/>
  <c r="L10" i="24" s="1"/>
  <c r="L53" i="19"/>
  <c r="L205" i="19" s="1"/>
  <c r="M10" i="24" s="1"/>
  <c r="L175" i="19"/>
  <c r="L217" i="19" s="1"/>
  <c r="M21" i="24" s="1"/>
  <c r="C217" i="19"/>
  <c r="C21" i="24" s="1"/>
  <c r="K175" i="19"/>
  <c r="K217" i="19" s="1"/>
  <c r="L21" i="24" s="1"/>
  <c r="J175" i="19"/>
  <c r="J217" i="19" s="1"/>
  <c r="K21" i="24" s="1"/>
  <c r="I175" i="19"/>
  <c r="I217" i="19" s="1"/>
  <c r="J21" i="24" s="1"/>
  <c r="H175" i="19"/>
  <c r="H217" i="19" s="1"/>
  <c r="I21" i="24" s="1"/>
  <c r="G175" i="19"/>
  <c r="G217" i="19" s="1"/>
  <c r="H21" i="24" s="1"/>
  <c r="F175" i="19"/>
  <c r="F217" i="19" s="1"/>
  <c r="G21" i="24" s="1"/>
  <c r="E175" i="19"/>
  <c r="E217" i="19" s="1"/>
  <c r="F21" i="24" s="1"/>
  <c r="D175" i="19"/>
  <c r="D217" i="19" s="1"/>
  <c r="E21" i="24" s="1"/>
  <c r="T12" i="23"/>
  <c r="S12" i="23"/>
  <c r="R12" i="23"/>
  <c r="Q12" i="23"/>
  <c r="P12" i="23"/>
  <c r="O12" i="23"/>
  <c r="E182" i="19"/>
  <c r="D24" i="22"/>
  <c r="D23" i="22"/>
  <c r="L182" i="19"/>
  <c r="K182" i="19"/>
  <c r="J182" i="19"/>
  <c r="I182" i="19"/>
  <c r="H182" i="19"/>
  <c r="G182" i="19"/>
  <c r="F182" i="19"/>
  <c r="D182" i="19"/>
  <c r="C221" i="19"/>
  <c r="L159" i="19"/>
  <c r="L216" i="19" s="1"/>
  <c r="M20" i="24" s="1"/>
  <c r="C216" i="19"/>
  <c r="C20" i="24" s="1"/>
  <c r="E159" i="19"/>
  <c r="E216" i="19" s="1"/>
  <c r="F20" i="24" s="1"/>
  <c r="F159" i="19"/>
  <c r="F216" i="19" s="1"/>
  <c r="G20" i="24" s="1"/>
  <c r="G159" i="19"/>
  <c r="G216" i="19" s="1"/>
  <c r="H20" i="24" s="1"/>
  <c r="H159" i="19"/>
  <c r="I159" i="19"/>
  <c r="I216" i="19" s="1"/>
  <c r="J20" i="24" s="1"/>
  <c r="K216" i="19"/>
  <c r="L20" i="24" s="1"/>
  <c r="J159" i="19"/>
  <c r="J216" i="19" s="1"/>
  <c r="K20" i="24" s="1"/>
  <c r="N5" i="21"/>
  <c r="N14" i="21"/>
  <c r="O5" i="21"/>
  <c r="P5" i="21"/>
  <c r="P14" i="21"/>
  <c r="N6" i="21"/>
  <c r="O6" i="21"/>
  <c r="P6" i="21"/>
  <c r="N7" i="21"/>
  <c r="O7" i="21"/>
  <c r="P7" i="21"/>
  <c r="N8" i="21"/>
  <c r="O8" i="21"/>
  <c r="P8" i="21"/>
  <c r="N9" i="21"/>
  <c r="O9" i="21"/>
  <c r="P9" i="21"/>
  <c r="N10" i="21"/>
  <c r="O10" i="21"/>
  <c r="P10" i="21"/>
  <c r="N11" i="21"/>
  <c r="O11" i="21"/>
  <c r="P11" i="21"/>
  <c r="N12" i="21"/>
  <c r="O12" i="21"/>
  <c r="P12" i="21"/>
  <c r="N13" i="21"/>
  <c r="O13" i="21"/>
  <c r="P13" i="21"/>
  <c r="N19" i="21"/>
  <c r="O19" i="21"/>
  <c r="P19" i="21"/>
  <c r="P29" i="21"/>
  <c r="N20" i="21"/>
  <c r="O20" i="21"/>
  <c r="P20" i="21"/>
  <c r="N21" i="21"/>
  <c r="O21" i="21"/>
  <c r="P21" i="21"/>
  <c r="N22" i="21"/>
  <c r="P22" i="21"/>
  <c r="N23" i="21"/>
  <c r="P23" i="21"/>
  <c r="N24" i="21"/>
  <c r="P24" i="21"/>
  <c r="N25" i="21"/>
  <c r="P25" i="21"/>
  <c r="N26" i="21"/>
  <c r="P26" i="21"/>
  <c r="N27" i="21"/>
  <c r="P27" i="21"/>
  <c r="N28" i="21"/>
  <c r="P28" i="21"/>
  <c r="N29" i="21"/>
  <c r="N34" i="21"/>
  <c r="N43" i="21"/>
  <c r="P34" i="21"/>
  <c r="P43" i="21"/>
  <c r="N35" i="21"/>
  <c r="P35" i="21"/>
  <c r="N36" i="21"/>
  <c r="P36" i="21"/>
  <c r="N37" i="21"/>
  <c r="P37" i="21"/>
  <c r="N38" i="21"/>
  <c r="P38" i="21"/>
  <c r="N39" i="21"/>
  <c r="P39" i="21"/>
  <c r="N40" i="21"/>
  <c r="P40" i="21"/>
  <c r="N41" i="21"/>
  <c r="P41" i="21"/>
  <c r="N42" i="21"/>
  <c r="P42" i="21"/>
  <c r="N48" i="21"/>
  <c r="N57" i="21"/>
  <c r="P48" i="21"/>
  <c r="P57" i="21"/>
  <c r="N49" i="21"/>
  <c r="P49" i="21"/>
  <c r="N50" i="21"/>
  <c r="P50" i="21"/>
  <c r="N51" i="21"/>
  <c r="P51" i="21"/>
  <c r="N52" i="21"/>
  <c r="P52" i="21"/>
  <c r="N53" i="21"/>
  <c r="P53" i="21"/>
  <c r="N54" i="21"/>
  <c r="P54" i="21"/>
  <c r="N55" i="21"/>
  <c r="P55" i="21"/>
  <c r="N56" i="21"/>
  <c r="P56" i="21"/>
  <c r="N62" i="21"/>
  <c r="N70" i="21"/>
  <c r="P62" i="21"/>
  <c r="N63" i="21"/>
  <c r="P63" i="21"/>
  <c r="N64" i="21"/>
  <c r="P64" i="21"/>
  <c r="N65" i="21"/>
  <c r="P65" i="21"/>
  <c r="N66" i="21"/>
  <c r="P66" i="21"/>
  <c r="N67" i="21"/>
  <c r="P67" i="21"/>
  <c r="N68" i="21"/>
  <c r="P68" i="21"/>
  <c r="N69" i="21"/>
  <c r="P69" i="21"/>
  <c r="P70" i="21"/>
  <c r="N75" i="21"/>
  <c r="P75" i="21"/>
  <c r="N76" i="21"/>
  <c r="P76" i="21"/>
  <c r="N77" i="21"/>
  <c r="P77" i="21"/>
  <c r="N78" i="21"/>
  <c r="P78" i="21"/>
  <c r="N79" i="21"/>
  <c r="P79" i="21"/>
  <c r="N80" i="21"/>
  <c r="P80" i="21"/>
  <c r="N81" i="21"/>
  <c r="P81" i="21"/>
  <c r="N82" i="21"/>
  <c r="P82" i="21"/>
  <c r="N83" i="21"/>
  <c r="P83" i="21"/>
  <c r="N89" i="21"/>
  <c r="N96" i="21"/>
  <c r="P89" i="21"/>
  <c r="P96" i="21"/>
  <c r="N90" i="21"/>
  <c r="P90" i="21"/>
  <c r="N91" i="21"/>
  <c r="P91" i="21"/>
  <c r="N92" i="21"/>
  <c r="P92" i="21"/>
  <c r="N93" i="21"/>
  <c r="P93" i="21"/>
  <c r="N94" i="21"/>
  <c r="P94" i="21"/>
  <c r="N95" i="21"/>
  <c r="P95" i="21"/>
  <c r="N102" i="21"/>
  <c r="N109" i="21"/>
  <c r="P102" i="21"/>
  <c r="P109" i="21"/>
  <c r="N103" i="21"/>
  <c r="P103" i="21"/>
  <c r="N104" i="21"/>
  <c r="P104" i="21"/>
  <c r="N105" i="21"/>
  <c r="P105" i="21"/>
  <c r="N106" i="21"/>
  <c r="P106" i="21"/>
  <c r="N107" i="21"/>
  <c r="P107" i="21"/>
  <c r="N108" i="21"/>
  <c r="P108" i="21"/>
  <c r="N136" i="21"/>
  <c r="P136" i="21"/>
  <c r="M40" i="19"/>
  <c r="N40" i="19" s="1"/>
  <c r="O40" i="19"/>
  <c r="P40" i="19" s="1"/>
  <c r="D99" i="19"/>
  <c r="D210" i="19" s="1"/>
  <c r="E14" i="24" s="1"/>
  <c r="E99" i="19"/>
  <c r="E210" i="19" s="1"/>
  <c r="F14" i="24" s="1"/>
  <c r="F99" i="19"/>
  <c r="F210" i="19" s="1"/>
  <c r="G14" i="24" s="1"/>
  <c r="G99" i="19"/>
  <c r="G210" i="19" s="1"/>
  <c r="H14" i="24" s="1"/>
  <c r="H99" i="19"/>
  <c r="H210" i="19" s="1"/>
  <c r="I14" i="24" s="1"/>
  <c r="I99" i="19"/>
  <c r="I210" i="19" s="1"/>
  <c r="J14" i="24" s="1"/>
  <c r="J99" i="19"/>
  <c r="K99" i="19"/>
  <c r="K210" i="19" s="1"/>
  <c r="L14" i="24" s="1"/>
  <c r="L99" i="19"/>
  <c r="L210" i="19" s="1"/>
  <c r="M14" i="24" s="1"/>
  <c r="D111" i="19"/>
  <c r="D212" i="19" s="1"/>
  <c r="E16" i="24" s="1"/>
  <c r="E111" i="19"/>
  <c r="E212" i="19" s="1"/>
  <c r="F16" i="24" s="1"/>
  <c r="F111" i="19"/>
  <c r="F212" i="19" s="1"/>
  <c r="G16" i="24" s="1"/>
  <c r="G111" i="19"/>
  <c r="G212" i="19" s="1"/>
  <c r="H16" i="24" s="1"/>
  <c r="H111" i="19"/>
  <c r="H212" i="19" s="1"/>
  <c r="I16" i="24" s="1"/>
  <c r="I111" i="19"/>
  <c r="I212" i="19" s="1"/>
  <c r="J16" i="24" s="1"/>
  <c r="J111" i="19"/>
  <c r="J212" i="19" s="1"/>
  <c r="K16" i="24" s="1"/>
  <c r="K111" i="19"/>
  <c r="K212" i="19" s="1"/>
  <c r="L16" i="24" s="1"/>
  <c r="L111" i="19"/>
  <c r="L212" i="19" s="1"/>
  <c r="M16" i="24" s="1"/>
  <c r="D127" i="19"/>
  <c r="E127" i="19"/>
  <c r="E213" i="19" s="1"/>
  <c r="F17" i="24" s="1"/>
  <c r="F127" i="19"/>
  <c r="F213" i="19" s="1"/>
  <c r="G17" i="24" s="1"/>
  <c r="G127" i="19"/>
  <c r="G213" i="19" s="1"/>
  <c r="H17" i="24" s="1"/>
  <c r="H127" i="19"/>
  <c r="H213" i="19" s="1"/>
  <c r="I17" i="24" s="1"/>
  <c r="I127" i="19"/>
  <c r="I213" i="19" s="1"/>
  <c r="J17" i="24" s="1"/>
  <c r="J127" i="19"/>
  <c r="J213" i="19" s="1"/>
  <c r="K17" i="24" s="1"/>
  <c r="K127" i="19"/>
  <c r="K213" i="19" s="1"/>
  <c r="L17" i="24" s="1"/>
  <c r="L127" i="19"/>
  <c r="L213" i="19" s="1"/>
  <c r="M17" i="24" s="1"/>
  <c r="M138" i="19"/>
  <c r="M139" i="19" s="1"/>
  <c r="O138" i="19"/>
  <c r="O139" i="19" s="1"/>
  <c r="C139" i="19"/>
  <c r="D139" i="19"/>
  <c r="E139" i="19"/>
  <c r="F139" i="19"/>
  <c r="G139" i="19"/>
  <c r="H139" i="19"/>
  <c r="I139" i="19"/>
  <c r="J139" i="19"/>
  <c r="K139" i="19"/>
  <c r="L139" i="19"/>
  <c r="C215" i="19"/>
  <c r="C19" i="24" s="1"/>
  <c r="D146" i="19"/>
  <c r="D215" i="19" s="1"/>
  <c r="E19" i="24" s="1"/>
  <c r="E146" i="19"/>
  <c r="E215" i="19" s="1"/>
  <c r="F19" i="24" s="1"/>
  <c r="F146" i="19"/>
  <c r="F215" i="19" s="1"/>
  <c r="G19" i="24" s="1"/>
  <c r="G146" i="19"/>
  <c r="G215" i="19" s="1"/>
  <c r="H19" i="24" s="1"/>
  <c r="H146" i="19"/>
  <c r="H215" i="19" s="1"/>
  <c r="I19" i="24" s="1"/>
  <c r="I146" i="19"/>
  <c r="I215" i="19" s="1"/>
  <c r="J19" i="24" s="1"/>
  <c r="K146" i="19"/>
  <c r="K215" i="19" s="1"/>
  <c r="L19" i="24" s="1"/>
  <c r="L146" i="19"/>
  <c r="L215" i="19" s="1"/>
  <c r="M19" i="24" s="1"/>
  <c r="Q11" i="23"/>
  <c r="P11" i="23"/>
  <c r="E11" i="23"/>
  <c r="S11" i="23" s="1"/>
  <c r="M11" i="23"/>
  <c r="R11" i="23" s="1"/>
  <c r="F11" i="23"/>
  <c r="D202" i="19" l="1"/>
  <c r="E7" i="24" s="1"/>
  <c r="C11" i="19"/>
  <c r="C202" i="19" s="1"/>
  <c r="R8" i="24"/>
  <c r="Q8" i="24"/>
  <c r="P8" i="24"/>
  <c r="O8" i="24"/>
  <c r="P11" i="27"/>
  <c r="O12" i="27"/>
  <c r="B9" i="28"/>
  <c r="B19" i="28" s="1"/>
  <c r="D18" i="28" s="1"/>
  <c r="B12" i="27"/>
  <c r="N8" i="27"/>
  <c r="P8" i="27"/>
  <c r="N6" i="27"/>
  <c r="L221" i="19"/>
  <c r="M26" i="24" s="1"/>
  <c r="R26" i="24" s="1"/>
  <c r="M25" i="24"/>
  <c r="R25" i="24" s="1"/>
  <c r="K221" i="19"/>
  <c r="L26" i="24" s="1"/>
  <c r="L25" i="24"/>
  <c r="J221" i="19"/>
  <c r="K26" i="24" s="1"/>
  <c r="K25" i="24"/>
  <c r="I221" i="19"/>
  <c r="J25" i="24"/>
  <c r="H221" i="19"/>
  <c r="I25" i="24"/>
  <c r="G221" i="19"/>
  <c r="H25" i="24"/>
  <c r="F221" i="19"/>
  <c r="G25" i="24"/>
  <c r="E221" i="19"/>
  <c r="F25" i="24"/>
  <c r="D221" i="19"/>
  <c r="E25" i="24"/>
  <c r="T32" i="24"/>
  <c r="N7" i="27"/>
  <c r="P7" i="27"/>
  <c r="P10" i="27"/>
  <c r="P6" i="27"/>
  <c r="M99" i="19"/>
  <c r="N99" i="19" s="1"/>
  <c r="N97" i="19"/>
  <c r="D216" i="19"/>
  <c r="E20" i="24" s="1"/>
  <c r="O20" i="24" s="1"/>
  <c r="O159" i="19"/>
  <c r="P159" i="19" s="1"/>
  <c r="M66" i="19"/>
  <c r="N66" i="19" s="1"/>
  <c r="N65" i="19"/>
  <c r="C206" i="19"/>
  <c r="P66" i="19"/>
  <c r="O11" i="19"/>
  <c r="P11" i="19" s="1"/>
  <c r="C219" i="19"/>
  <c r="C23" i="24" s="1"/>
  <c r="O23" i="24" s="1"/>
  <c r="P18" i="19"/>
  <c r="P219" i="19" s="1"/>
  <c r="C19" i="20" s="1"/>
  <c r="T23" i="24" s="1"/>
  <c r="P5" i="19"/>
  <c r="J134" i="19"/>
  <c r="J9" i="23"/>
  <c r="D9" i="23"/>
  <c r="E134" i="19"/>
  <c r="L214" i="19"/>
  <c r="M18" i="24" s="1"/>
  <c r="D134" i="19"/>
  <c r="M9" i="23"/>
  <c r="C11" i="24"/>
  <c r="P11" i="24" s="1"/>
  <c r="K214" i="19"/>
  <c r="L18" i="24" s="1"/>
  <c r="L31" i="24"/>
  <c r="Q31" i="24" s="1"/>
  <c r="H9" i="23"/>
  <c r="C12" i="24"/>
  <c r="R12" i="24" s="1"/>
  <c r="D10" i="23"/>
  <c r="T10" i="23" s="1"/>
  <c r="N138" i="19"/>
  <c r="C9" i="23"/>
  <c r="O9" i="23" s="1"/>
  <c r="D31" i="24"/>
  <c r="C17" i="24"/>
  <c r="Q17" i="24" s="1"/>
  <c r="O217" i="19"/>
  <c r="I214" i="19"/>
  <c r="J18" i="24" s="1"/>
  <c r="N221" i="19"/>
  <c r="B21" i="20" s="1"/>
  <c r="N139" i="19"/>
  <c r="M43" i="19"/>
  <c r="N43" i="19" s="1"/>
  <c r="R19" i="24"/>
  <c r="D24" i="24"/>
  <c r="C24" i="24"/>
  <c r="O24" i="24" s="1"/>
  <c r="I9" i="23"/>
  <c r="D19" i="24"/>
  <c r="H134" i="19"/>
  <c r="C22" i="24"/>
  <c r="R22" i="24" s="1"/>
  <c r="F214" i="19"/>
  <c r="G18" i="24" s="1"/>
  <c r="C15" i="24"/>
  <c r="Q15" i="24" s="1"/>
  <c r="D15" i="24"/>
  <c r="O211" i="19"/>
  <c r="D13" i="24"/>
  <c r="C13" i="24"/>
  <c r="O13" i="24" s="1"/>
  <c r="C32" i="24"/>
  <c r="C10" i="23"/>
  <c r="D8" i="24"/>
  <c r="R20" i="24"/>
  <c r="O21" i="24"/>
  <c r="O218" i="19"/>
  <c r="K9" i="23"/>
  <c r="P10" i="24"/>
  <c r="N75" i="19"/>
  <c r="N207" i="19" s="1"/>
  <c r="B7" i="20" s="1"/>
  <c r="S11" i="24" s="1"/>
  <c r="O221" i="19"/>
  <c r="D20" i="24"/>
  <c r="O43" i="19"/>
  <c r="P43" i="19" s="1"/>
  <c r="O19" i="24"/>
  <c r="Q10" i="24"/>
  <c r="R10" i="24"/>
  <c r="C7" i="24"/>
  <c r="Q7" i="24" s="1"/>
  <c r="D7" i="24"/>
  <c r="T11" i="23"/>
  <c r="G214" i="19"/>
  <c r="H18" i="24" s="1"/>
  <c r="F218" i="19"/>
  <c r="G22" i="24" s="1"/>
  <c r="Q20" i="24"/>
  <c r="P14" i="24"/>
  <c r="O11" i="23"/>
  <c r="P21" i="24"/>
  <c r="N11" i="19"/>
  <c r="O14" i="24"/>
  <c r="O134" i="19"/>
  <c r="P134" i="19" s="1"/>
  <c r="D10" i="24"/>
  <c r="M209" i="19"/>
  <c r="C214" i="19"/>
  <c r="P139" i="19"/>
  <c r="C16" i="24"/>
  <c r="O16" i="24" s="1"/>
  <c r="D16" i="24"/>
  <c r="R14" i="24"/>
  <c r="D14" i="24"/>
  <c r="R21" i="24"/>
  <c r="P19" i="24"/>
  <c r="J210" i="19"/>
  <c r="K14" i="24" s="1"/>
  <c r="Q14" i="24" s="1"/>
  <c r="O10" i="24"/>
  <c r="Q19" i="24"/>
  <c r="D21" i="24"/>
  <c r="H216" i="19"/>
  <c r="I20" i="24" s="1"/>
  <c r="P20" i="24" s="1"/>
  <c r="Q21" i="24"/>
  <c r="D213" i="19"/>
  <c r="E17" i="24" s="1"/>
  <c r="P138" i="19"/>
  <c r="P31" i="24"/>
  <c r="R31" i="24"/>
  <c r="S31" i="24"/>
  <c r="O32" i="24" l="1"/>
  <c r="R32" i="24"/>
  <c r="S32" i="24"/>
  <c r="P32" i="24"/>
  <c r="C25" i="28"/>
  <c r="D25" i="28" s="1"/>
  <c r="C23" i="28"/>
  <c r="D23" i="28" s="1"/>
  <c r="C24" i="28"/>
  <c r="D24" i="28" s="1"/>
  <c r="N12" i="27"/>
  <c r="B14" i="27" s="1"/>
  <c r="Q26" i="24"/>
  <c r="Q25" i="24"/>
  <c r="P25" i="24"/>
  <c r="O25" i="24"/>
  <c r="Q32" i="24"/>
  <c r="R23" i="24"/>
  <c r="P12" i="27"/>
  <c r="B15" i="27" s="1"/>
  <c r="D13" i="28"/>
  <c r="D11" i="28"/>
  <c r="E5" i="28"/>
  <c r="D10" i="28"/>
  <c r="D16" i="28"/>
  <c r="D14" i="28"/>
  <c r="D9" i="28"/>
  <c r="D17" i="28"/>
  <c r="D12" i="28"/>
  <c r="D15" i="28"/>
  <c r="M210" i="19"/>
  <c r="Q23" i="24"/>
  <c r="D23" i="24"/>
  <c r="M206" i="19"/>
  <c r="P23" i="24"/>
  <c r="T31" i="24"/>
  <c r="Q11" i="24"/>
  <c r="M221" i="19"/>
  <c r="O11" i="24"/>
  <c r="R11" i="24"/>
  <c r="R13" i="24"/>
  <c r="P9" i="23"/>
  <c r="Q13" i="24"/>
  <c r="R17" i="24"/>
  <c r="P17" i="24"/>
  <c r="O15" i="24"/>
  <c r="O12" i="24"/>
  <c r="Q12" i="24"/>
  <c r="P12" i="24"/>
  <c r="O17" i="24"/>
  <c r="P24" i="24"/>
  <c r="P217" i="19"/>
  <c r="C17" i="20" s="1"/>
  <c r="T21" i="24" s="1"/>
  <c r="R24" i="24"/>
  <c r="R9" i="23"/>
  <c r="S9" i="23"/>
  <c r="Q24" i="24"/>
  <c r="P22" i="24"/>
  <c r="P13" i="24"/>
  <c r="Q9" i="23"/>
  <c r="N210" i="19"/>
  <c r="B10" i="20" s="1"/>
  <c r="S14" i="24" s="1"/>
  <c r="T9" i="23"/>
  <c r="Q22" i="24"/>
  <c r="N217" i="19"/>
  <c r="B17" i="20" s="1"/>
  <c r="S21" i="24" s="1"/>
  <c r="M217" i="19"/>
  <c r="O22" i="24"/>
  <c r="P211" i="19"/>
  <c r="C11" i="20" s="1"/>
  <c r="T15" i="24" s="1"/>
  <c r="R15" i="24"/>
  <c r="P15" i="24"/>
  <c r="N209" i="19"/>
  <c r="B9" i="20" s="1"/>
  <c r="S13" i="24" s="1"/>
  <c r="M207" i="19"/>
  <c r="Q10" i="23"/>
  <c r="O10" i="23"/>
  <c r="S10" i="23"/>
  <c r="R10" i="23"/>
  <c r="P10" i="23"/>
  <c r="O219" i="19"/>
  <c r="P221" i="19"/>
  <c r="C21" i="20" s="1"/>
  <c r="N18" i="19"/>
  <c r="N219" i="19" s="1"/>
  <c r="B19" i="20" s="1"/>
  <c r="S23" i="24" s="1"/>
  <c r="M219" i="19"/>
  <c r="P218" i="19"/>
  <c r="C18" i="20" s="1"/>
  <c r="T22" i="24" s="1"/>
  <c r="P214" i="19"/>
  <c r="C14" i="20" s="1"/>
  <c r="T18" i="24" s="1"/>
  <c r="O214" i="19"/>
  <c r="N216" i="19"/>
  <c r="B16" i="20" s="1"/>
  <c r="S20" i="24" s="1"/>
  <c r="M216" i="19"/>
  <c r="N214" i="19"/>
  <c r="B14" i="20" s="1"/>
  <c r="S18" i="24" s="1"/>
  <c r="M214" i="19"/>
  <c r="M134" i="19"/>
  <c r="N134" i="19" s="1"/>
  <c r="D18" i="24"/>
  <c r="C18" i="24"/>
  <c r="S25" i="24"/>
  <c r="S26" i="24"/>
  <c r="P207" i="19"/>
  <c r="C7" i="20" s="1"/>
  <c r="T11" i="24" s="1"/>
  <c r="O207" i="19"/>
  <c r="N208" i="19"/>
  <c r="B8" i="20" s="1"/>
  <c r="S12" i="24" s="1"/>
  <c r="M208" i="19"/>
  <c r="M212" i="19"/>
  <c r="N212" i="19"/>
  <c r="B12" i="20" s="1"/>
  <c r="S16" i="24" s="1"/>
  <c r="N202" i="19"/>
  <c r="B3" i="20" s="1"/>
  <c r="S7" i="24" s="1"/>
  <c r="M202" i="19"/>
  <c r="N220" i="19"/>
  <c r="B20" i="20" s="1"/>
  <c r="S24" i="24" s="1"/>
  <c r="M220" i="19"/>
  <c r="R7" i="24"/>
  <c r="P209" i="19"/>
  <c r="C9" i="20" s="1"/>
  <c r="T13" i="24" s="1"/>
  <c r="O209" i="19"/>
  <c r="N203" i="19"/>
  <c r="B4" i="20" s="1"/>
  <c r="S8" i="24" s="1"/>
  <c r="M203" i="19"/>
  <c r="P202" i="19"/>
  <c r="C3" i="20" s="1"/>
  <c r="T7" i="24" s="1"/>
  <c r="O202" i="19"/>
  <c r="P7" i="24"/>
  <c r="M218" i="19"/>
  <c r="N218" i="19"/>
  <c r="B18" i="20" s="1"/>
  <c r="S22" i="24" s="1"/>
  <c r="N206" i="19"/>
  <c r="O212" i="19"/>
  <c r="P212" i="19"/>
  <c r="C12" i="20" s="1"/>
  <c r="T16" i="24" s="1"/>
  <c r="P208" i="19"/>
  <c r="C8" i="20" s="1"/>
  <c r="T12" i="24" s="1"/>
  <c r="O208" i="19"/>
  <c r="O220" i="19"/>
  <c r="P220" i="19"/>
  <c r="C20" i="20" s="1"/>
  <c r="T24" i="24" s="1"/>
  <c r="O7" i="24"/>
  <c r="P216" i="19"/>
  <c r="C16" i="20" s="1"/>
  <c r="T20" i="24" s="1"/>
  <c r="O216" i="19"/>
  <c r="N211" i="19"/>
  <c r="B11" i="20" s="1"/>
  <c r="S15" i="24" s="1"/>
  <c r="M211" i="19"/>
  <c r="M205" i="19"/>
  <c r="N205" i="19"/>
  <c r="P203" i="19"/>
  <c r="O203" i="19"/>
  <c r="P213" i="19"/>
  <c r="C13" i="20" s="1"/>
  <c r="T17" i="24" s="1"/>
  <c r="O213" i="19"/>
  <c r="O206" i="19"/>
  <c r="P206" i="19"/>
  <c r="P215" i="19"/>
  <c r="C15" i="20" s="1"/>
  <c r="T19" i="24" s="1"/>
  <c r="O215" i="19"/>
  <c r="O205" i="19"/>
  <c r="P205" i="19"/>
  <c r="C6" i="20" s="1"/>
  <c r="T10" i="24" s="1"/>
  <c r="N213" i="19"/>
  <c r="B13" i="20" s="1"/>
  <c r="S17" i="24" s="1"/>
  <c r="M213" i="19"/>
  <c r="N215" i="19"/>
  <c r="B15" i="20" s="1"/>
  <c r="S19" i="24" s="1"/>
  <c r="M215" i="19"/>
  <c r="O210" i="19"/>
  <c r="P210" i="19"/>
  <c r="C10" i="20" s="1"/>
  <c r="T14" i="24" s="1"/>
  <c r="Q16" i="24"/>
  <c r="P16" i="24"/>
  <c r="R16" i="24"/>
  <c r="T25" i="24" l="1"/>
  <c r="T26" i="24"/>
  <c r="R18" i="24"/>
  <c r="P18" i="24"/>
  <c r="Q18" i="24"/>
  <c r="O18" i="24"/>
  <c r="C4" i="20"/>
  <c r="T8" i="24" s="1"/>
  <c r="P222" i="19"/>
  <c r="B6" i="20"/>
  <c r="S10" i="24" s="1"/>
  <c r="N222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<sst xmlns="http://schemas.openxmlformats.org/spreadsheetml/2006/main" count="1140" uniqueCount="228">
  <si>
    <t>BAHASA MELAYU (1201)</t>
  </si>
  <si>
    <t xml:space="preserve">    Distinction</t>
  </si>
  <si>
    <t xml:space="preserve">        Credit</t>
  </si>
  <si>
    <t xml:space="preserve">       Pass</t>
  </si>
  <si>
    <t>Fail</t>
  </si>
  <si>
    <t>Class</t>
  </si>
  <si>
    <t>Taught By</t>
  </si>
  <si>
    <t>Total</t>
  </si>
  <si>
    <t>A*</t>
  </si>
  <si>
    <t>A2</t>
  </si>
  <si>
    <t>B3</t>
  </si>
  <si>
    <t>B4</t>
  </si>
  <si>
    <t>C5</t>
  </si>
  <si>
    <t>C6</t>
  </si>
  <si>
    <t>D7</t>
  </si>
  <si>
    <t>E8</t>
  </si>
  <si>
    <t>U</t>
  </si>
  <si>
    <t>Total
1-6</t>
  </si>
  <si>
    <t>%
1-6</t>
  </si>
  <si>
    <t>Total
1-8</t>
  </si>
  <si>
    <t>%
1-8</t>
  </si>
  <si>
    <t>YEAR 10S</t>
  </si>
  <si>
    <t>CG SALMIAH</t>
  </si>
  <si>
    <t>YEAR 10C</t>
  </si>
  <si>
    <t>CG RAFIDAH</t>
  </si>
  <si>
    <t>YEAR 10H</t>
  </si>
  <si>
    <t>CG NOOR ZURINA</t>
  </si>
  <si>
    <t>YEAR 10O</t>
  </si>
  <si>
    <t>YEAR 10L</t>
  </si>
  <si>
    <t>YEAR 10A</t>
  </si>
  <si>
    <t>YEAR 1OR</t>
  </si>
  <si>
    <t>Overall</t>
  </si>
  <si>
    <t>SASTERA (2023)</t>
  </si>
  <si>
    <t>CG YULI</t>
  </si>
  <si>
    <t>ENGLISH LANGUAGE (1120)</t>
  </si>
  <si>
    <t>CG CHANTELLE</t>
  </si>
  <si>
    <t>CG ASFARINA</t>
  </si>
  <si>
    <t>CG NOR SUZI</t>
  </si>
  <si>
    <t>CG ANA</t>
  </si>
  <si>
    <t>IGCSE ENGLISH</t>
  </si>
  <si>
    <t>CG HJH MARIAH</t>
  </si>
  <si>
    <t>E2L IGCSE Core (0510)</t>
  </si>
  <si>
    <t>GRADE</t>
  </si>
  <si>
    <t>C</t>
  </si>
  <si>
    <t>D</t>
  </si>
  <si>
    <t>E</t>
  </si>
  <si>
    <t>F</t>
  </si>
  <si>
    <t>G</t>
  </si>
  <si>
    <t>Total   C</t>
  </si>
  <si>
    <t xml:space="preserve">%
C </t>
  </si>
  <si>
    <t>Total
C - G</t>
  </si>
  <si>
    <t>%
C - G</t>
  </si>
  <si>
    <t>10G</t>
  </si>
  <si>
    <t>10H</t>
  </si>
  <si>
    <t>10T</t>
  </si>
  <si>
    <t>MATHEMATICS D (4024)</t>
  </si>
  <si>
    <t>CG PG AZIMIN</t>
  </si>
  <si>
    <t>CG AFZAN</t>
  </si>
  <si>
    <t>CG NUR AISYAH</t>
  </si>
  <si>
    <t>MATHEMATICS IGCSE - CORE (0580)</t>
  </si>
  <si>
    <t>Total
C</t>
  </si>
  <si>
    <t>%
C</t>
  </si>
  <si>
    <t>Total
C-G</t>
  </si>
  <si>
    <t>%
C-G</t>
  </si>
  <si>
    <t>YEAR 10 A</t>
  </si>
  <si>
    <t>CG HJH SOFINAH</t>
  </si>
  <si>
    <t>YEAR 10 R</t>
  </si>
  <si>
    <t>ADDITIONAL MATHEMATICS (4037)</t>
  </si>
  <si>
    <t>PHYSICS (5054)</t>
  </si>
  <si>
    <t xml:space="preserve">YEAR 10S </t>
  </si>
  <si>
    <t>CG CHONG CHEW WAH</t>
  </si>
  <si>
    <t>YEAR 10 O</t>
  </si>
  <si>
    <t>CG NORIQA SYAZANANI</t>
  </si>
  <si>
    <t>CHEMISTRY (5070)</t>
  </si>
  <si>
    <t>CG HJH NOORMAH</t>
  </si>
  <si>
    <t>CG AZIEMAH</t>
  </si>
  <si>
    <t>BIOLOGY (5090)</t>
  </si>
  <si>
    <t>CG ABIB</t>
  </si>
  <si>
    <t>COMBINED SCIENCE (5129)</t>
  </si>
  <si>
    <t>CG FADILLAH</t>
  </si>
  <si>
    <t>YEAR 10R</t>
  </si>
  <si>
    <t>ISLAMIC RELIGIOUS KNOWLEDGE (2047)</t>
  </si>
  <si>
    <t>CG HJH RAHIJAH</t>
  </si>
  <si>
    <t>CG NOOR HASRINAWATI</t>
  </si>
  <si>
    <t>GEOGRAPHY (2230)</t>
  </si>
  <si>
    <t>CG MAZLINA</t>
  </si>
  <si>
    <t>CG DK NOORFAHAYATUL</t>
  </si>
  <si>
    <t>HISTORY (2171)</t>
  </si>
  <si>
    <t>CG JALILAH</t>
  </si>
  <si>
    <t>CG AZYMAH</t>
  </si>
  <si>
    <t>COMMERCE (7100)</t>
  </si>
  <si>
    <t>CG KHUZAIMAH</t>
  </si>
  <si>
    <t>ECONOMICS</t>
  </si>
  <si>
    <t>ACCOUNTING (7077)</t>
  </si>
  <si>
    <t>CG MASTUNAH</t>
  </si>
  <si>
    <t>CG TANG POW GIOK</t>
  </si>
  <si>
    <t>ECONOMICS (2281)</t>
  </si>
  <si>
    <t>ART &amp; DESIGN (6089)</t>
  </si>
  <si>
    <t>CG HJH NUR IZZAH</t>
  </si>
  <si>
    <t>AGRICULTURE (5038)</t>
  </si>
  <si>
    <t>CG HJH SITI AMINAH</t>
  </si>
  <si>
    <t>FOOD &amp; NUTRITION (6065)</t>
  </si>
  <si>
    <t>CG MARDINAH</t>
  </si>
  <si>
    <t>CG DK NURUR RAHIMAH</t>
  </si>
  <si>
    <t>COMPUTER SCIENCE (2210)</t>
  </si>
  <si>
    <t>CG ERNA</t>
  </si>
  <si>
    <t>TRAVEL AND TOURISM</t>
  </si>
  <si>
    <t>CG  DYG SITI RADIN</t>
  </si>
  <si>
    <t>ICT</t>
  </si>
  <si>
    <t>CG DK MORHASMIMIWATI</t>
  </si>
  <si>
    <t>Distinction</t>
  </si>
  <si>
    <t>Credit</t>
  </si>
  <si>
    <t>Pass</t>
  </si>
  <si>
    <t>Subject</t>
  </si>
  <si>
    <t>A*1</t>
  </si>
  <si>
    <t>B.Melayu</t>
  </si>
  <si>
    <t>English Language</t>
  </si>
  <si>
    <t>IGCSE English</t>
  </si>
  <si>
    <t>Mathematics D</t>
  </si>
  <si>
    <t>Additional Maths</t>
  </si>
  <si>
    <t>Physics</t>
  </si>
  <si>
    <t>Chemistry</t>
  </si>
  <si>
    <t>Biology</t>
  </si>
  <si>
    <t>Combined Science</t>
  </si>
  <si>
    <t>Geography</t>
  </si>
  <si>
    <t>IRK</t>
  </si>
  <si>
    <t>History</t>
  </si>
  <si>
    <t>Commerce</t>
  </si>
  <si>
    <t>Accounting</t>
  </si>
  <si>
    <t>Art &amp; Design</t>
  </si>
  <si>
    <t>Food &amp; Nutrition</t>
  </si>
  <si>
    <t>Agriculture</t>
  </si>
  <si>
    <t>Sastera</t>
  </si>
  <si>
    <t>Travel and Tourism</t>
  </si>
  <si>
    <t>Computer Science</t>
  </si>
  <si>
    <t>Average</t>
  </si>
  <si>
    <t>Subjects</t>
  </si>
  <si>
    <t>Class + No of stdn</t>
  </si>
  <si>
    <t>Class Avg</t>
  </si>
  <si>
    <t>10Sci2 (26)</t>
  </si>
  <si>
    <t>10Sci3 (25)</t>
  </si>
  <si>
    <t>10A (31)</t>
  </si>
  <si>
    <t>10M (30)</t>
  </si>
  <si>
    <t>10B (31)</t>
  </si>
  <si>
    <t>10E (32)</t>
  </si>
  <si>
    <t>10R (31)</t>
  </si>
  <si>
    <t>Menengah 4A</t>
  </si>
  <si>
    <t>English</t>
  </si>
  <si>
    <t>Maths</t>
  </si>
  <si>
    <t>Add Maths</t>
  </si>
  <si>
    <t>Computer</t>
  </si>
  <si>
    <t>Menengah 4B</t>
  </si>
  <si>
    <t>Economics</t>
  </si>
  <si>
    <t>POA</t>
  </si>
  <si>
    <t>Menengah 4C</t>
  </si>
  <si>
    <t>Comb Sc</t>
  </si>
  <si>
    <t>Agr Sc</t>
  </si>
  <si>
    <t>Menengah 4D</t>
  </si>
  <si>
    <t>Art</t>
  </si>
  <si>
    <t>Menengah 4E</t>
  </si>
  <si>
    <t>Menengah 4F</t>
  </si>
  <si>
    <t>Menengah 4G</t>
  </si>
  <si>
    <t>Menengah 4H</t>
  </si>
  <si>
    <t>B.Mel</t>
  </si>
  <si>
    <t>Eng</t>
  </si>
  <si>
    <t>A Math</t>
  </si>
  <si>
    <t>Phy</t>
  </si>
  <si>
    <t>Chem</t>
  </si>
  <si>
    <t>Bio</t>
  </si>
  <si>
    <t>C Sci</t>
  </si>
  <si>
    <t>Geog</t>
  </si>
  <si>
    <t>His</t>
  </si>
  <si>
    <t>Comm</t>
  </si>
  <si>
    <t>Eco</t>
  </si>
  <si>
    <t>Comp</t>
  </si>
  <si>
    <t>A Sci</t>
  </si>
  <si>
    <t>Sas</t>
  </si>
  <si>
    <t>Sub</t>
  </si>
  <si>
    <t>Y10 MID YEAR EXAMINATION 2016</t>
  </si>
  <si>
    <t xml:space="preserve">SEKOLAH MENENGAH PG ANAK PUTERI HAJAH MASNA </t>
  </si>
  <si>
    <t>IGCSE SUBJECTS</t>
  </si>
  <si>
    <t>NUMBER OF CANDIDATES OBTAINING</t>
  </si>
  <si>
    <t>PERCENTAGE FOR GRADES</t>
  </si>
  <si>
    <t>NO. OF CANDIDATE</t>
  </si>
  <si>
    <t>ABSENT</t>
  </si>
  <si>
    <t>REGISTERED</t>
  </si>
  <si>
    <t>SAT</t>
  </si>
  <si>
    <t>A</t>
  </si>
  <si>
    <t>B</t>
  </si>
  <si>
    <t>X</t>
  </si>
  <si>
    <t>A*- A</t>
  </si>
  <si>
    <t>B-C</t>
  </si>
  <si>
    <t>D-G</t>
  </si>
  <si>
    <t>%
A* - C</t>
  </si>
  <si>
    <t>%
A* - G</t>
  </si>
  <si>
    <t>IGCSE English E2L 
(Core)</t>
  </si>
  <si>
    <t>IGCSE Mathematics 
(Core)</t>
  </si>
  <si>
    <t>IGCSE PE
(Extended)</t>
  </si>
  <si>
    <t>IGCSE ICT 
(Extended)</t>
  </si>
  <si>
    <t>SEKOLAH MENENGAH PG ANAK PUTERI HAJAH MASNA</t>
  </si>
  <si>
    <t>OVERALL RESULTS - YEAR 10, ASSESSMENT 2 2026</t>
  </si>
  <si>
    <t>REMARKS</t>
  </si>
  <si>
    <t>1-2</t>
  </si>
  <si>
    <t>3-6</t>
  </si>
  <si>
    <t>7-8</t>
  </si>
  <si>
    <t>9</t>
  </si>
  <si>
    <t>Literature in English</t>
  </si>
  <si>
    <t xml:space="preserve">No. Of Candidate Registered </t>
  </si>
  <si>
    <t>No. Of Candidate Sitting</t>
  </si>
  <si>
    <t>Withdrawn</t>
  </si>
  <si>
    <t>Credit Attained</t>
  </si>
  <si>
    <t>No. Of Student</t>
  </si>
  <si>
    <t>%</t>
  </si>
  <si>
    <t>No. of 
Student</t>
  </si>
  <si>
    <t>4 or more Credits</t>
  </si>
  <si>
    <t>5 or more Credits</t>
  </si>
  <si>
    <t>YEAR 10, ASSESSMENT 2 2026</t>
  </si>
  <si>
    <t>No. of Candidates</t>
  </si>
  <si>
    <t>No. of Credits Obtained</t>
  </si>
  <si>
    <t>5 'O' &amp; above</t>
  </si>
  <si>
    <t>3 'O' &amp; above</t>
  </si>
  <si>
    <t>YEAR10H</t>
  </si>
  <si>
    <t>YEAR10O</t>
  </si>
  <si>
    <t>Total No. of Candidates</t>
  </si>
  <si>
    <t>% obtained 5'O' &amp; above</t>
  </si>
  <si>
    <t>% obtained 3'O' &amp; above</t>
  </si>
  <si>
    <t>YEAR 9, ASSESSMENT 1 2025</t>
  </si>
  <si>
    <t>3 or more Credits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</si>
</sst>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9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u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2"/>
      <name val="Helv"/>
    </font>
    <font>
      <b/>
      <sz val="14"/>
      <name val="Helv"/>
    </font>
    <font>
      <b/>
      <sz val="8"/>
      <name val="Arial"/>
      <family val="2"/>
    </font>
    <font>
      <b/>
      <sz val="11"/>
      <name val="Arial"/>
      <family val="2"/>
    </font>
    <font>
      <sz val="12"/>
      <name val="Calibri"/>
      <family val="2"/>
    </font>
    <font>
      <sz val="12"/>
      <color indexed="8"/>
      <name val="Calibri"/>
      <family val="2"/>
    </font>
    <font>
      <b/>
      <sz val="12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sz val="14"/>
      <name val="Calibri"/>
      <family val="2"/>
    </font>
    <font>
      <b/>
      <sz val="11"/>
      <name val="Calibri"/>
      <family val="2"/>
    </font>
    <font>
      <b/>
      <sz val="24"/>
      <color indexed="8"/>
      <name val="Calibri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4"/>
      <name val="Calibri"/>
      <family val="2"/>
      <scheme val="minor"/>
    </font>
    <font>
      <b/>
      <sz val="28"/>
      <color theme="1"/>
      <name val="Calibri"/>
      <family val="2"/>
      <scheme val="minor"/>
    </font>
    <font>
      <i/>
      <sz val="2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0000FF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b/>
      <sz val="20"/>
      <color rgb="FF0000FF"/>
      <name val="Arial"/>
      <family val="2"/>
    </font>
    <font>
      <b/>
      <sz val="18"/>
      <color rgb="FF0000FF"/>
      <name val="Arial"/>
      <family val="2"/>
    </font>
    <font>
      <sz val="12"/>
      <color rgb="FF0000FF"/>
      <name val="Arial"/>
      <family val="2"/>
    </font>
    <font>
      <b/>
      <sz val="24"/>
      <color rgb="FF0000FF"/>
      <name val="Arial"/>
      <family val="2"/>
    </font>
    <font>
      <b/>
      <sz val="24"/>
      <color rgb="FF0000FF"/>
      <name val="Calibri"/>
      <family val="2"/>
    </font>
    <font>
      <i/>
      <sz val="22"/>
      <color rgb="FF0000FF"/>
      <name val="Calibri"/>
      <family val="2"/>
    </font>
    <font>
      <b/>
      <sz val="12"/>
      <color rgb="FF0000FF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0"/>
      <name val="Cambria"/>
    </font>
    <font>
      <sz val="10"/>
      <name val="Cambria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0" fontId="14" fillId="0" borderId="0"/>
    <xf numFmtId="9" fontId="1" fillId="0" borderId="0" applyFont="0" applyFill="0" applyBorder="0" applyAlignment="0" applyProtection="0"/>
  </cellStyleXfs>
  <cellXfs count="29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2" xfId="0" applyFont="1" applyBorder="1"/>
    <xf numFmtId="0" fontId="2" fillId="0" borderId="1" xfId="0" applyFont="1" applyBorder="1"/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5" fillId="0" borderId="0" xfId="0" applyFont="1"/>
    <xf numFmtId="0" fontId="6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164" fontId="7" fillId="2" borderId="4" xfId="0" applyNumberFormat="1" applyFont="1" applyFill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0" fontId="7" fillId="2" borderId="0" xfId="0" applyFont="1" applyFill="1"/>
    <xf numFmtId="164" fontId="8" fillId="2" borderId="0" xfId="0" applyNumberFormat="1" applyFont="1" applyFill="1" applyAlignment="1">
      <alignment horizontal="center"/>
    </xf>
    <xf numFmtId="0" fontId="7" fillId="0" borderId="0" xfId="0" applyFont="1"/>
    <xf numFmtId="164" fontId="8" fillId="0" borderId="0" xfId="0" applyNumberFormat="1" applyFont="1" applyAlignment="1">
      <alignment horizontal="center"/>
    </xf>
    <xf numFmtId="1" fontId="7" fillId="2" borderId="4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164" fontId="10" fillId="2" borderId="4" xfId="0" applyNumberFormat="1" applyFont="1" applyFill="1" applyBorder="1" applyAlignment="1">
      <alignment horizontal="center" vertical="center"/>
    </xf>
    <xf numFmtId="1" fontId="10" fillId="2" borderId="4" xfId="0" applyNumberFormat="1" applyFont="1" applyFill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64" fontId="9" fillId="2" borderId="4" xfId="0" applyNumberFormat="1" applyFont="1" applyFill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0" fillId="0" borderId="4" xfId="0" applyNumberFormat="1" applyBorder="1" applyAlignment="1">
      <alignment horizont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9" fillId="0" borderId="4" xfId="0" applyFont="1" applyBorder="1"/>
    <xf numFmtId="0" fontId="9" fillId="0" borderId="4" xfId="0" applyFont="1" applyBorder="1" applyAlignment="1">
      <alignment horizontal="left"/>
    </xf>
    <xf numFmtId="164" fontId="9" fillId="0" borderId="0" xfId="0" applyNumberFormat="1" applyFont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2" fillId="0" borderId="5" xfId="0" applyFont="1" applyBorder="1" applyAlignment="1">
      <alignment horizontal="left"/>
    </xf>
    <xf numFmtId="18" fontId="2" fillId="0" borderId="4" xfId="0" applyNumberFormat="1" applyFont="1" applyBorder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9" fontId="9" fillId="2" borderId="0" xfId="0" applyNumberFormat="1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0" fillId="0" borderId="0" xfId="0" applyFont="1"/>
    <xf numFmtId="0" fontId="0" fillId="0" borderId="4" xfId="0" applyBorder="1" applyAlignment="1">
      <alignment horizontal="center" vertical="center"/>
    </xf>
    <xf numFmtId="0" fontId="26" fillId="0" borderId="4" xfId="1" applyFont="1" applyBorder="1" applyAlignment="1">
      <alignment horizontal="center"/>
    </xf>
    <xf numFmtId="0" fontId="26" fillId="0" borderId="0" xfId="2" applyFont="1"/>
    <xf numFmtId="0" fontId="27" fillId="0" borderId="0" xfId="0" applyFont="1"/>
    <xf numFmtId="0" fontId="28" fillId="0" borderId="4" xfId="1" applyFont="1" applyBorder="1" applyAlignment="1">
      <alignment horizontal="center" vertical="center" wrapText="1"/>
    </xf>
    <xf numFmtId="0" fontId="28" fillId="0" borderId="4" xfId="1" applyFont="1" applyBorder="1" applyAlignment="1">
      <alignment horizontal="center" vertical="center"/>
    </xf>
    <xf numFmtId="0" fontId="26" fillId="0" borderId="0" xfId="1" applyFont="1" applyAlignment="1">
      <alignment horizontal="center"/>
    </xf>
    <xf numFmtId="2" fontId="26" fillId="0" borderId="4" xfId="1" applyNumberFormat="1" applyFont="1" applyBorder="1" applyAlignment="1">
      <alignment horizontal="center"/>
    </xf>
    <xf numFmtId="0" fontId="4" fillId="0" borderId="0" xfId="1"/>
    <xf numFmtId="0" fontId="15" fillId="0" borderId="0" xfId="3" applyFont="1" applyAlignment="1">
      <alignment horizontal="center"/>
    </xf>
    <xf numFmtId="0" fontId="29" fillId="0" borderId="4" xfId="3" applyFont="1" applyBorder="1" applyAlignment="1">
      <alignment horizontal="center" vertical="center" wrapText="1"/>
    </xf>
    <xf numFmtId="0" fontId="30" fillId="0" borderId="4" xfId="3" applyFont="1" applyBorder="1" applyAlignment="1">
      <alignment horizontal="center" vertical="center"/>
    </xf>
    <xf numFmtId="0" fontId="31" fillId="0" borderId="4" xfId="3" applyFont="1" applyBorder="1" applyAlignment="1">
      <alignment horizontal="center" vertical="center"/>
    </xf>
    <xf numFmtId="165" fontId="26" fillId="0" borderId="4" xfId="3" applyNumberFormat="1" applyFont="1" applyBorder="1" applyAlignment="1">
      <alignment horizontal="center" vertical="center"/>
    </xf>
    <xf numFmtId="164" fontId="8" fillId="2" borderId="4" xfId="0" applyNumberFormat="1" applyFont="1" applyFill="1" applyBorder="1" applyAlignment="1">
      <alignment horizontal="center"/>
    </xf>
    <xf numFmtId="0" fontId="8" fillId="0" borderId="0" xfId="0" applyFont="1"/>
    <xf numFmtId="0" fontId="11" fillId="0" borderId="0" xfId="0" applyFont="1"/>
    <xf numFmtId="0" fontId="12" fillId="2" borderId="4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10" fontId="3" fillId="0" borderId="4" xfId="0" applyNumberFormat="1" applyFont="1" applyBorder="1" applyAlignment="1">
      <alignment horizontal="center" vertical="center"/>
    </xf>
    <xf numFmtId="165" fontId="12" fillId="0" borderId="4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3" fillId="0" borderId="4" xfId="0" applyFont="1" applyBorder="1" applyAlignment="1">
      <alignment horizontal="center"/>
    </xf>
    <xf numFmtId="0" fontId="11" fillId="0" borderId="0" xfId="1" applyFont="1"/>
    <xf numFmtId="0" fontId="16" fillId="0" borderId="4" xfId="1" applyFont="1" applyBorder="1" applyAlignment="1">
      <alignment horizontal="center" vertical="center"/>
    </xf>
    <xf numFmtId="0" fontId="4" fillId="2" borderId="0" xfId="1" applyFill="1" applyAlignment="1">
      <alignment horizontal="center" vertical="center"/>
    </xf>
    <xf numFmtId="0" fontId="16" fillId="2" borderId="4" xfId="1" applyFont="1" applyFill="1" applyBorder="1" applyAlignment="1">
      <alignment horizontal="center" vertical="center"/>
    </xf>
    <xf numFmtId="0" fontId="4" fillId="2" borderId="4" xfId="1" applyFill="1" applyBorder="1" applyAlignment="1">
      <alignment horizontal="center" vertical="center"/>
    </xf>
    <xf numFmtId="0" fontId="11" fillId="0" borderId="4" xfId="1" applyFont="1" applyBorder="1"/>
    <xf numFmtId="49" fontId="2" fillId="2" borderId="4" xfId="1" applyNumberFormat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/>
    </xf>
    <xf numFmtId="165" fontId="4" fillId="0" borderId="4" xfId="1" applyNumberFormat="1" applyBorder="1" applyAlignment="1">
      <alignment horizontal="center" vertical="center"/>
    </xf>
    <xf numFmtId="164" fontId="6" fillId="0" borderId="4" xfId="1" applyNumberFormat="1" applyFont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10" fontId="4" fillId="0" borderId="4" xfId="1" applyNumberFormat="1" applyBorder="1" applyAlignment="1">
      <alignment horizontal="center" vertical="center"/>
    </xf>
    <xf numFmtId="165" fontId="17" fillId="0" borderId="4" xfId="1" applyNumberFormat="1" applyFont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0" fontId="11" fillId="5" borderId="0" xfId="1" applyFont="1" applyFill="1"/>
    <xf numFmtId="0" fontId="3" fillId="0" borderId="4" xfId="0" applyFont="1" applyBorder="1" applyAlignment="1">
      <alignment horizontal="center" vertical="center"/>
    </xf>
    <xf numFmtId="164" fontId="0" fillId="0" borderId="0" xfId="0" applyNumberFormat="1"/>
    <xf numFmtId="164" fontId="2" fillId="0" borderId="4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wrapText="1"/>
    </xf>
    <xf numFmtId="164" fontId="0" fillId="0" borderId="0" xfId="0" applyNumberFormat="1" applyAlignment="1">
      <alignment horizontal="center" vertical="center"/>
    </xf>
    <xf numFmtId="164" fontId="10" fillId="0" borderId="0" xfId="0" applyNumberFormat="1" applyFont="1"/>
    <xf numFmtId="164" fontId="10" fillId="2" borderId="0" xfId="0" applyNumberFormat="1" applyFont="1" applyFill="1" applyAlignment="1">
      <alignment horizontal="center" vertical="center"/>
    </xf>
    <xf numFmtId="164" fontId="6" fillId="2" borderId="4" xfId="0" applyNumberFormat="1" applyFont="1" applyFill="1" applyBorder="1" applyAlignment="1">
      <alignment horizontal="center" vertical="center" wrapText="1"/>
    </xf>
    <xf numFmtId="164" fontId="9" fillId="2" borderId="0" xfId="0" applyNumberFormat="1" applyFont="1" applyFill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0" fontId="9" fillId="0" borderId="0" xfId="1" applyFont="1"/>
    <xf numFmtId="0" fontId="9" fillId="0" borderId="0" xfId="1" applyFont="1" applyAlignment="1">
      <alignment horizontal="center"/>
    </xf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vertical="center"/>
    </xf>
    <xf numFmtId="165" fontId="9" fillId="0" borderId="8" xfId="1" applyNumberFormat="1" applyFont="1" applyBorder="1" applyAlignment="1">
      <alignment horizontal="center" vertical="center"/>
    </xf>
    <xf numFmtId="165" fontId="9" fillId="0" borderId="9" xfId="1" applyNumberFormat="1" applyFont="1" applyBorder="1" applyAlignment="1">
      <alignment horizontal="center" vertical="center"/>
    </xf>
    <xf numFmtId="0" fontId="18" fillId="0" borderId="4" xfId="1" applyFont="1" applyBorder="1" applyAlignment="1">
      <alignment horizontal="center"/>
    </xf>
    <xf numFmtId="0" fontId="18" fillId="0" borderId="0" xfId="2" applyFont="1"/>
    <xf numFmtId="0" fontId="19" fillId="0" borderId="0" xfId="1" applyFont="1"/>
    <xf numFmtId="0" fontId="20" fillId="0" borderId="4" xfId="1" applyFont="1" applyBorder="1" applyAlignment="1">
      <alignment horizontal="center" vertical="center" wrapText="1"/>
    </xf>
    <xf numFmtId="0" fontId="20" fillId="0" borderId="4" xfId="1" applyFont="1" applyBorder="1" applyAlignment="1">
      <alignment horizontal="center" vertical="center"/>
    </xf>
    <xf numFmtId="0" fontId="18" fillId="0" borderId="0" xfId="1" applyFont="1" applyAlignment="1">
      <alignment horizontal="center"/>
    </xf>
    <xf numFmtId="165" fontId="18" fillId="0" borderId="4" xfId="1" applyNumberFormat="1" applyFont="1" applyBorder="1" applyAlignment="1">
      <alignment horizontal="center"/>
    </xf>
    <xf numFmtId="0" fontId="21" fillId="0" borderId="4" xfId="3" applyFont="1" applyBorder="1" applyAlignment="1">
      <alignment horizontal="center" vertical="center" wrapText="1"/>
    </xf>
    <xf numFmtId="0" fontId="22" fillId="0" borderId="4" xfId="3" applyFont="1" applyBorder="1" applyAlignment="1">
      <alignment horizontal="center" vertical="center"/>
    </xf>
    <xf numFmtId="0" fontId="23" fillId="0" borderId="4" xfId="3" applyFont="1" applyBorder="1" applyAlignment="1">
      <alignment horizontal="center" vertical="center"/>
    </xf>
    <xf numFmtId="10" fontId="18" fillId="0" borderId="4" xfId="3" applyNumberFormat="1" applyFont="1" applyBorder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0" fontId="6" fillId="0" borderId="12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164" fontId="1" fillId="0" borderId="4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164" fontId="1" fillId="0" borderId="4" xfId="4" applyNumberFormat="1" applyFont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1" fillId="2" borderId="4" xfId="0" applyFont="1" applyFill="1" applyBorder="1" applyAlignment="1">
      <alignment horizontal="center" vertical="center"/>
    </xf>
    <xf numFmtId="0" fontId="25" fillId="0" borderId="0" xfId="1" applyFont="1" applyAlignment="1">
      <alignment horizontal="center"/>
    </xf>
    <xf numFmtId="0" fontId="35" fillId="0" borderId="0" xfId="0" applyFont="1"/>
    <xf numFmtId="0" fontId="35" fillId="0" borderId="0" xfId="0" applyFont="1" applyAlignment="1">
      <alignment horizontal="left"/>
    </xf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40" fillId="2" borderId="0" xfId="0" applyFont="1" applyFill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0" fontId="9" fillId="0" borderId="18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9" fillId="0" borderId="23" xfId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/>
    </xf>
    <xf numFmtId="0" fontId="9" fillId="0" borderId="25" xfId="1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9" fillId="0" borderId="27" xfId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 wrapText="1"/>
    </xf>
    <xf numFmtId="0" fontId="6" fillId="0" borderId="30" xfId="1" applyFont="1" applyBorder="1" applyAlignment="1">
      <alignment horizontal="center" vertical="center"/>
    </xf>
    <xf numFmtId="0" fontId="9" fillId="0" borderId="31" xfId="1" applyFont="1" applyBorder="1" applyAlignment="1">
      <alignment horizontal="center" vertical="center"/>
    </xf>
    <xf numFmtId="165" fontId="9" fillId="0" borderId="32" xfId="1" applyNumberFormat="1" applyFont="1" applyBorder="1" applyAlignment="1">
      <alignment horizontal="center" vertical="center"/>
    </xf>
    <xf numFmtId="0" fontId="9" fillId="0" borderId="33" xfId="1" applyFont="1" applyBorder="1" applyAlignment="1">
      <alignment horizontal="center" vertical="center"/>
    </xf>
    <xf numFmtId="165" fontId="9" fillId="0" borderId="34" xfId="1" applyNumberFormat="1" applyFont="1" applyBorder="1" applyAlignment="1">
      <alignment horizontal="center" vertical="center"/>
    </xf>
    <xf numFmtId="165" fontId="9" fillId="0" borderId="35" xfId="1" applyNumberFormat="1" applyFont="1" applyBorder="1" applyAlignment="1">
      <alignment horizontal="center" vertical="center"/>
    </xf>
    <xf numFmtId="1" fontId="0" fillId="0" borderId="4" xfId="0" applyNumberFormat="1" applyBorder="1" applyAlignment="1">
      <alignment horizontal="center"/>
    </xf>
    <xf numFmtId="0" fontId="45" fillId="0" borderId="15" xfId="0" applyFont="1" applyBorder="1" applyAlignment="1">
      <alignment vertical="center"/>
    </xf>
    <xf numFmtId="0" fontId="45" fillId="0" borderId="15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9" fillId="0" borderId="36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5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18" fontId="2" fillId="5" borderId="4" xfId="0" applyNumberFormat="1" applyFont="1" applyFill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0" fontId="3" fillId="0" borderId="15" xfId="0" applyFont="1" applyBorder="1" applyAlignment="1">
      <alignment horizontal="center" vertical="center" wrapText="1"/>
    </xf>
    <xf numFmtId="0" fontId="46" fillId="0" borderId="15" xfId="0" applyFont="1" applyBorder="1" applyAlignment="1">
      <alignment vertical="center" wrapText="1"/>
    </xf>
    <xf numFmtId="0" fontId="2" fillId="5" borderId="0" xfId="0" applyFont="1" applyFill="1" applyAlignment="1">
      <alignment horizontal="center"/>
    </xf>
    <xf numFmtId="0" fontId="0" fillId="0" borderId="4" xfId="0" applyBorder="1" applyAlignment="1">
      <alignment horizontal="center" wrapText="1"/>
    </xf>
    <xf numFmtId="0" fontId="47" fillId="0" borderId="4" xfId="0" applyFont="1" applyBorder="1" applyAlignment="1">
      <alignment horizontal="center"/>
    </xf>
    <xf numFmtId="0" fontId="47" fillId="5" borderId="4" xfId="0" applyFont="1" applyFill="1" applyBorder="1" applyAlignment="1">
      <alignment horizontal="center"/>
    </xf>
    <xf numFmtId="18" fontId="48" fillId="0" borderId="4" xfId="0" applyNumberFormat="1" applyFont="1" applyBorder="1" applyAlignment="1">
      <alignment horizontal="center"/>
    </xf>
    <xf numFmtId="0" fontId="45" fillId="0" borderId="4" xfId="0" applyFont="1" applyBorder="1" applyAlignment="1">
      <alignment horizontal="center" vertical="center" wrapText="1"/>
    </xf>
    <xf numFmtId="0" fontId="45" fillId="0" borderId="15" xfId="0" applyFont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4" fillId="5" borderId="2" xfId="0" applyFont="1" applyFill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44" fillId="2" borderId="4" xfId="1" applyFont="1" applyFill="1" applyBorder="1" applyAlignment="1">
      <alignment horizontal="left" vertical="center" wrapText="1"/>
    </xf>
    <xf numFmtId="0" fontId="44" fillId="2" borderId="4" xfId="1" applyFont="1" applyFill="1" applyBorder="1" applyAlignment="1">
      <alignment horizontal="left" vertical="center"/>
    </xf>
    <xf numFmtId="0" fontId="40" fillId="2" borderId="4" xfId="1" applyFont="1" applyFill="1" applyBorder="1" applyAlignment="1">
      <alignment horizontal="left" vertical="center" wrapText="1"/>
    </xf>
    <xf numFmtId="0" fontId="40" fillId="2" borderId="4" xfId="1" applyFont="1" applyFill="1" applyBorder="1" applyAlignment="1">
      <alignment horizontal="left" vertical="center"/>
    </xf>
    <xf numFmtId="0" fontId="40" fillId="5" borderId="1" xfId="0" applyFont="1" applyFill="1" applyBorder="1" applyAlignment="1">
      <alignment horizontal="center" vertical="center"/>
    </xf>
    <xf numFmtId="0" fontId="40" fillId="5" borderId="2" xfId="0" applyFont="1" applyFill="1" applyBorder="1" applyAlignment="1">
      <alignment horizontal="center" vertical="center"/>
    </xf>
    <xf numFmtId="0" fontId="38" fillId="0" borderId="0" xfId="1" applyFont="1" applyAlignment="1">
      <alignment horizontal="center"/>
    </xf>
    <xf numFmtId="0" fontId="39" fillId="0" borderId="0" xfId="1" applyFont="1" applyAlignment="1">
      <alignment horizontal="center"/>
    </xf>
    <xf numFmtId="0" fontId="10" fillId="2" borderId="1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0" fillId="2" borderId="4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6" fillId="0" borderId="1" xfId="1" applyFont="1" applyBorder="1" applyAlignment="1">
      <alignment horizontal="center"/>
    </xf>
    <xf numFmtId="0" fontId="26" fillId="0" borderId="2" xfId="1" applyFont="1" applyBorder="1" applyAlignment="1">
      <alignment horizontal="center"/>
    </xf>
    <xf numFmtId="0" fontId="28" fillId="0" borderId="1" xfId="1" applyFont="1" applyBorder="1" applyAlignment="1">
      <alignment horizontal="center"/>
    </xf>
    <xf numFmtId="0" fontId="28" fillId="0" borderId="3" xfId="1" applyFont="1" applyBorder="1" applyAlignment="1">
      <alignment horizontal="center"/>
    </xf>
    <xf numFmtId="0" fontId="28" fillId="0" borderId="2" xfId="1" applyFont="1" applyBorder="1" applyAlignment="1">
      <alignment horizontal="center"/>
    </xf>
    <xf numFmtId="0" fontId="28" fillId="0" borderId="1" xfId="1" applyFont="1" applyBorder="1" applyAlignment="1">
      <alignment horizontal="center" vertical="center" wrapText="1"/>
    </xf>
    <xf numFmtId="0" fontId="28" fillId="0" borderId="2" xfId="1" applyFont="1" applyBorder="1" applyAlignment="1">
      <alignment horizontal="center" vertical="center" wrapText="1"/>
    </xf>
    <xf numFmtId="0" fontId="34" fillId="0" borderId="1" xfId="3" applyFont="1" applyBorder="1" applyAlignment="1">
      <alignment horizontal="center" vertical="center"/>
    </xf>
    <xf numFmtId="0" fontId="34" fillId="0" borderId="2" xfId="3" applyFont="1" applyBorder="1" applyAlignment="1">
      <alignment horizontal="center" vertical="center"/>
    </xf>
    <xf numFmtId="0" fontId="28" fillId="0" borderId="4" xfId="1" applyFont="1" applyBorder="1" applyAlignment="1">
      <alignment horizontal="center"/>
    </xf>
    <xf numFmtId="0" fontId="41" fillId="0" borderId="0" xfId="1" applyFont="1" applyAlignment="1">
      <alignment horizontal="center"/>
    </xf>
    <xf numFmtId="0" fontId="2" fillId="0" borderId="14" xfId="1" applyFont="1" applyBorder="1" applyAlignment="1">
      <alignment horizontal="center" vertical="center" wrapText="1"/>
    </xf>
    <xf numFmtId="0" fontId="2" fillId="0" borderId="37" xfId="1" applyFont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6" fillId="0" borderId="30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 wrapText="1"/>
    </xf>
    <xf numFmtId="0" fontId="6" fillId="0" borderId="20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/>
    </xf>
    <xf numFmtId="0" fontId="18" fillId="0" borderId="2" xfId="1" applyFont="1" applyBorder="1" applyAlignment="1">
      <alignment horizontal="center"/>
    </xf>
    <xf numFmtId="0" fontId="24" fillId="0" borderId="1" xfId="3" applyFont="1" applyBorder="1" applyAlignment="1">
      <alignment horizontal="center" vertical="center"/>
    </xf>
    <xf numFmtId="0" fontId="24" fillId="0" borderId="2" xfId="3" applyFont="1" applyBorder="1" applyAlignment="1">
      <alignment horizontal="center" vertical="center"/>
    </xf>
    <xf numFmtId="0" fontId="20" fillId="0" borderId="4" xfId="1" applyFont="1" applyBorder="1" applyAlignment="1">
      <alignment horizontal="center"/>
    </xf>
    <xf numFmtId="0" fontId="20" fillId="0" borderId="1" xfId="1" applyFont="1" applyBorder="1" applyAlignment="1">
      <alignment horizontal="center" vertical="center" wrapText="1"/>
    </xf>
    <xf numFmtId="0" fontId="20" fillId="0" borderId="2" xfId="1" applyFont="1" applyBorder="1" applyAlignment="1">
      <alignment horizontal="center" vertical="center" wrapText="1"/>
    </xf>
    <xf numFmtId="0" fontId="43" fillId="0" borderId="0" xfId="1" applyFont="1" applyAlignment="1">
      <alignment horizontal="center"/>
    </xf>
    <xf numFmtId="0" fontId="20" fillId="0" borderId="1" xfId="1" applyFont="1" applyBorder="1" applyAlignment="1">
      <alignment horizontal="center"/>
    </xf>
    <xf numFmtId="0" fontId="20" fillId="0" borderId="3" xfId="1" applyFont="1" applyBorder="1" applyAlignment="1">
      <alignment horizontal="center"/>
    </xf>
    <xf numFmtId="0" fontId="20" fillId="0" borderId="2" xfId="1" applyFont="1" applyBorder="1" applyAlignment="1">
      <alignment horizontal="center"/>
    </xf>
    <xf numFmtId="0" fontId="42" fillId="0" borderId="0" xfId="1" applyFont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_M1 Subject Marks" xfId="3" xr:uid="{00000000-0005-0000-0000-000003000000}"/>
    <cellStyle name="Percent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210254225230011E-2"/>
          <c:y val="2.6119402985074626E-2"/>
          <c:w val="0.82165668980820949"/>
          <c:h val="0.776119402985074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'OVERALL PERFORMANCES'!$B$2</c:f>
              <c:strCache>
                <c:ptCount val="1"/>
                <c:pt idx="0">
                  <c:v>%
1-6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'OVERALL PERFORMANCES'!$A$3:$A$21</c:f>
              <c:strCache>
                <c:ptCount val="19"/>
                <c:pt idx="0">
                  <c:v>B.Melayu</c:v>
                </c:pt>
                <c:pt idx="1">
                  <c:v>English Language</c:v>
                </c:pt>
                <c:pt idx="2">
                  <c:v>IGCSE English</c:v>
                </c:pt>
                <c:pt idx="3">
                  <c:v>Mathematics D</c:v>
                </c:pt>
                <c:pt idx="4">
                  <c:v>Physics</c:v>
                </c:pt>
                <c:pt idx="5">
                  <c:v>Chemistry</c:v>
                </c:pt>
                <c:pt idx="6">
                  <c:v>Biology</c:v>
                </c:pt>
                <c:pt idx="7">
                  <c:v>Combined Science</c:v>
                </c:pt>
                <c:pt idx="8">
                  <c:v>Geography</c:v>
                </c:pt>
                <c:pt idx="9">
                  <c:v>IRK</c:v>
                </c:pt>
                <c:pt idx="10">
                  <c:v>History</c:v>
                </c:pt>
                <c:pt idx="11">
                  <c:v>Commerce</c:v>
                </c:pt>
                <c:pt idx="12">
                  <c:v>Accounting</c:v>
                </c:pt>
                <c:pt idx="13">
                  <c:v>Art &amp; Design</c:v>
                </c:pt>
                <c:pt idx="14">
                  <c:v>Food &amp; Nutrition</c:v>
                </c:pt>
                <c:pt idx="15">
                  <c:v>Agriculture</c:v>
                </c:pt>
                <c:pt idx="16">
                  <c:v>Sastera</c:v>
                </c:pt>
                <c:pt idx="17">
                  <c:v>Travel and Tourism</c:v>
                </c:pt>
                <c:pt idx="18">
                  <c:v>Computer Science</c:v>
                </c:pt>
              </c:strCache>
            </c:strRef>
          </c:cat>
          <c:val>
            <c:numRef>
              <c:f>'OVERALL PERFORMANCES'!$B$3:$B$21</c:f>
              <c:numCache>
                <c:formatCode>0.0</c:formatCode>
                <c:ptCount val="19"/>
                <c:pt idx="0">
                  <c:v>63.380281690140848</c:v>
                </c:pt>
                <c:pt idx="1">
                  <c:v>70.370370370370367</c:v>
                </c:pt>
                <c:pt idx="2">
                  <c:v>73.68421052631578</c:v>
                </c:pt>
                <c:pt idx="3">
                  <c:v>59.615384615384613</c:v>
                </c:pt>
                <c:pt idx="4">
                  <c:v>45.679012345679013</c:v>
                </c:pt>
                <c:pt idx="5">
                  <c:v>40.983606557377051</c:v>
                </c:pt>
                <c:pt idx="6">
                  <c:v>18.421052631578945</c:v>
                </c:pt>
                <c:pt idx="7">
                  <c:v>10.526315789473683</c:v>
                </c:pt>
                <c:pt idx="8">
                  <c:v>42.857142857142854</c:v>
                </c:pt>
                <c:pt idx="9">
                  <c:v>79.577464788732399</c:v>
                </c:pt>
                <c:pt idx="10">
                  <c:v>93.023255813953483</c:v>
                </c:pt>
                <c:pt idx="11">
                  <c:v>56.521739130434781</c:v>
                </c:pt>
                <c:pt idx="12">
                  <c:v>23.52941176470588</c:v>
                </c:pt>
                <c:pt idx="13">
                  <c:v>80.952380952380949</c:v>
                </c:pt>
                <c:pt idx="14">
                  <c:v>16.666666666666664</c:v>
                </c:pt>
                <c:pt idx="15">
                  <c:v>48.837209302325576</c:v>
                </c:pt>
                <c:pt idx="16">
                  <c:v>47.368421052631575</c:v>
                </c:pt>
                <c:pt idx="17">
                  <c:v>67.741935483870961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8-404C-8B50-6A3D948B4953}"/>
            </c:ext>
          </c:extLst>
        </c:ser>
        <c:ser>
          <c:idx val="1"/>
          <c:order val="1"/>
          <c:tx>
            <c:strRef>
              <c:f>'OVERALL PERFORMANCES'!$C$2</c:f>
              <c:strCache>
                <c:ptCount val="1"/>
                <c:pt idx="0">
                  <c:v>%
1-8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cat>
            <c:strRef>
              <c:f>'OVERALL PERFORMANCES'!$A$3:$A$21</c:f>
              <c:strCache>
                <c:ptCount val="19"/>
                <c:pt idx="0">
                  <c:v>B.Melayu</c:v>
                </c:pt>
                <c:pt idx="1">
                  <c:v>English Language</c:v>
                </c:pt>
                <c:pt idx="2">
                  <c:v>IGCSE English</c:v>
                </c:pt>
                <c:pt idx="3">
                  <c:v>Mathematics D</c:v>
                </c:pt>
                <c:pt idx="4">
                  <c:v>Physics</c:v>
                </c:pt>
                <c:pt idx="5">
                  <c:v>Chemistry</c:v>
                </c:pt>
                <c:pt idx="6">
                  <c:v>Biology</c:v>
                </c:pt>
                <c:pt idx="7">
                  <c:v>Combined Science</c:v>
                </c:pt>
                <c:pt idx="8">
                  <c:v>Geography</c:v>
                </c:pt>
                <c:pt idx="9">
                  <c:v>IRK</c:v>
                </c:pt>
                <c:pt idx="10">
                  <c:v>History</c:v>
                </c:pt>
                <c:pt idx="11">
                  <c:v>Commerce</c:v>
                </c:pt>
                <c:pt idx="12">
                  <c:v>Accounting</c:v>
                </c:pt>
                <c:pt idx="13">
                  <c:v>Art &amp; Design</c:v>
                </c:pt>
                <c:pt idx="14">
                  <c:v>Food &amp; Nutrition</c:v>
                </c:pt>
                <c:pt idx="15">
                  <c:v>Agriculture</c:v>
                </c:pt>
                <c:pt idx="16">
                  <c:v>Sastera</c:v>
                </c:pt>
                <c:pt idx="17">
                  <c:v>Travel and Tourism</c:v>
                </c:pt>
                <c:pt idx="18">
                  <c:v>Computer Science</c:v>
                </c:pt>
              </c:strCache>
            </c:strRef>
          </c:cat>
          <c:val>
            <c:numRef>
              <c:f>'OVERALL PERFORMANCES'!$C$3:$C$21</c:f>
              <c:numCache>
                <c:formatCode>0.0</c:formatCode>
                <c:ptCount val="19"/>
                <c:pt idx="0">
                  <c:v>99.295774647887328</c:v>
                </c:pt>
                <c:pt idx="1">
                  <c:v>98.76543209876543</c:v>
                </c:pt>
                <c:pt idx="2">
                  <c:v>94.73684210526315</c:v>
                </c:pt>
                <c:pt idx="3">
                  <c:v>85.576923076923066</c:v>
                </c:pt>
                <c:pt idx="4">
                  <c:v>71.604938271604937</c:v>
                </c:pt>
                <c:pt idx="5">
                  <c:v>75.409836065573771</c:v>
                </c:pt>
                <c:pt idx="6">
                  <c:v>73.68421052631578</c:v>
                </c:pt>
                <c:pt idx="7">
                  <c:v>68.421052631578945</c:v>
                </c:pt>
                <c:pt idx="8">
                  <c:v>73.80952380952381</c:v>
                </c:pt>
                <c:pt idx="9">
                  <c:v>92.25352112676056</c:v>
                </c:pt>
                <c:pt idx="10">
                  <c:v>100</c:v>
                </c:pt>
                <c:pt idx="11">
                  <c:v>95.652173913043484</c:v>
                </c:pt>
                <c:pt idx="12">
                  <c:v>70.588235294117652</c:v>
                </c:pt>
                <c:pt idx="13">
                  <c:v>95.238095238095227</c:v>
                </c:pt>
                <c:pt idx="14">
                  <c:v>50</c:v>
                </c:pt>
                <c:pt idx="15">
                  <c:v>93.023255813953483</c:v>
                </c:pt>
                <c:pt idx="16">
                  <c:v>86.842105263157904</c:v>
                </c:pt>
                <c:pt idx="17">
                  <c:v>100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C8-404C-8B50-6A3D948B4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123072"/>
        <c:axId val="65124608"/>
      </c:barChart>
      <c:catAx>
        <c:axId val="6512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5124608"/>
        <c:crosses val="autoZero"/>
        <c:auto val="1"/>
        <c:lblAlgn val="ctr"/>
        <c:lblOffset val="100"/>
        <c:noMultiLvlLbl val="0"/>
      </c:catAx>
      <c:valAx>
        <c:axId val="65124608"/>
        <c:scaling>
          <c:orientation val="minMax"/>
          <c:max val="100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51230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>
      <c:oddHeader>&amp;CSEKOLAH MENENGAH PENGIRAN ANAK PUTERI HAJAH MASNA
MID YEAR EXAMINATION, 2014, YEAR 10</c:oddHeader>
      <c:oddFooter>&amp;LExam Dept SMPAPHM&amp;CY10 2022</c:oddFooter>
    </c:headerFooter>
    <c:pageMargins b="0.75" l="0.7" r="0.7" t="0.75" header="0.3" footer="0.3"/>
    <c:pageSetup orientation="landscape" horizontalDpi="0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t>CLASS AVERAGE MARKS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t>YEAR 10, MID YEAR EXAMINATION 2016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'CLASS AVERAGE'!$B$2</c:f>
              <c:strCache>
                <c:ptCount val="1"/>
                <c:pt idx="0">
                  <c:v>Class Avg</c:v>
                </c:pt>
              </c:strCache>
            </c:strRef>
          </c:tx>
          <c:invertIfNegative val="0"/>
          <c:cat>
            <c:strRef>
              <c:f>'CLASS AVERAGE'!$A$3:$A$9</c:f>
              <c:strCache>
                <c:ptCount val="7"/>
                <c:pt idx="0">
                  <c:v>10Sci2 (26)</c:v>
                </c:pt>
                <c:pt idx="1">
                  <c:v>10Sci3 (25)</c:v>
                </c:pt>
                <c:pt idx="2">
                  <c:v>10A (31)</c:v>
                </c:pt>
                <c:pt idx="3">
                  <c:v>10M (30)</c:v>
                </c:pt>
                <c:pt idx="4">
                  <c:v>10B (31)</c:v>
                </c:pt>
                <c:pt idx="5">
                  <c:v>10E (32)</c:v>
                </c:pt>
                <c:pt idx="6">
                  <c:v>10R (31)</c:v>
                </c:pt>
              </c:strCache>
            </c:strRef>
          </c:cat>
          <c:val>
            <c:numRef>
              <c:f>'CLASS AVERAGE'!$B$3:$B$9</c:f>
              <c:numCache>
                <c:formatCode>0.0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809A-445D-B30F-5A3F84CEE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gapDepth val="61"/>
        <c:shape val="cylinder"/>
        <c:axId val="66198144"/>
        <c:axId val="66220800"/>
        <c:axId val="0"/>
      </c:bar3DChart>
      <c:catAx>
        <c:axId val="66198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Class  &amp; No of students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6220800"/>
        <c:crosses val="autoZero"/>
        <c:auto val="1"/>
        <c:lblAlgn val="ctr"/>
        <c:lblOffset val="100"/>
        <c:noMultiLvlLbl val="0"/>
      </c:catAx>
      <c:valAx>
        <c:axId val="662208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Class Average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61981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>
      <c:oddHeader>&amp;CSEKOLAH MENENGAH PENGIRAN ANAK PUTERI HAJAH MASNA
ANALYSIS YEAR 10Sci1 and YEAR 11 MID YEAR EXAMINATION 2015
</c:oddHeader>
      <c:oddFooter>&amp;LExam Dept SMPAPHM&amp;CY10Sci1 and Y11 2015</c:oddFooter>
    </c:headerFooter>
    <c:pageMargins b="0.75" l="0.7" r="0.7" t="0.75" header="0.3" footer="0.3"/>
    <c:pageSetup orientation="landscape" horizontalDpi="0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Subjects Average Marks(%) Vs M4'O' Level Classes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dkDnDiag">
              <a:fgClr>
                <a:srgbClr val="993366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73B-4C10-BCE3-DE83494C43C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'By Class'!#REF!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'By Class'!#REF!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'By Class'!#REF!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73B-4C10-BCE3-DE83494C4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78560"/>
        <c:axId val="54588544"/>
      </c:barChart>
      <c:catAx>
        <c:axId val="54578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5885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5885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5785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Subject Analysis Men 4 'O' Level 
Monthly Test 2004</a:t>
            </a:r>
          </a:p>
        </c:rich>
      </c:tx>
      <c:layout>
        <c:manualLayout>
          <c:xMode val="edge"/>
          <c:yMode val="edge"/>
          <c:x val="0.25238128567262424"/>
          <c:y val="2.69886363636363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69858739240357"/>
          <c:y val="0.16761363636363635"/>
          <c:w val="0.77936628746014303"/>
          <c:h val="0.735795454545454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'By Class'!$C$142</c:f>
              <c:strCache>
                <c:ptCount val="1"/>
                <c:pt idx="0">
                  <c:v>%
1-6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Class'!$B$143:$B$160</c:f>
              <c:strCache>
                <c:ptCount val="18"/>
                <c:pt idx="0">
                  <c:v>B.Mel</c:v>
                </c:pt>
                <c:pt idx="1">
                  <c:v>Eng</c:v>
                </c:pt>
                <c:pt idx="2">
                  <c:v>Maths</c:v>
                </c:pt>
                <c:pt idx="3">
                  <c:v>A Math</c:v>
                </c:pt>
                <c:pt idx="4">
                  <c:v>Phy</c:v>
                </c:pt>
                <c:pt idx="5">
                  <c:v>Chem</c:v>
                </c:pt>
                <c:pt idx="6">
                  <c:v>Bio</c:v>
                </c:pt>
                <c:pt idx="7">
                  <c:v>C Sci</c:v>
                </c:pt>
                <c:pt idx="8">
                  <c:v>Geog</c:v>
                </c:pt>
                <c:pt idx="9">
                  <c:v>His</c:v>
                </c:pt>
                <c:pt idx="10">
                  <c:v>IRK</c:v>
                </c:pt>
                <c:pt idx="11">
                  <c:v>Comm</c:v>
                </c:pt>
                <c:pt idx="12">
                  <c:v>Eco</c:v>
                </c:pt>
                <c:pt idx="13">
                  <c:v>Comp</c:v>
                </c:pt>
                <c:pt idx="14">
                  <c:v>POA</c:v>
                </c:pt>
                <c:pt idx="15">
                  <c:v>A Sci</c:v>
                </c:pt>
                <c:pt idx="16">
                  <c:v>Art</c:v>
                </c:pt>
                <c:pt idx="17">
                  <c:v>Sas</c:v>
                </c:pt>
              </c:strCache>
            </c:strRef>
          </c:cat>
          <c:val>
            <c:numRef>
              <c:f>'By Class'!$C$143:$C$160</c:f>
              <c:numCache>
                <c:formatCode>0.0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0-D43F-40EC-B6AD-08A778E83FC2}"/>
            </c:ext>
          </c:extLst>
        </c:ser>
        <c:ser>
          <c:idx val="1"/>
          <c:order val="1"/>
          <c:tx>
            <c:strRef>
              <c:f>'By Class'!$D$142</c:f>
              <c:strCache>
                <c:ptCount val="1"/>
                <c:pt idx="0">
                  <c:v>%
1-8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Class'!$B$143:$B$160</c:f>
              <c:strCache>
                <c:ptCount val="18"/>
                <c:pt idx="0">
                  <c:v>B.Mel</c:v>
                </c:pt>
                <c:pt idx="1">
                  <c:v>Eng</c:v>
                </c:pt>
                <c:pt idx="2">
                  <c:v>Maths</c:v>
                </c:pt>
                <c:pt idx="3">
                  <c:v>A Math</c:v>
                </c:pt>
                <c:pt idx="4">
                  <c:v>Phy</c:v>
                </c:pt>
                <c:pt idx="5">
                  <c:v>Chem</c:v>
                </c:pt>
                <c:pt idx="6">
                  <c:v>Bio</c:v>
                </c:pt>
                <c:pt idx="7">
                  <c:v>C Sci</c:v>
                </c:pt>
                <c:pt idx="8">
                  <c:v>Geog</c:v>
                </c:pt>
                <c:pt idx="9">
                  <c:v>His</c:v>
                </c:pt>
                <c:pt idx="10">
                  <c:v>IRK</c:v>
                </c:pt>
                <c:pt idx="11">
                  <c:v>Comm</c:v>
                </c:pt>
                <c:pt idx="12">
                  <c:v>Eco</c:v>
                </c:pt>
                <c:pt idx="13">
                  <c:v>Comp</c:v>
                </c:pt>
                <c:pt idx="14">
                  <c:v>POA</c:v>
                </c:pt>
                <c:pt idx="15">
                  <c:v>A Sci</c:v>
                </c:pt>
                <c:pt idx="16">
                  <c:v>Art</c:v>
                </c:pt>
                <c:pt idx="17">
                  <c:v>Sas</c:v>
                </c:pt>
              </c:strCache>
            </c:strRef>
          </c:cat>
          <c:val>
            <c:numRef>
              <c:f>'By Class'!$D$143:$D$160</c:f>
              <c:numCache>
                <c:formatCode>0.0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1-D43F-40EC-B6AD-08A778E83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606080"/>
        <c:axId val="54611968"/>
      </c:barChart>
      <c:catAx>
        <c:axId val="54606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611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611968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60608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909525142690497"/>
          <c:y val="0.47443181818181818"/>
          <c:w val="0.98730308711411074"/>
          <c:h val="0.5980113636363636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 copies="6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426620436418719E-2"/>
          <c:y val="4.2553173069222926E-2"/>
          <c:w val="0.84790264075388289"/>
          <c:h val="0.854609559140227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'No.of Credits Attained'!$D$8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numRef>
              <c:f>'No.of Credits Attained'!$A$9:$A$18</c:f>
              <c:numCache>
                <c:formatCode>General</c:formatCode>
                <c:ptCount val="10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</c:numCache>
            </c:numRef>
          </c:cat>
          <c:val>
            <c:numRef>
              <c:f>'No.of Credits Attained'!$D$9:$D$18</c:f>
              <c:numCache>
                <c:formatCode>0.0%</c:formatCode>
                <c:ptCount val="10"/>
                <c:pt idx="0">
                  <c:v>0</c:v>
                </c:pt>
                <c:pt idx="1">
                  <c:v>2.7777777777777776E-2</c:v>
                </c:pt>
                <c:pt idx="2">
                  <c:v>0.10416666666666667</c:v>
                </c:pt>
                <c:pt idx="3">
                  <c:v>9.0277777777777776E-2</c:v>
                </c:pt>
                <c:pt idx="4">
                  <c:v>0.1875</c:v>
                </c:pt>
                <c:pt idx="5">
                  <c:v>0.22222222222222221</c:v>
                </c:pt>
                <c:pt idx="6">
                  <c:v>0.14583333333333334</c:v>
                </c:pt>
                <c:pt idx="7">
                  <c:v>0.13194444444444445</c:v>
                </c:pt>
                <c:pt idx="8">
                  <c:v>6.9444444444444448E-2</c:v>
                </c:pt>
                <c:pt idx="9">
                  <c:v>2.0833333333333332E-2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9-4804-BD2D-58997067B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7"/>
        <c:axId val="67325952"/>
        <c:axId val="67327488"/>
      </c:barChart>
      <c:catAx>
        <c:axId val="6732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73274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7327488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732595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12</xdr:row>
      <xdr:rowOff>161925</xdr:rowOff>
    </xdr:from>
    <xdr:to>
      <xdr:col>24</xdr:col>
      <xdr:colOff>571500</xdr:colOff>
      <xdr:row>46</xdr:row>
      <xdr:rowOff>85725</xdr:rowOff>
    </xdr:to>
    <xdr:graphicFrame macro="">
      <xdr:nvGraphicFramePr>
        <xdr:cNvPr id="4079" name="Chart 2">
          <a:extLst>
            <a:ext uri="{FF2B5EF4-FFF2-40B4-BE49-F238E27FC236}">
              <a16:creationId xmlns:a16="http://schemas.microsoft.com/office/drawing/2014/main" id="{68614FF3-F033-4D62-9124-6F06A5FEC97F}"/>
            </a:ext>
            <a:ext uri="{147F2762-F138-4A5C-976F-8EAC2B608ADB}">
              <a16:predDERef xmlns:a16="http://schemas.microsoft.com/office/drawing/2014/main" pred="{135F2FF9-F7C7-49AE-8A9D-E49A844DD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0</xdr:row>
      <xdr:rowOff>0</xdr:rowOff>
    </xdr:from>
    <xdr:to>
      <xdr:col>12</xdr:col>
      <xdr:colOff>619125</xdr:colOff>
      <xdr:row>31</xdr:row>
      <xdr:rowOff>142875</xdr:rowOff>
    </xdr:to>
    <xdr:graphicFrame macro="">
      <xdr:nvGraphicFramePr>
        <xdr:cNvPr id="4796" name="Chart 2">
          <a:extLst>
            <a:ext uri="{FF2B5EF4-FFF2-40B4-BE49-F238E27FC236}">
              <a16:creationId xmlns:a16="http://schemas.microsoft.com/office/drawing/2014/main" id="{B4169A2D-BF54-4AAC-A723-F334C0C6B0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137</xdr:row>
      <xdr:rowOff>0</xdr:rowOff>
    </xdr:from>
    <xdr:to>
      <xdr:col>15</xdr:col>
      <xdr:colOff>485775</xdr:colOff>
      <xdr:row>137</xdr:row>
      <xdr:rowOff>0</xdr:rowOff>
    </xdr:to>
    <xdr:graphicFrame macro="">
      <xdr:nvGraphicFramePr>
        <xdr:cNvPr id="3525682" name="Chart 1">
          <a:extLst>
            <a:ext uri="{FF2B5EF4-FFF2-40B4-BE49-F238E27FC236}">
              <a16:creationId xmlns:a16="http://schemas.microsoft.com/office/drawing/2014/main" id="{05EF5BF2-1FD0-4CC6-A072-2F54A5F431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104775</xdr:colOff>
      <xdr:row>137</xdr:row>
      <xdr:rowOff>0</xdr:rowOff>
    </xdr:from>
    <xdr:to>
      <xdr:col>2</xdr:col>
      <xdr:colOff>371475</xdr:colOff>
      <xdr:row>137</xdr:row>
      <xdr:rowOff>0</xdr:rowOff>
    </xdr:to>
    <xdr:sp macro="" textlink="">
      <xdr:nvSpPr>
        <xdr:cNvPr id="3525683" name="AutoShape 2">
          <a:extLst>
            <a:ext uri="{FF2B5EF4-FFF2-40B4-BE49-F238E27FC236}">
              <a16:creationId xmlns:a16="http://schemas.microsoft.com/office/drawing/2014/main" id="{EAAB721A-7941-473F-8872-DF09FCEDD5C3}"/>
            </a:ext>
          </a:extLst>
        </xdr:cNvPr>
        <xdr:cNvSpPr>
          <a:spLocks noChangeArrowheads="1"/>
        </xdr:cNvSpPr>
      </xdr:nvSpPr>
      <xdr:spPr bwMode="auto">
        <a:xfrm>
          <a:off x="1200150" y="29470350"/>
          <a:ext cx="1162050" cy="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0 h 21600"/>
            <a:gd name="T4" fmla="*/ 2147483647 w 21600"/>
            <a:gd name="T5" fmla="*/ 0 h 21600"/>
            <a:gd name="T6" fmla="*/ 2147483647 w 21600"/>
            <a:gd name="T7" fmla="*/ 0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0 h 21600"/>
            <a:gd name="T14" fmla="*/ 18227 w 21600"/>
            <a:gd name="T15" fmla="*/ 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47625</xdr:colOff>
      <xdr:row>159</xdr:row>
      <xdr:rowOff>142875</xdr:rowOff>
    </xdr:from>
    <xdr:to>
      <xdr:col>28</xdr:col>
      <xdr:colOff>561975</xdr:colOff>
      <xdr:row>183</xdr:row>
      <xdr:rowOff>104775</xdr:rowOff>
    </xdr:to>
    <xdr:graphicFrame macro="">
      <xdr:nvGraphicFramePr>
        <xdr:cNvPr id="3525684" name="Chart 3">
          <a:extLst>
            <a:ext uri="{FF2B5EF4-FFF2-40B4-BE49-F238E27FC236}">
              <a16:creationId xmlns:a16="http://schemas.microsoft.com/office/drawing/2014/main" id="{4F1179AA-FF3F-42DE-8251-2E7C27F1811C}"/>
            </a:ext>
            <a:ext uri="{147F2762-F138-4A5C-976F-8EAC2B608ADB}">
              <a16:predDERef xmlns:a16="http://schemas.microsoft.com/office/drawing/2014/main" pred="{EAAB721A-7941-473F-8872-DF09FCEDD5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28575</xdr:rowOff>
    </xdr:from>
    <xdr:to>
      <xdr:col>1</xdr:col>
      <xdr:colOff>190500</xdr:colOff>
      <xdr:row>4</xdr:row>
      <xdr:rowOff>161925</xdr:rowOff>
    </xdr:to>
    <xdr:pic>
      <xdr:nvPicPr>
        <xdr:cNvPr id="2573494" name="Picture 1">
          <a:extLst>
            <a:ext uri="{FF2B5EF4-FFF2-40B4-BE49-F238E27FC236}">
              <a16:creationId xmlns:a16="http://schemas.microsoft.com/office/drawing/2014/main" id="{9CF41ECB-0577-4971-ADFE-2F1D2A7A7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923925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2</xdr:row>
      <xdr:rowOff>133350</xdr:rowOff>
    </xdr:from>
    <xdr:to>
      <xdr:col>22</xdr:col>
      <xdr:colOff>9525</xdr:colOff>
      <xdr:row>25</xdr:row>
      <xdr:rowOff>66675</xdr:rowOff>
    </xdr:to>
    <xdr:graphicFrame macro="">
      <xdr:nvGraphicFramePr>
        <xdr:cNvPr id="3154058" name="Chart 2">
          <a:extLst>
            <a:ext uri="{FF2B5EF4-FFF2-40B4-BE49-F238E27FC236}">
              <a16:creationId xmlns:a16="http://schemas.microsoft.com/office/drawing/2014/main" id="{1327E618-6165-4606-91F2-0B09F412E538}"/>
            </a:ext>
            <a:ext uri="{147F2762-F138-4A5C-976F-8EAC2B608ADB}">
              <a16:predDERef xmlns:a16="http://schemas.microsoft.com/office/drawing/2014/main" pred="{1B6474B0-8B66-4E96-836B-B8EF5FD5B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ASTERMARK%20SHEETS/MMS%202026/ASSESSMENT%202/YEAR%2010%20ASSESSMENT%202%202026/MMS%20Y%2010C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10%20ASSESSMENT%202%202026/MMS%20Y%2010C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ASTERMARK%20SHEETS/MMS%202026/ASSESSMENT%202/YEAR%2010%20ASSESSMENT%202%202026/MMS%20Y%2010S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10%20ASSESSMENT%202%202026/MMS%20Y%2010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ASTERMARK%20SHEETS/MMS%202026/ASSESSMENT%202/YEAR%2010%20ASSESSMENT%202%202026/MMS%20Y%2010H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10%20ASSESSMENT%202%202026/MMS%20Y%2010H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ASTERMARK%20SHEETS/MMS%202026/ASSESSMENT%202/YEAR%2010%20ASSESSMENT%202%202026/MMS%20Y%2010O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10%20ASSESSMENT%202%202026/MMS%20Y%2010O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ASTERMARK%20SHEETS/MMS%202026/ASSESSMENT%202/YEAR%2010%20ASSESSMENT%202%202026/MMS%20Y%2010L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10%20ASSESSMENT%202%202026/MMS%20Y%2010L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ASTERMARK%20SHEETS/MMS%202026/ASSESSMENT%202/YEAR%2010%20ASSESSMENT%202%202026/MMS%20Y%2010A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10%20ASSESSMENT%202%202026/MMS%20Y%2010A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ASTERMARK%20SHEETS/MMS%202026/ASSESSMENT%202/YEAR%2010%20ASSESSMENT%202%202026/MMS%20Y%2010R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10%20ASSESSMENT%202%202026/MMS%20Y%2010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KYWWEOXUDEQNA3ZLRUXLURECRL">
      <xxl21:relativeUrl r:id="rId2"/>
    </xxl21:alternateUrls>
    <sheetNames>
      <sheetName val="MASTER "/>
      <sheetName val="TEACHER LIST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>
        <row r="38">
          <cell r="J38">
            <v>0</v>
          </cell>
          <cell r="T38">
            <v>0</v>
          </cell>
          <cell r="AE38">
            <v>3</v>
          </cell>
          <cell r="AO38">
            <v>3</v>
          </cell>
          <cell r="AY38">
            <v>3</v>
          </cell>
          <cell r="BI38">
            <v>1</v>
          </cell>
          <cell r="BS38">
            <v>1</v>
          </cell>
          <cell r="CM38">
            <v>1</v>
          </cell>
          <cell r="DG38">
            <v>0</v>
          </cell>
          <cell r="DW38">
            <v>0</v>
          </cell>
        </row>
        <row r="39">
          <cell r="J39">
            <v>1</v>
          </cell>
          <cell r="T39">
            <v>8</v>
          </cell>
          <cell r="AE39">
            <v>8</v>
          </cell>
          <cell r="AO39">
            <v>1</v>
          </cell>
          <cell r="AY39">
            <v>5</v>
          </cell>
          <cell r="BI39">
            <v>1</v>
          </cell>
          <cell r="BS39">
            <v>0</v>
          </cell>
          <cell r="CM39">
            <v>4</v>
          </cell>
          <cell r="DG39">
            <v>0</v>
          </cell>
          <cell r="DW39">
            <v>2</v>
          </cell>
        </row>
        <row r="40">
          <cell r="J40">
            <v>1</v>
          </cell>
          <cell r="T40">
            <v>4</v>
          </cell>
          <cell r="AE40">
            <v>0</v>
          </cell>
          <cell r="AO40">
            <v>2</v>
          </cell>
          <cell r="AY40">
            <v>5</v>
          </cell>
          <cell r="BI40">
            <v>0</v>
          </cell>
          <cell r="BS40">
            <v>1</v>
          </cell>
          <cell r="CM40">
            <v>0</v>
          </cell>
          <cell r="DG40">
            <v>0</v>
          </cell>
          <cell r="DW40">
            <v>4</v>
          </cell>
        </row>
        <row r="41">
          <cell r="J41">
            <v>1</v>
          </cell>
          <cell r="T41">
            <v>4</v>
          </cell>
          <cell r="AE41">
            <v>1</v>
          </cell>
          <cell r="AO41">
            <v>3</v>
          </cell>
          <cell r="AY41">
            <v>1</v>
          </cell>
          <cell r="BI41">
            <v>0</v>
          </cell>
          <cell r="BS41">
            <v>0</v>
          </cell>
          <cell r="CM41">
            <v>3</v>
          </cell>
          <cell r="DG41">
            <v>0</v>
          </cell>
          <cell r="DW41">
            <v>4</v>
          </cell>
        </row>
        <row r="42">
          <cell r="J42">
            <v>4</v>
          </cell>
          <cell r="T42">
            <v>2</v>
          </cell>
          <cell r="AE42">
            <v>3</v>
          </cell>
          <cell r="AO42">
            <v>5</v>
          </cell>
          <cell r="AY42">
            <v>0</v>
          </cell>
          <cell r="BI42">
            <v>0</v>
          </cell>
          <cell r="BS42">
            <v>4</v>
          </cell>
          <cell r="CM42">
            <v>3</v>
          </cell>
          <cell r="DG42">
            <v>0</v>
          </cell>
          <cell r="DW42">
            <v>4</v>
          </cell>
        </row>
        <row r="43">
          <cell r="J43">
            <v>6</v>
          </cell>
          <cell r="T43">
            <v>0</v>
          </cell>
          <cell r="AE43">
            <v>2</v>
          </cell>
          <cell r="AO43">
            <v>2</v>
          </cell>
          <cell r="AY43">
            <v>1</v>
          </cell>
          <cell r="BI43">
            <v>0</v>
          </cell>
          <cell r="BS43">
            <v>3</v>
          </cell>
          <cell r="CM43">
            <v>1</v>
          </cell>
          <cell r="DG43">
            <v>0</v>
          </cell>
          <cell r="DW43">
            <v>3</v>
          </cell>
        </row>
        <row r="44">
          <cell r="J44">
            <v>5</v>
          </cell>
          <cell r="T44">
            <v>0</v>
          </cell>
          <cell r="AE44">
            <v>1</v>
          </cell>
          <cell r="AO44">
            <v>2</v>
          </cell>
          <cell r="AY44">
            <v>3</v>
          </cell>
          <cell r="BI44">
            <v>3</v>
          </cell>
          <cell r="BS44">
            <v>4</v>
          </cell>
          <cell r="CM44">
            <v>4</v>
          </cell>
          <cell r="DG44">
            <v>0</v>
          </cell>
          <cell r="DW44">
            <v>0</v>
          </cell>
        </row>
        <row r="45">
          <cell r="J45">
            <v>0</v>
          </cell>
          <cell r="T45">
            <v>0</v>
          </cell>
          <cell r="AE45">
            <v>0</v>
          </cell>
          <cell r="AO45">
            <v>0</v>
          </cell>
          <cell r="AY45">
            <v>0</v>
          </cell>
          <cell r="BI45">
            <v>7</v>
          </cell>
          <cell r="BS45">
            <v>3</v>
          </cell>
          <cell r="CM45">
            <v>1</v>
          </cell>
          <cell r="DG45">
            <v>0</v>
          </cell>
          <cell r="DW45">
            <v>1</v>
          </cell>
        </row>
        <row r="46">
          <cell r="J46">
            <v>0</v>
          </cell>
          <cell r="T46">
            <v>0</v>
          </cell>
          <cell r="AE46">
            <v>0</v>
          </cell>
          <cell r="AO46">
            <v>0</v>
          </cell>
          <cell r="AY46">
            <v>0</v>
          </cell>
          <cell r="BI46">
            <v>6</v>
          </cell>
          <cell r="BS46">
            <v>2</v>
          </cell>
          <cell r="CM46">
            <v>1</v>
          </cell>
          <cell r="DG46">
            <v>0</v>
          </cell>
          <cell r="DW46">
            <v>0</v>
          </cell>
        </row>
        <row r="47">
          <cell r="DW47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K24BKRWV3IJJAZELOXF4F5JFQE">
      <xxl21:relativeUrl r:id="rId2"/>
    </xxl21:alternateUrls>
    <sheetNames>
      <sheetName val="MASTER "/>
      <sheetName val="TEACHER LIST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>
        <row r="38">
          <cell r="J38">
            <v>0</v>
          </cell>
          <cell r="T38">
            <v>3</v>
          </cell>
          <cell r="AE38">
            <v>1</v>
          </cell>
          <cell r="AO38">
            <v>17</v>
          </cell>
          <cell r="AY38">
            <v>1</v>
          </cell>
          <cell r="BI38">
            <v>0</v>
          </cell>
          <cell r="BS38">
            <v>0</v>
          </cell>
          <cell r="CM38">
            <v>0</v>
          </cell>
          <cell r="CW38">
            <v>0</v>
          </cell>
          <cell r="DG38">
            <v>0</v>
          </cell>
          <cell r="DW38">
            <v>0</v>
          </cell>
        </row>
        <row r="39">
          <cell r="J39">
            <v>0</v>
          </cell>
          <cell r="T39">
            <v>15</v>
          </cell>
          <cell r="AE39">
            <v>7</v>
          </cell>
          <cell r="AO39">
            <v>2</v>
          </cell>
          <cell r="AY39">
            <v>8</v>
          </cell>
          <cell r="BI39">
            <v>0</v>
          </cell>
          <cell r="BS39">
            <v>4</v>
          </cell>
          <cell r="CM39">
            <v>1</v>
          </cell>
          <cell r="CW39">
            <v>2</v>
          </cell>
          <cell r="DG39">
            <v>0</v>
          </cell>
          <cell r="DW39">
            <v>0</v>
          </cell>
        </row>
        <row r="40">
          <cell r="J40">
            <v>0</v>
          </cell>
          <cell r="T40">
            <v>0</v>
          </cell>
          <cell r="AE40">
            <v>4</v>
          </cell>
          <cell r="AO40">
            <v>0</v>
          </cell>
          <cell r="AY40">
            <v>5</v>
          </cell>
          <cell r="BI40">
            <v>1</v>
          </cell>
          <cell r="BS40">
            <v>2</v>
          </cell>
          <cell r="CM40">
            <v>1</v>
          </cell>
          <cell r="CW40">
            <v>3</v>
          </cell>
          <cell r="DG40">
            <v>0</v>
          </cell>
          <cell r="DW40">
            <v>2</v>
          </cell>
        </row>
        <row r="41">
          <cell r="J41">
            <v>2</v>
          </cell>
          <cell r="T41">
            <v>1</v>
          </cell>
          <cell r="AE41">
            <v>1</v>
          </cell>
          <cell r="AO41">
            <v>0</v>
          </cell>
          <cell r="AY41">
            <v>4</v>
          </cell>
          <cell r="BI41">
            <v>2</v>
          </cell>
          <cell r="BS41">
            <v>2</v>
          </cell>
          <cell r="CM41">
            <v>1</v>
          </cell>
          <cell r="CW41">
            <v>0</v>
          </cell>
          <cell r="DG41">
            <v>0</v>
          </cell>
          <cell r="DW41">
            <v>4</v>
          </cell>
        </row>
        <row r="42">
          <cell r="J42">
            <v>3</v>
          </cell>
          <cell r="T42">
            <v>1</v>
          </cell>
          <cell r="AE42">
            <v>3</v>
          </cell>
          <cell r="AO42">
            <v>0</v>
          </cell>
          <cell r="AY42">
            <v>2</v>
          </cell>
          <cell r="BI42">
            <v>1</v>
          </cell>
          <cell r="BS42">
            <v>4</v>
          </cell>
          <cell r="CM42">
            <v>0</v>
          </cell>
          <cell r="CW42">
            <v>1</v>
          </cell>
          <cell r="DG42">
            <v>0</v>
          </cell>
          <cell r="DW42">
            <v>8</v>
          </cell>
        </row>
        <row r="43">
          <cell r="J43">
            <v>1</v>
          </cell>
          <cell r="T43">
            <v>0</v>
          </cell>
          <cell r="AE43">
            <v>0</v>
          </cell>
          <cell r="AO43">
            <v>0</v>
          </cell>
          <cell r="AY43">
            <v>0</v>
          </cell>
          <cell r="BI43">
            <v>1</v>
          </cell>
          <cell r="BS43">
            <v>2</v>
          </cell>
          <cell r="CM43">
            <v>2</v>
          </cell>
          <cell r="CW43">
            <v>1</v>
          </cell>
          <cell r="DG43">
            <v>0</v>
          </cell>
          <cell r="DW43">
            <v>3</v>
          </cell>
        </row>
        <row r="44">
          <cell r="J44">
            <v>12</v>
          </cell>
          <cell r="T44">
            <v>0</v>
          </cell>
          <cell r="AE44">
            <v>4</v>
          </cell>
          <cell r="AO44">
            <v>0</v>
          </cell>
          <cell r="AY44">
            <v>0</v>
          </cell>
          <cell r="BI44">
            <v>8</v>
          </cell>
          <cell r="BS44">
            <v>3</v>
          </cell>
          <cell r="CM44">
            <v>1</v>
          </cell>
          <cell r="CW44">
            <v>1</v>
          </cell>
          <cell r="DG44">
            <v>0</v>
          </cell>
          <cell r="DW44">
            <v>2</v>
          </cell>
        </row>
        <row r="45">
          <cell r="J45">
            <v>2</v>
          </cell>
          <cell r="T45">
            <v>0</v>
          </cell>
          <cell r="AE45">
            <v>0</v>
          </cell>
          <cell r="AO45">
            <v>0</v>
          </cell>
          <cell r="AY45">
            <v>0</v>
          </cell>
          <cell r="BI45">
            <v>3</v>
          </cell>
          <cell r="BS45">
            <v>3</v>
          </cell>
          <cell r="CM45">
            <v>2</v>
          </cell>
          <cell r="CW45">
            <v>0</v>
          </cell>
          <cell r="DG45">
            <v>0</v>
          </cell>
          <cell r="DW45">
            <v>1</v>
          </cell>
        </row>
        <row r="46">
          <cell r="J46">
            <v>0</v>
          </cell>
          <cell r="T46">
            <v>0</v>
          </cell>
          <cell r="AE46">
            <v>0</v>
          </cell>
          <cell r="AO46">
            <v>1</v>
          </cell>
          <cell r="AY46">
            <v>0</v>
          </cell>
          <cell r="BI46">
            <v>4</v>
          </cell>
          <cell r="BS46">
            <v>0</v>
          </cell>
          <cell r="CM46">
            <v>4</v>
          </cell>
          <cell r="CW46">
            <v>0</v>
          </cell>
          <cell r="DG46">
            <v>0</v>
          </cell>
          <cell r="DW46">
            <v>0</v>
          </cell>
        </row>
        <row r="47">
          <cell r="DW4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STER "/>
      <sheetName val="TEACHER LIST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>
        <row r="38">
          <cell r="J38">
            <v>0</v>
          </cell>
          <cell r="T38">
            <v>0</v>
          </cell>
          <cell r="AE38">
            <v>0</v>
          </cell>
          <cell r="AO38">
            <v>5</v>
          </cell>
          <cell r="AY38">
            <v>0</v>
          </cell>
          <cell r="BI38">
            <v>0</v>
          </cell>
          <cell r="BS38">
            <v>0</v>
          </cell>
          <cell r="CM38">
            <v>0</v>
          </cell>
          <cell r="CW38">
            <v>0</v>
          </cell>
          <cell r="DG38">
            <v>1</v>
          </cell>
          <cell r="DW38">
            <v>0</v>
          </cell>
        </row>
        <row r="39">
          <cell r="J39">
            <v>2</v>
          </cell>
          <cell r="T39">
            <v>0</v>
          </cell>
          <cell r="AE39">
            <v>0</v>
          </cell>
          <cell r="AO39">
            <v>4</v>
          </cell>
          <cell r="AY39">
            <v>1</v>
          </cell>
          <cell r="BI39">
            <v>0</v>
          </cell>
          <cell r="BS39">
            <v>0</v>
          </cell>
          <cell r="CM39">
            <v>0</v>
          </cell>
          <cell r="CW39">
            <v>0</v>
          </cell>
          <cell r="DG39">
            <v>8</v>
          </cell>
          <cell r="DW39">
            <v>0</v>
          </cell>
        </row>
        <row r="40">
          <cell r="J40">
            <v>8</v>
          </cell>
          <cell r="T40">
            <v>0</v>
          </cell>
          <cell r="AE40">
            <v>0</v>
          </cell>
          <cell r="AO40">
            <v>3</v>
          </cell>
          <cell r="AY40">
            <v>0</v>
          </cell>
          <cell r="BI40">
            <v>0</v>
          </cell>
          <cell r="BS40">
            <v>0</v>
          </cell>
          <cell r="CM40">
            <v>0</v>
          </cell>
          <cell r="CW40">
            <v>0</v>
          </cell>
          <cell r="DG40">
            <v>1</v>
          </cell>
          <cell r="DW40">
            <v>0</v>
          </cell>
        </row>
        <row r="41">
          <cell r="J41">
            <v>4</v>
          </cell>
          <cell r="T41">
            <v>0</v>
          </cell>
          <cell r="AE41">
            <v>0</v>
          </cell>
          <cell r="AO41">
            <v>3</v>
          </cell>
          <cell r="AY41">
            <v>4</v>
          </cell>
          <cell r="BI41">
            <v>0</v>
          </cell>
          <cell r="BS41">
            <v>0</v>
          </cell>
          <cell r="CM41">
            <v>2</v>
          </cell>
          <cell r="CW41">
            <v>2</v>
          </cell>
          <cell r="DG41">
            <v>3</v>
          </cell>
          <cell r="DW41">
            <v>1</v>
          </cell>
        </row>
        <row r="42">
          <cell r="J42">
            <v>2</v>
          </cell>
          <cell r="T42">
            <v>0</v>
          </cell>
          <cell r="AE42">
            <v>0</v>
          </cell>
          <cell r="AO42">
            <v>1</v>
          </cell>
          <cell r="AY42">
            <v>5</v>
          </cell>
          <cell r="BI42">
            <v>0</v>
          </cell>
          <cell r="BS42">
            <v>0</v>
          </cell>
          <cell r="CM42">
            <v>1</v>
          </cell>
          <cell r="CW42">
            <v>0</v>
          </cell>
          <cell r="DG42">
            <v>1</v>
          </cell>
          <cell r="DW42">
            <v>1</v>
          </cell>
        </row>
        <row r="43">
          <cell r="J43">
            <v>3</v>
          </cell>
          <cell r="T43">
            <v>0</v>
          </cell>
          <cell r="AE43">
            <v>1</v>
          </cell>
          <cell r="AO43">
            <v>0</v>
          </cell>
          <cell r="AY43">
            <v>0</v>
          </cell>
          <cell r="BI43">
            <v>0</v>
          </cell>
          <cell r="BS43">
            <v>2</v>
          </cell>
          <cell r="CM43">
            <v>1</v>
          </cell>
          <cell r="CW43">
            <v>2</v>
          </cell>
          <cell r="DG43">
            <v>0</v>
          </cell>
          <cell r="DW43">
            <v>7</v>
          </cell>
        </row>
        <row r="44">
          <cell r="J44">
            <v>3</v>
          </cell>
          <cell r="T44">
            <v>0</v>
          </cell>
          <cell r="AE44">
            <v>6</v>
          </cell>
          <cell r="AO44">
            <v>4</v>
          </cell>
          <cell r="AY44">
            <v>8</v>
          </cell>
          <cell r="BI44">
            <v>1</v>
          </cell>
          <cell r="BS44">
            <v>1</v>
          </cell>
          <cell r="CM44">
            <v>0</v>
          </cell>
          <cell r="CW44">
            <v>4</v>
          </cell>
          <cell r="DG44">
            <v>1</v>
          </cell>
          <cell r="DW44">
            <v>5</v>
          </cell>
        </row>
        <row r="45">
          <cell r="J45">
            <v>1</v>
          </cell>
          <cell r="T45">
            <v>0</v>
          </cell>
          <cell r="AE45">
            <v>6</v>
          </cell>
          <cell r="AO45">
            <v>3</v>
          </cell>
          <cell r="AY45">
            <v>3</v>
          </cell>
          <cell r="BI45">
            <v>0</v>
          </cell>
          <cell r="BS45">
            <v>7</v>
          </cell>
          <cell r="CM45">
            <v>3</v>
          </cell>
          <cell r="CW45">
            <v>0</v>
          </cell>
          <cell r="DG45">
            <v>0</v>
          </cell>
          <cell r="DW45">
            <v>6</v>
          </cell>
        </row>
        <row r="46">
          <cell r="J46">
            <v>0</v>
          </cell>
          <cell r="T46">
            <v>0</v>
          </cell>
          <cell r="AE46">
            <v>10</v>
          </cell>
          <cell r="AO46">
            <v>0</v>
          </cell>
          <cell r="AY46">
            <v>2</v>
          </cell>
          <cell r="BI46">
            <v>14</v>
          </cell>
          <cell r="BS46">
            <v>13</v>
          </cell>
          <cell r="CM46">
            <v>1</v>
          </cell>
          <cell r="CW46">
            <v>0</v>
          </cell>
          <cell r="DG46">
            <v>0</v>
          </cell>
          <cell r="DW46">
            <v>3</v>
          </cell>
        </row>
        <row r="47">
          <cell r="DW4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PRAF465RVW25HZU3GPH44OMFM7">
      <xxl21:relativeUrl r:id="rId2"/>
    </xxl21:alternateUrls>
    <sheetNames>
      <sheetName val="MASTER "/>
      <sheetName val="TEACHER LIST"/>
      <sheetName val="S5"/>
      <sheetName val="S1"/>
      <sheetName val="S2"/>
      <sheetName val="S3"/>
      <sheetName val="S4"/>
      <sheetName val="S11"/>
      <sheetName val="S6"/>
      <sheetName val="S7"/>
      <sheetName val="S8"/>
      <sheetName val="S9"/>
      <sheetName val="S10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>
        <row r="38">
          <cell r="J38">
            <v>0</v>
          </cell>
          <cell r="T38">
            <v>1</v>
          </cell>
          <cell r="AE38">
            <v>2</v>
          </cell>
          <cell r="AO38">
            <v>13</v>
          </cell>
          <cell r="AY38">
            <v>0</v>
          </cell>
          <cell r="BI38">
            <v>0</v>
          </cell>
          <cell r="BS38">
            <v>0</v>
          </cell>
          <cell r="CM38">
            <v>0</v>
          </cell>
          <cell r="CW38">
            <v>0</v>
          </cell>
          <cell r="DW38">
            <v>0</v>
          </cell>
        </row>
        <row r="39">
          <cell r="J39">
            <v>0</v>
          </cell>
          <cell r="T39">
            <v>0</v>
          </cell>
          <cell r="AE39">
            <v>6</v>
          </cell>
          <cell r="AO39">
            <v>4</v>
          </cell>
          <cell r="AY39">
            <v>2</v>
          </cell>
          <cell r="BI39">
            <v>0</v>
          </cell>
          <cell r="BS39">
            <v>0</v>
          </cell>
          <cell r="CM39">
            <v>0</v>
          </cell>
          <cell r="CW39">
            <v>9</v>
          </cell>
          <cell r="DW39">
            <v>0</v>
          </cell>
        </row>
        <row r="40">
          <cell r="J40">
            <v>0</v>
          </cell>
          <cell r="T40">
            <v>0</v>
          </cell>
          <cell r="AE40">
            <v>4</v>
          </cell>
          <cell r="AO40">
            <v>0</v>
          </cell>
          <cell r="AY40">
            <v>1</v>
          </cell>
          <cell r="BI40">
            <v>0</v>
          </cell>
          <cell r="BS40">
            <v>0</v>
          </cell>
          <cell r="CM40">
            <v>0</v>
          </cell>
          <cell r="CW40">
            <v>2</v>
          </cell>
          <cell r="DW40">
            <v>0</v>
          </cell>
        </row>
        <row r="41">
          <cell r="J41">
            <v>0</v>
          </cell>
          <cell r="T41">
            <v>0</v>
          </cell>
          <cell r="AE41">
            <v>2</v>
          </cell>
          <cell r="AO41">
            <v>1</v>
          </cell>
          <cell r="AY41">
            <v>4</v>
          </cell>
          <cell r="BI41">
            <v>0</v>
          </cell>
          <cell r="BS41">
            <v>0</v>
          </cell>
          <cell r="CM41">
            <v>0</v>
          </cell>
          <cell r="CW41">
            <v>6</v>
          </cell>
          <cell r="DW41">
            <v>1</v>
          </cell>
        </row>
        <row r="42">
          <cell r="J42">
            <v>5</v>
          </cell>
          <cell r="T42">
            <v>1</v>
          </cell>
          <cell r="AE42">
            <v>2</v>
          </cell>
          <cell r="AO42">
            <v>1</v>
          </cell>
          <cell r="AY42">
            <v>1</v>
          </cell>
          <cell r="BI42">
            <v>0</v>
          </cell>
          <cell r="BS42">
            <v>0</v>
          </cell>
          <cell r="CM42">
            <v>0</v>
          </cell>
          <cell r="CW42">
            <v>1</v>
          </cell>
          <cell r="DW42">
            <v>7</v>
          </cell>
        </row>
        <row r="43">
          <cell r="J43">
            <v>2</v>
          </cell>
          <cell r="T43">
            <v>7</v>
          </cell>
          <cell r="AE43">
            <v>0</v>
          </cell>
          <cell r="AO43">
            <v>0</v>
          </cell>
          <cell r="AY43">
            <v>3</v>
          </cell>
          <cell r="BI43">
            <v>0</v>
          </cell>
          <cell r="BS43">
            <v>0</v>
          </cell>
          <cell r="CM43">
            <v>0</v>
          </cell>
          <cell r="CW43">
            <v>1</v>
          </cell>
          <cell r="DW43">
            <v>7</v>
          </cell>
        </row>
        <row r="44">
          <cell r="J44">
            <v>9</v>
          </cell>
          <cell r="T44">
            <v>8</v>
          </cell>
          <cell r="AE44">
            <v>4</v>
          </cell>
          <cell r="AO44">
            <v>1</v>
          </cell>
          <cell r="AY44">
            <v>5</v>
          </cell>
          <cell r="BI44">
            <v>0</v>
          </cell>
          <cell r="BS44">
            <v>8</v>
          </cell>
          <cell r="CM44">
            <v>3</v>
          </cell>
          <cell r="CW44">
            <v>1</v>
          </cell>
          <cell r="DW44">
            <v>4</v>
          </cell>
        </row>
        <row r="45">
          <cell r="J45">
            <v>3</v>
          </cell>
          <cell r="T45">
            <v>3</v>
          </cell>
          <cell r="AE45">
            <v>0</v>
          </cell>
          <cell r="AO45">
            <v>0</v>
          </cell>
          <cell r="AY45">
            <v>3</v>
          </cell>
          <cell r="BI45">
            <v>0</v>
          </cell>
          <cell r="BS45">
            <v>3</v>
          </cell>
          <cell r="CM45">
            <v>2</v>
          </cell>
          <cell r="CW45">
            <v>0</v>
          </cell>
          <cell r="DW45">
            <v>0</v>
          </cell>
        </row>
        <row r="46">
          <cell r="J46">
            <v>1</v>
          </cell>
          <cell r="T46">
            <v>0</v>
          </cell>
          <cell r="AE46">
            <v>0</v>
          </cell>
          <cell r="AO46">
            <v>0</v>
          </cell>
          <cell r="AY46">
            <v>1</v>
          </cell>
          <cell r="BI46">
            <v>11</v>
          </cell>
          <cell r="BS46">
            <v>9</v>
          </cell>
          <cell r="CM46">
            <v>4</v>
          </cell>
          <cell r="CW46">
            <v>0</v>
          </cell>
          <cell r="DW46">
            <v>0</v>
          </cell>
        </row>
        <row r="47">
          <cell r="DW47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MIUSYVXENP45GJCQ6JGDHVTEFB">
      <xxl21:relativeUrl r:id="rId2"/>
    </xxl21:alternateUrls>
    <sheetNames>
      <sheetName val="MASTER "/>
      <sheetName val="TEACHER LIST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>
        <row r="37">
          <cell r="T37">
            <v>0</v>
          </cell>
          <cell r="AE37">
            <v>0</v>
          </cell>
          <cell r="AO37">
            <v>7</v>
          </cell>
          <cell r="AY37">
            <v>0</v>
          </cell>
          <cell r="BS37">
            <v>0</v>
          </cell>
          <cell r="CM37">
            <v>0</v>
          </cell>
          <cell r="CW37">
            <v>1</v>
          </cell>
        </row>
        <row r="38">
          <cell r="J38">
            <v>0</v>
          </cell>
          <cell r="T38">
            <v>4</v>
          </cell>
          <cell r="AE38">
            <v>1</v>
          </cell>
          <cell r="AO38">
            <v>3</v>
          </cell>
          <cell r="AY38">
            <v>2</v>
          </cell>
          <cell r="BS38">
            <v>0</v>
          </cell>
          <cell r="CM38">
            <v>1</v>
          </cell>
          <cell r="CW38">
            <v>0</v>
          </cell>
          <cell r="DW38">
            <v>0</v>
          </cell>
        </row>
        <row r="39">
          <cell r="J39">
            <v>1</v>
          </cell>
          <cell r="T39">
            <v>0</v>
          </cell>
          <cell r="AE39">
            <v>4</v>
          </cell>
          <cell r="AO39">
            <v>2</v>
          </cell>
          <cell r="AY39">
            <v>2</v>
          </cell>
          <cell r="BS39">
            <v>0</v>
          </cell>
          <cell r="CM39">
            <v>0</v>
          </cell>
          <cell r="DW39">
            <v>1</v>
          </cell>
        </row>
        <row r="40">
          <cell r="J40">
            <v>3</v>
          </cell>
          <cell r="T40">
            <v>0</v>
          </cell>
          <cell r="AE40">
            <v>3</v>
          </cell>
          <cell r="AO40">
            <v>3</v>
          </cell>
          <cell r="AY40">
            <v>3</v>
          </cell>
          <cell r="BS40">
            <v>0</v>
          </cell>
          <cell r="CM40">
            <v>0</v>
          </cell>
          <cell r="CW40">
            <v>3</v>
          </cell>
          <cell r="DW40">
            <v>1</v>
          </cell>
        </row>
        <row r="41">
          <cell r="J41">
            <v>6</v>
          </cell>
          <cell r="T41">
            <v>1</v>
          </cell>
          <cell r="AE41">
            <v>0</v>
          </cell>
          <cell r="AO41">
            <v>2</v>
          </cell>
          <cell r="AY41">
            <v>3</v>
          </cell>
          <cell r="BS41">
            <v>1</v>
          </cell>
          <cell r="CM41">
            <v>0</v>
          </cell>
          <cell r="CW41">
            <v>3</v>
          </cell>
          <cell r="DW41">
            <v>2</v>
          </cell>
        </row>
        <row r="42">
          <cell r="J42">
            <v>3</v>
          </cell>
          <cell r="T42">
            <v>5</v>
          </cell>
          <cell r="AE42">
            <v>4</v>
          </cell>
          <cell r="AO42">
            <v>1</v>
          </cell>
          <cell r="AY42">
            <v>3</v>
          </cell>
          <cell r="BS42">
            <v>1</v>
          </cell>
          <cell r="CM42">
            <v>0</v>
          </cell>
          <cell r="CW42">
            <v>4</v>
          </cell>
          <cell r="DW42">
            <v>3</v>
          </cell>
        </row>
        <row r="43">
          <cell r="J43">
            <v>6</v>
          </cell>
          <cell r="T43">
            <v>5</v>
          </cell>
          <cell r="AE43">
            <v>4</v>
          </cell>
          <cell r="AO43">
            <v>2</v>
          </cell>
          <cell r="AY43">
            <v>9</v>
          </cell>
          <cell r="BS43">
            <v>3</v>
          </cell>
          <cell r="CM43">
            <v>2</v>
          </cell>
          <cell r="CW43">
            <v>6</v>
          </cell>
          <cell r="DW43">
            <v>5</v>
          </cell>
        </row>
        <row r="44">
          <cell r="J44">
            <v>3</v>
          </cell>
          <cell r="T44">
            <v>7</v>
          </cell>
          <cell r="AE44">
            <v>2</v>
          </cell>
          <cell r="AO44">
            <v>1</v>
          </cell>
          <cell r="AY44">
            <v>0</v>
          </cell>
          <cell r="BS44">
            <v>4</v>
          </cell>
          <cell r="CM44">
            <v>3</v>
          </cell>
          <cell r="CW44">
            <v>2</v>
          </cell>
          <cell r="DW44">
            <v>6</v>
          </cell>
        </row>
        <row r="45">
          <cell r="J45">
            <v>1</v>
          </cell>
          <cell r="T45">
            <v>1</v>
          </cell>
          <cell r="AE45">
            <v>5</v>
          </cell>
          <cell r="AO45">
            <v>2</v>
          </cell>
          <cell r="AY45">
            <v>1</v>
          </cell>
          <cell r="BS45">
            <v>14</v>
          </cell>
          <cell r="CM45">
            <v>6</v>
          </cell>
          <cell r="CW45">
            <v>4</v>
          </cell>
          <cell r="DW45">
            <v>4</v>
          </cell>
        </row>
        <row r="46">
          <cell r="DW46">
            <v>2</v>
          </cell>
        </row>
        <row r="47">
          <cell r="DW47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NOWAWTINQR6BBJJCOB5ONSQ7PA">
      <xxl21:relativeUrl r:id="rId2"/>
    </xxl21:alternateUrls>
    <sheetNames>
      <sheetName val="MASTER "/>
      <sheetName val="TEACHER LIST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>
        <row r="38">
          <cell r="J38">
            <v>0</v>
          </cell>
          <cell r="T38">
            <v>0</v>
          </cell>
          <cell r="AE38">
            <v>4</v>
          </cell>
          <cell r="AO38">
            <v>2</v>
          </cell>
          <cell r="AY38">
            <v>0</v>
          </cell>
          <cell r="BI38">
            <v>0</v>
          </cell>
          <cell r="BS38">
            <v>0</v>
          </cell>
          <cell r="CM38">
            <v>0</v>
          </cell>
          <cell r="DW38">
            <v>0</v>
          </cell>
        </row>
        <row r="39">
          <cell r="J39">
            <v>0</v>
          </cell>
          <cell r="T39">
            <v>0</v>
          </cell>
          <cell r="AE39">
            <v>7</v>
          </cell>
          <cell r="AO39">
            <v>2</v>
          </cell>
          <cell r="AY39">
            <v>0</v>
          </cell>
          <cell r="BI39">
            <v>1</v>
          </cell>
          <cell r="BS39">
            <v>0</v>
          </cell>
          <cell r="CM39">
            <v>0</v>
          </cell>
          <cell r="DW39">
            <v>0</v>
          </cell>
        </row>
        <row r="40">
          <cell r="J40">
            <v>2</v>
          </cell>
          <cell r="T40">
            <v>0</v>
          </cell>
          <cell r="AE40">
            <v>6</v>
          </cell>
          <cell r="AO40">
            <v>0</v>
          </cell>
          <cell r="AY40">
            <v>0</v>
          </cell>
          <cell r="BI40">
            <v>0</v>
          </cell>
          <cell r="BS40">
            <v>0</v>
          </cell>
          <cell r="CM40">
            <v>0</v>
          </cell>
          <cell r="DW40">
            <v>0</v>
          </cell>
        </row>
        <row r="41">
          <cell r="J41">
            <v>1</v>
          </cell>
          <cell r="T41">
            <v>0</v>
          </cell>
          <cell r="AE41">
            <v>2</v>
          </cell>
          <cell r="AO41">
            <v>2</v>
          </cell>
          <cell r="AY41">
            <v>0</v>
          </cell>
          <cell r="BI41">
            <v>3</v>
          </cell>
          <cell r="BS41">
            <v>0</v>
          </cell>
          <cell r="CM41">
            <v>0</v>
          </cell>
          <cell r="DW41">
            <v>0</v>
          </cell>
        </row>
        <row r="42">
          <cell r="J42">
            <v>3</v>
          </cell>
          <cell r="T42">
            <v>0</v>
          </cell>
          <cell r="AE42">
            <v>0</v>
          </cell>
          <cell r="AO42">
            <v>2</v>
          </cell>
          <cell r="AY42">
            <v>0</v>
          </cell>
          <cell r="BI42">
            <v>1</v>
          </cell>
          <cell r="BS42">
            <v>1</v>
          </cell>
          <cell r="CM42">
            <v>2</v>
          </cell>
          <cell r="DW42">
            <v>1</v>
          </cell>
        </row>
        <row r="43">
          <cell r="J43">
            <v>3</v>
          </cell>
          <cell r="T43">
            <v>0</v>
          </cell>
          <cell r="AE43">
            <v>0</v>
          </cell>
          <cell r="AO43">
            <v>0</v>
          </cell>
          <cell r="AY43">
            <v>1</v>
          </cell>
          <cell r="BI43">
            <v>3</v>
          </cell>
          <cell r="BS43">
            <v>0</v>
          </cell>
          <cell r="CM43">
            <v>6</v>
          </cell>
          <cell r="DW43">
            <v>6</v>
          </cell>
        </row>
        <row r="44">
          <cell r="J44">
            <v>9</v>
          </cell>
          <cell r="T44">
            <v>0</v>
          </cell>
          <cell r="AO44">
            <v>4</v>
          </cell>
          <cell r="AY44">
            <v>4</v>
          </cell>
          <cell r="BI44">
            <v>6</v>
          </cell>
          <cell r="BS44">
            <v>2</v>
          </cell>
          <cell r="CM44">
            <v>3</v>
          </cell>
          <cell r="DW44">
            <v>2</v>
          </cell>
        </row>
        <row r="45">
          <cell r="J45">
            <v>1</v>
          </cell>
          <cell r="T45">
            <v>0</v>
          </cell>
          <cell r="AO45">
            <v>1</v>
          </cell>
          <cell r="AY45">
            <v>8</v>
          </cell>
          <cell r="BI45">
            <v>1</v>
          </cell>
          <cell r="BS45">
            <v>1</v>
          </cell>
          <cell r="CM45">
            <v>0</v>
          </cell>
          <cell r="DW45">
            <v>5</v>
          </cell>
        </row>
        <row r="46">
          <cell r="J46">
            <v>0</v>
          </cell>
          <cell r="T46">
            <v>0</v>
          </cell>
          <cell r="AO46">
            <v>6</v>
          </cell>
          <cell r="AY46">
            <v>6</v>
          </cell>
          <cell r="BI46">
            <v>4</v>
          </cell>
          <cell r="BS46">
            <v>4</v>
          </cell>
          <cell r="CM46">
            <v>0</v>
          </cell>
          <cell r="DW46">
            <v>5</v>
          </cell>
        </row>
        <row r="47">
          <cell r="DW4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KGSGFD2OM5YFA22WZPEFI36Y5G">
      <xxl21:relativeUrl r:id="rId2"/>
    </xxl21:alternateUrls>
    <sheetNames>
      <sheetName val="MASTER "/>
      <sheetName val="TEACHER LIST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>
        <row r="37">
          <cell r="T37">
            <v>0</v>
          </cell>
          <cell r="AE37">
            <v>13</v>
          </cell>
          <cell r="AO37">
            <v>10</v>
          </cell>
          <cell r="AY37">
            <v>0</v>
          </cell>
          <cell r="BI37">
            <v>1</v>
          </cell>
          <cell r="BS37">
            <v>0</v>
          </cell>
          <cell r="CM37">
            <v>0</v>
          </cell>
          <cell r="DV37">
            <v>0</v>
          </cell>
        </row>
        <row r="38">
          <cell r="J38">
            <v>2</v>
          </cell>
          <cell r="T38">
            <v>3</v>
          </cell>
          <cell r="AE38">
            <v>1</v>
          </cell>
          <cell r="AO38">
            <v>4</v>
          </cell>
          <cell r="AY38">
            <v>0</v>
          </cell>
          <cell r="BI38">
            <v>1</v>
          </cell>
          <cell r="BS38">
            <v>0</v>
          </cell>
          <cell r="CM38">
            <v>0</v>
          </cell>
          <cell r="DV38">
            <v>1</v>
          </cell>
        </row>
        <row r="39">
          <cell r="J39">
            <v>2</v>
          </cell>
          <cell r="T39">
            <v>11</v>
          </cell>
          <cell r="AE39">
            <v>3</v>
          </cell>
          <cell r="AO39">
            <v>1</v>
          </cell>
          <cell r="AY39">
            <v>0</v>
          </cell>
          <cell r="BI39">
            <v>4</v>
          </cell>
          <cell r="BS39">
            <v>0</v>
          </cell>
          <cell r="CM39">
            <v>0</v>
          </cell>
          <cell r="DV39">
            <v>8</v>
          </cell>
        </row>
        <row r="40">
          <cell r="J40">
            <v>4</v>
          </cell>
          <cell r="T40">
            <v>0</v>
          </cell>
          <cell r="AE40">
            <v>1</v>
          </cell>
          <cell r="AO40">
            <v>1</v>
          </cell>
          <cell r="AY40">
            <v>0</v>
          </cell>
          <cell r="BI40">
            <v>2</v>
          </cell>
          <cell r="BS40">
            <v>0</v>
          </cell>
          <cell r="CM40">
            <v>1</v>
          </cell>
          <cell r="DV40">
            <v>1</v>
          </cell>
        </row>
        <row r="41">
          <cell r="J41">
            <v>2</v>
          </cell>
          <cell r="T41">
            <v>0</v>
          </cell>
          <cell r="AE41">
            <v>0</v>
          </cell>
          <cell r="AO41">
            <v>1</v>
          </cell>
          <cell r="AY41">
            <v>0</v>
          </cell>
          <cell r="BI41">
            <v>1</v>
          </cell>
          <cell r="BS41">
            <v>0</v>
          </cell>
          <cell r="CM41">
            <v>7</v>
          </cell>
          <cell r="DV41">
            <v>3</v>
          </cell>
        </row>
        <row r="42">
          <cell r="J42">
            <v>4</v>
          </cell>
          <cell r="T42">
            <v>0</v>
          </cell>
          <cell r="AE42">
            <v>1</v>
          </cell>
          <cell r="AO42">
            <v>0</v>
          </cell>
          <cell r="AY42">
            <v>3</v>
          </cell>
          <cell r="BI42">
            <v>1</v>
          </cell>
          <cell r="BS42">
            <v>2</v>
          </cell>
          <cell r="CM42">
            <v>1</v>
          </cell>
          <cell r="DV42">
            <v>1</v>
          </cell>
        </row>
        <row r="43">
          <cell r="J43">
            <v>3</v>
          </cell>
          <cell r="T43">
            <v>4</v>
          </cell>
          <cell r="AO43">
            <v>0</v>
          </cell>
          <cell r="AY43">
            <v>5</v>
          </cell>
          <cell r="BI43">
            <v>5</v>
          </cell>
          <cell r="BS43">
            <v>1</v>
          </cell>
          <cell r="CM43">
            <v>0</v>
          </cell>
          <cell r="DV43">
            <v>2</v>
          </cell>
        </row>
        <row r="44">
          <cell r="J44">
            <v>1</v>
          </cell>
          <cell r="T44">
            <v>0</v>
          </cell>
          <cell r="AO44">
            <v>0</v>
          </cell>
          <cell r="AY44">
            <v>5</v>
          </cell>
          <cell r="BI44">
            <v>3</v>
          </cell>
          <cell r="BS44">
            <v>2</v>
          </cell>
          <cell r="CM44">
            <v>0</v>
          </cell>
          <cell r="DV44">
            <v>2</v>
          </cell>
        </row>
        <row r="45">
          <cell r="J45">
            <v>1</v>
          </cell>
          <cell r="T45">
            <v>1</v>
          </cell>
          <cell r="AO45">
            <v>2</v>
          </cell>
          <cell r="AY45">
            <v>6</v>
          </cell>
          <cell r="BI45">
            <v>1</v>
          </cell>
          <cell r="BS45">
            <v>5</v>
          </cell>
          <cell r="CM45">
            <v>1</v>
          </cell>
          <cell r="DV45">
            <v>0</v>
          </cell>
        </row>
        <row r="46">
          <cell r="DV4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1"/>
  <sheetViews>
    <sheetView tabSelected="1" view="pageLayout" topLeftCell="A106" zoomScale="110" zoomScaleNormal="100" zoomScalePageLayoutView="110" workbookViewId="0">
      <selection activeCell="E145" sqref="E145"/>
    </sheetView>
  </sheetViews>
  <sheetFormatPr defaultRowHeight="12.6"/>
  <cols>
    <col min="1" max="1" width="12.42578125" customWidth="1"/>
    <col min="2" max="2" width="24.140625" customWidth="1"/>
    <col min="3" max="3" width="9" customWidth="1"/>
    <col min="4" max="4" width="8.140625" customWidth="1"/>
    <col min="5" max="6" width="6.85546875" customWidth="1"/>
    <col min="7" max="7" width="6.5703125" customWidth="1"/>
    <col min="8" max="12" width="6.85546875" customWidth="1"/>
    <col min="13" max="13" width="7.5703125" customWidth="1"/>
    <col min="14" max="14" width="10.7109375" customWidth="1"/>
    <col min="15" max="15" width="7.85546875" customWidth="1"/>
    <col min="16" max="16" width="9.7109375" style="108" bestFit="1" customWidth="1"/>
  </cols>
  <sheetData>
    <row r="1" spans="1:16" ht="18">
      <c r="A1" s="153" t="s">
        <v>0</v>
      </c>
    </row>
    <row r="2" spans="1:16" s="5" customFormat="1" ht="12.95">
      <c r="A2"/>
      <c r="B2"/>
      <c r="C2"/>
      <c r="D2" s="229" t="s">
        <v>1</v>
      </c>
      <c r="E2" s="230"/>
      <c r="F2" s="229" t="s">
        <v>2</v>
      </c>
      <c r="G2" s="236"/>
      <c r="H2" s="236"/>
      <c r="I2" s="230"/>
      <c r="J2" s="229" t="s">
        <v>3</v>
      </c>
      <c r="K2" s="230"/>
      <c r="L2" s="165" t="s">
        <v>4</v>
      </c>
      <c r="M2"/>
      <c r="N2"/>
      <c r="O2"/>
      <c r="P2" s="108"/>
    </row>
    <row r="3" spans="1:16" ht="26.1">
      <c r="A3" s="59" t="s">
        <v>5</v>
      </c>
      <c r="B3" s="59" t="s">
        <v>6</v>
      </c>
      <c r="C3" s="59" t="s">
        <v>7</v>
      </c>
      <c r="D3" s="59" t="s">
        <v>8</v>
      </c>
      <c r="E3" s="59" t="s">
        <v>9</v>
      </c>
      <c r="F3" s="59" t="s">
        <v>10</v>
      </c>
      <c r="G3" s="59" t="s">
        <v>11</v>
      </c>
      <c r="H3" s="59" t="s">
        <v>12</v>
      </c>
      <c r="I3" s="59" t="s">
        <v>13</v>
      </c>
      <c r="J3" s="59" t="s">
        <v>14</v>
      </c>
      <c r="K3" s="59" t="s">
        <v>15</v>
      </c>
      <c r="L3" s="59" t="s">
        <v>16</v>
      </c>
      <c r="M3" s="48" t="s">
        <v>17</v>
      </c>
      <c r="N3" s="48" t="s">
        <v>18</v>
      </c>
      <c r="O3" s="48" t="s">
        <v>19</v>
      </c>
      <c r="P3" s="109" t="s">
        <v>20</v>
      </c>
    </row>
    <row r="4" spans="1:16" ht="12.75">
      <c r="A4" s="205" t="s">
        <v>21</v>
      </c>
      <c r="B4" s="141" t="s">
        <v>22</v>
      </c>
      <c r="C4" s="204">
        <f>SUM(D4:L4)</f>
        <v>20</v>
      </c>
      <c r="D4" s="7">
        <f>'[1]MASTER '!$J$38</f>
        <v>0</v>
      </c>
      <c r="E4" s="7">
        <f>'[2]MASTER '!$J$39</f>
        <v>0</v>
      </c>
      <c r="F4" s="7">
        <f>'[2]MASTER '!$J$40</f>
        <v>0</v>
      </c>
      <c r="G4" s="7">
        <f>'[2]MASTER '!$J$41</f>
        <v>2</v>
      </c>
      <c r="H4" s="7">
        <f>'[2]MASTER '!$J$42</f>
        <v>3</v>
      </c>
      <c r="I4" s="7">
        <f>'[2]MASTER '!$J$43</f>
        <v>1</v>
      </c>
      <c r="J4" s="7">
        <f>'[2]MASTER '!$J$44</f>
        <v>12</v>
      </c>
      <c r="K4" s="7">
        <f>'[2]MASTER '!$J$45</f>
        <v>2</v>
      </c>
      <c r="L4" s="7">
        <f>'[2]MASTER '!$J$46</f>
        <v>0</v>
      </c>
      <c r="M4" s="7">
        <f>SUM(D4:I4)</f>
        <v>6</v>
      </c>
      <c r="N4" s="8">
        <f t="shared" ref="N4:N11" si="0">((M4/C4)*100)</f>
        <v>30</v>
      </c>
      <c r="O4" s="7">
        <f t="shared" ref="O4:O9" si="1">SUM(D4:K4)</f>
        <v>20</v>
      </c>
      <c r="P4" s="8">
        <f t="shared" ref="P4:P11" si="2">((O4/C4)*100)</f>
        <v>100</v>
      </c>
    </row>
    <row r="5" spans="1:16" ht="12.75">
      <c r="A5" s="206" t="s">
        <v>23</v>
      </c>
      <c r="B5" s="141" t="s">
        <v>24</v>
      </c>
      <c r="C5" s="204">
        <f t="shared" ref="C5:C11" si="3">SUM(D5:L5)</f>
        <v>18</v>
      </c>
      <c r="D5" s="7">
        <f>'[1]MASTER '!$J$38</f>
        <v>0</v>
      </c>
      <c r="E5" s="7">
        <f>'[1]MASTER '!$J$39</f>
        <v>1</v>
      </c>
      <c r="F5" s="7">
        <f>'[1]MASTER '!$J$40</f>
        <v>1</v>
      </c>
      <c r="G5" s="7">
        <f>'[1]MASTER '!$J$41</f>
        <v>1</v>
      </c>
      <c r="H5" s="7">
        <f>'[1]MASTER '!$J$42</f>
        <v>4</v>
      </c>
      <c r="I5" s="7">
        <f>'[1]MASTER '!$J$43</f>
        <v>6</v>
      </c>
      <c r="J5" s="7">
        <f>'[1]MASTER '!$J$44</f>
        <v>5</v>
      </c>
      <c r="K5" s="7">
        <f>'[1]MASTER '!$J$45</f>
        <v>0</v>
      </c>
      <c r="L5" s="7">
        <f>'[1]MASTER '!$J$46</f>
        <v>0</v>
      </c>
      <c r="M5" s="7">
        <f>SUM(D5:I5)</f>
        <v>13</v>
      </c>
      <c r="N5" s="8">
        <f t="shared" si="0"/>
        <v>72.222222222222214</v>
      </c>
      <c r="O5" s="7">
        <f t="shared" si="1"/>
        <v>18</v>
      </c>
      <c r="P5" s="8">
        <f t="shared" si="2"/>
        <v>100</v>
      </c>
    </row>
    <row r="6" spans="1:16" ht="12.75">
      <c r="A6" s="206" t="s">
        <v>25</v>
      </c>
      <c r="B6" s="141" t="s">
        <v>26</v>
      </c>
      <c r="C6" s="204">
        <f t="shared" si="3"/>
        <v>23</v>
      </c>
      <c r="D6" s="7">
        <f>'[3]MASTER '!$J$38</f>
        <v>0</v>
      </c>
      <c r="E6" s="7">
        <f>'[3]MASTER '!$J$39</f>
        <v>2</v>
      </c>
      <c r="F6" s="7">
        <f>'[3]MASTER '!$J$40</f>
        <v>8</v>
      </c>
      <c r="G6" s="7">
        <f>'[3]MASTER '!$J$41</f>
        <v>4</v>
      </c>
      <c r="H6" s="7">
        <f>'[3]MASTER '!$J$42</f>
        <v>2</v>
      </c>
      <c r="I6" s="7">
        <f>'[3]MASTER '!$J$43</f>
        <v>3</v>
      </c>
      <c r="J6" s="7">
        <f>'[3]MASTER '!$J$44</f>
        <v>3</v>
      </c>
      <c r="K6" s="7">
        <f>'[3]MASTER '!$J$45</f>
        <v>1</v>
      </c>
      <c r="L6" s="7">
        <f>'[3]MASTER '!$J$46</f>
        <v>0</v>
      </c>
      <c r="M6" s="7">
        <f>SUM(D6:I6)</f>
        <v>19</v>
      </c>
      <c r="N6" s="8">
        <f t="shared" si="0"/>
        <v>82.608695652173907</v>
      </c>
      <c r="O6" s="7">
        <f t="shared" si="1"/>
        <v>23</v>
      </c>
      <c r="P6" s="8">
        <f t="shared" si="2"/>
        <v>100</v>
      </c>
    </row>
    <row r="7" spans="1:16" ht="12.75">
      <c r="A7" s="206" t="s">
        <v>27</v>
      </c>
      <c r="B7" s="141" t="s">
        <v>22</v>
      </c>
      <c r="C7" s="204">
        <f t="shared" si="3"/>
        <v>20</v>
      </c>
      <c r="D7" s="7">
        <f>'[4]MASTER '!$J$38</f>
        <v>0</v>
      </c>
      <c r="E7" s="7">
        <f>'[4]MASTER '!$J$39</f>
        <v>0</v>
      </c>
      <c r="F7" s="7">
        <f>'[4]MASTER '!$J$40</f>
        <v>0</v>
      </c>
      <c r="G7" s="7">
        <f>'[4]MASTER '!$J$41</f>
        <v>0</v>
      </c>
      <c r="H7" s="7">
        <f>'[4]MASTER '!$J$42</f>
        <v>5</v>
      </c>
      <c r="I7" s="7">
        <f>'[4]MASTER '!$J$43</f>
        <v>2</v>
      </c>
      <c r="J7" s="7">
        <f>'[4]MASTER '!$J$44</f>
        <v>9</v>
      </c>
      <c r="K7" s="7">
        <f>'[4]MASTER '!$J$45</f>
        <v>3</v>
      </c>
      <c r="L7" s="7">
        <f>'[4]MASTER '!$J$46</f>
        <v>1</v>
      </c>
      <c r="M7" s="7">
        <f t="shared" ref="M7" si="4">SUM(D7:I7)</f>
        <v>7</v>
      </c>
      <c r="N7" s="8">
        <f t="shared" si="0"/>
        <v>35</v>
      </c>
      <c r="O7" s="7">
        <f t="shared" si="1"/>
        <v>19</v>
      </c>
      <c r="P7" s="8">
        <f t="shared" si="2"/>
        <v>95</v>
      </c>
    </row>
    <row r="8" spans="1:16" ht="12.75">
      <c r="A8" s="205" t="s">
        <v>28</v>
      </c>
      <c r="B8" s="141" t="s">
        <v>22</v>
      </c>
      <c r="C8" s="204">
        <f t="shared" si="3"/>
        <v>23</v>
      </c>
      <c r="D8" s="7">
        <f>'[5]MASTER '!$J$38</f>
        <v>0</v>
      </c>
      <c r="E8" s="7">
        <f>'[5]MASTER '!$J$39</f>
        <v>1</v>
      </c>
      <c r="F8" s="7">
        <f>'[5]MASTER '!$J$40</f>
        <v>3</v>
      </c>
      <c r="G8" s="7">
        <f>'[5]MASTER '!$J$41</f>
        <v>6</v>
      </c>
      <c r="H8" s="7">
        <f>'[5]MASTER '!$J$42</f>
        <v>3</v>
      </c>
      <c r="I8" s="7">
        <f>'[5]MASTER '!$J$43</f>
        <v>6</v>
      </c>
      <c r="J8" s="7">
        <f>'[5]MASTER '!$J$44</f>
        <v>3</v>
      </c>
      <c r="K8" s="7">
        <f>'[5]MASTER '!$J$45</f>
        <v>1</v>
      </c>
      <c r="L8" s="7">
        <f>'[5]MASTER '!$J$46</f>
        <v>0</v>
      </c>
      <c r="M8" s="7">
        <f>SUM(D8:I8)</f>
        <v>19</v>
      </c>
      <c r="N8" s="8">
        <f t="shared" si="0"/>
        <v>82.608695652173907</v>
      </c>
      <c r="O8" s="7">
        <f t="shared" si="1"/>
        <v>23</v>
      </c>
      <c r="P8" s="8">
        <f t="shared" si="2"/>
        <v>100</v>
      </c>
    </row>
    <row r="9" spans="1:16" ht="12.75">
      <c r="A9" s="205" t="s">
        <v>29</v>
      </c>
      <c r="B9" s="141" t="s">
        <v>24</v>
      </c>
      <c r="C9" s="204">
        <f t="shared" si="3"/>
        <v>19</v>
      </c>
      <c r="D9" s="7">
        <f>'[6]MASTER '!$J$38</f>
        <v>0</v>
      </c>
      <c r="E9" s="7">
        <f>'[6]MASTER '!$J$39</f>
        <v>0</v>
      </c>
      <c r="F9" s="7">
        <f>'[6]MASTER '!$J$40</f>
        <v>2</v>
      </c>
      <c r="G9" s="7">
        <f>'[6]MASTER '!$J$41</f>
        <v>1</v>
      </c>
      <c r="H9" s="7">
        <f>'[6]MASTER '!$J$42</f>
        <v>3</v>
      </c>
      <c r="I9" s="7">
        <f>'[6]MASTER '!$J$43</f>
        <v>3</v>
      </c>
      <c r="J9" s="7">
        <f>'[6]MASTER '!$J$44</f>
        <v>9</v>
      </c>
      <c r="K9" s="7">
        <f>'[6]MASTER '!$J$45</f>
        <v>1</v>
      </c>
      <c r="L9" s="7">
        <f>'[6]MASTER '!$J$46</f>
        <v>0</v>
      </c>
      <c r="M9" s="7">
        <f>SUM(D9:I9)</f>
        <v>9</v>
      </c>
      <c r="N9" s="8">
        <f t="shared" si="0"/>
        <v>47.368421052631575</v>
      </c>
      <c r="O9" s="7">
        <f t="shared" si="1"/>
        <v>19</v>
      </c>
      <c r="P9" s="8">
        <f t="shared" si="2"/>
        <v>100</v>
      </c>
    </row>
    <row r="10" spans="1:16" ht="12.75">
      <c r="A10" s="205" t="s">
        <v>30</v>
      </c>
      <c r="B10" s="141" t="s">
        <v>26</v>
      </c>
      <c r="C10" s="204">
        <f t="shared" si="3"/>
        <v>19</v>
      </c>
      <c r="D10" s="7">
        <f>'[7]MASTER '!$J$38</f>
        <v>2</v>
      </c>
      <c r="E10" s="7">
        <f>'[7]MASTER '!$J$39</f>
        <v>2</v>
      </c>
      <c r="F10" s="7">
        <f>'[7]MASTER '!$J$40</f>
        <v>4</v>
      </c>
      <c r="G10" s="7">
        <f>'[7]MASTER '!$J$41</f>
        <v>2</v>
      </c>
      <c r="H10" s="7">
        <f>'[7]MASTER '!$J$42</f>
        <v>4</v>
      </c>
      <c r="I10" s="7">
        <f>'[7]MASTER '!$J$43</f>
        <v>3</v>
      </c>
      <c r="J10" s="7">
        <f>'[7]MASTER '!$J$44</f>
        <v>1</v>
      </c>
      <c r="K10" s="7">
        <f>'[7]MASTER '!$J$45</f>
        <v>1</v>
      </c>
      <c r="L10" s="7">
        <f>'[7]MASTER '!$J$46</f>
        <v>0</v>
      </c>
      <c r="M10" s="7">
        <f>SUM(D10:I10)</f>
        <v>17</v>
      </c>
      <c r="N10" s="8">
        <f t="shared" si="0"/>
        <v>89.473684210526315</v>
      </c>
      <c r="O10" s="7">
        <f t="shared" ref="O10" si="5">SUM(D10:K10)</f>
        <v>19</v>
      </c>
      <c r="P10" s="8">
        <f t="shared" si="2"/>
        <v>100</v>
      </c>
    </row>
    <row r="11" spans="1:16" ht="12.75">
      <c r="A11" s="160"/>
      <c r="B11" s="161" t="s">
        <v>31</v>
      </c>
      <c r="C11" s="204">
        <f t="shared" si="3"/>
        <v>142</v>
      </c>
      <c r="D11" s="165">
        <f>SUM(D4:D10)</f>
        <v>2</v>
      </c>
      <c r="E11" s="165">
        <f>SUM(E4:E10)</f>
        <v>6</v>
      </c>
      <c r="F11" s="165">
        <f>SUM(F4:F10)</f>
        <v>18</v>
      </c>
      <c r="G11" s="165">
        <f>SUM(G4:G10)</f>
        <v>16</v>
      </c>
      <c r="H11" s="165">
        <f>SUM(H4:H10)</f>
        <v>24</v>
      </c>
      <c r="I11" s="165">
        <f>SUM(I4:I10)</f>
        <v>24</v>
      </c>
      <c r="J11" s="165">
        <f>SUM(J4:J10)</f>
        <v>42</v>
      </c>
      <c r="K11" s="165">
        <f>SUM(K4:K10)</f>
        <v>9</v>
      </c>
      <c r="L11" s="165">
        <f>SUM(L4:L10)</f>
        <v>1</v>
      </c>
      <c r="M11" s="165">
        <f>SUM(M4:M10)</f>
        <v>90</v>
      </c>
      <c r="N11" s="9">
        <f t="shared" si="0"/>
        <v>63.380281690140848</v>
      </c>
      <c r="O11" s="165">
        <f>SUM(O4:O10)</f>
        <v>141</v>
      </c>
      <c r="P11" s="9">
        <f t="shared" si="2"/>
        <v>99.295774647887328</v>
      </c>
    </row>
    <row r="12" spans="1:16" ht="23.2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1"/>
      <c r="O12" s="10"/>
      <c r="P12" s="11"/>
    </row>
    <row r="13" spans="1:16" s="5" customFormat="1" ht="18">
      <c r="A13" s="153" t="s">
        <v>32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 s="108"/>
    </row>
    <row r="14" spans="1:16" ht="12.75" customHeight="1">
      <c r="D14" s="229" t="s">
        <v>1</v>
      </c>
      <c r="E14" s="230"/>
      <c r="F14" s="160"/>
      <c r="G14" s="162" t="s">
        <v>2</v>
      </c>
      <c r="H14" s="162"/>
      <c r="I14" s="161"/>
      <c r="J14" s="229" t="s">
        <v>3</v>
      </c>
      <c r="K14" s="230"/>
      <c r="L14" s="165" t="s">
        <v>4</v>
      </c>
    </row>
    <row r="15" spans="1:16" ht="26.1">
      <c r="A15" s="59" t="s">
        <v>5</v>
      </c>
      <c r="B15" s="59" t="s">
        <v>6</v>
      </c>
      <c r="C15" s="59" t="s">
        <v>7</v>
      </c>
      <c r="D15" s="59" t="s">
        <v>8</v>
      </c>
      <c r="E15" s="59" t="s">
        <v>9</v>
      </c>
      <c r="F15" s="59" t="s">
        <v>10</v>
      </c>
      <c r="G15" s="59" t="s">
        <v>11</v>
      </c>
      <c r="H15" s="59" t="s">
        <v>12</v>
      </c>
      <c r="I15" s="59" t="s">
        <v>13</v>
      </c>
      <c r="J15" s="59" t="s">
        <v>14</v>
      </c>
      <c r="K15" s="59" t="s">
        <v>15</v>
      </c>
      <c r="L15" s="59" t="s">
        <v>16</v>
      </c>
      <c r="M15" s="48" t="s">
        <v>17</v>
      </c>
      <c r="N15" s="48" t="s">
        <v>18</v>
      </c>
      <c r="O15" s="48" t="s">
        <v>19</v>
      </c>
      <c r="P15" s="109" t="s">
        <v>20</v>
      </c>
    </row>
    <row r="16" spans="1:16" ht="12.75" customHeight="1">
      <c r="A16" s="205" t="s">
        <v>29</v>
      </c>
      <c r="B16" s="141" t="s">
        <v>33</v>
      </c>
      <c r="C16" s="204">
        <f>SUM(D16:L16)</f>
        <v>19</v>
      </c>
      <c r="D16" s="141">
        <f>'[6]MASTER '!$BI$38</f>
        <v>0</v>
      </c>
      <c r="E16" s="141">
        <f>'[6]MASTER '!$BI$39</f>
        <v>1</v>
      </c>
      <c r="F16" s="141">
        <f>'[6]MASTER '!$BI$40</f>
        <v>0</v>
      </c>
      <c r="G16" s="141">
        <f>'[6]MASTER '!$BI$41</f>
        <v>3</v>
      </c>
      <c r="H16" s="141">
        <f>'[6]MASTER '!$BI$42</f>
        <v>1</v>
      </c>
      <c r="I16" s="141">
        <f>'[6]MASTER '!$BI$43</f>
        <v>3</v>
      </c>
      <c r="J16" s="141">
        <f>'[6]MASTER '!$BI$44</f>
        <v>6</v>
      </c>
      <c r="K16" s="141">
        <f>'[6]MASTER '!$BI$45</f>
        <v>1</v>
      </c>
      <c r="L16" s="141">
        <f>'[6]MASTER '!$BI$46</f>
        <v>4</v>
      </c>
      <c r="M16" s="7">
        <f>SUM(D16:I16)</f>
        <v>8</v>
      </c>
      <c r="N16" s="8">
        <f>((M16/C16)*100)</f>
        <v>42.105263157894733</v>
      </c>
      <c r="O16" s="7">
        <f>SUM(D16:K16)</f>
        <v>15</v>
      </c>
      <c r="P16" s="8">
        <f>((O16/C16)*100)</f>
        <v>78.94736842105263</v>
      </c>
    </row>
    <row r="17" spans="1:16" ht="12.75" customHeight="1">
      <c r="A17" s="205" t="s">
        <v>30</v>
      </c>
      <c r="B17" s="141" t="s">
        <v>33</v>
      </c>
      <c r="C17" s="204">
        <f>SUM(D17:L17)</f>
        <v>19</v>
      </c>
      <c r="D17" s="141">
        <f>'[7]MASTER '!$BI$37</f>
        <v>1</v>
      </c>
      <c r="E17" s="141">
        <f>'[7]MASTER '!$BI$38</f>
        <v>1</v>
      </c>
      <c r="F17" s="141">
        <f>'[7]MASTER '!$BI$39</f>
        <v>4</v>
      </c>
      <c r="G17" s="141">
        <f>'[7]MASTER '!$BI$40</f>
        <v>2</v>
      </c>
      <c r="H17" s="141">
        <f>'[7]MASTER '!$BI$41</f>
        <v>1</v>
      </c>
      <c r="I17" s="141">
        <f>'[7]MASTER '!$BI$42</f>
        <v>1</v>
      </c>
      <c r="J17" s="141">
        <f>'[7]MASTER '!$BI$43</f>
        <v>5</v>
      </c>
      <c r="K17" s="141">
        <f>'[7]MASTER '!$BI$44</f>
        <v>3</v>
      </c>
      <c r="L17" s="141">
        <f>'[7]MASTER '!$BI$45</f>
        <v>1</v>
      </c>
      <c r="M17" s="7">
        <f>SUM(D17:I17)</f>
        <v>10</v>
      </c>
      <c r="N17" s="8">
        <f>((M17/C17)*100)</f>
        <v>52.631578947368418</v>
      </c>
      <c r="O17" s="7">
        <f>SUM(D17:K17)</f>
        <v>18</v>
      </c>
      <c r="P17" s="8">
        <f>((O17/C17)*100)</f>
        <v>94.73684210526315</v>
      </c>
    </row>
    <row r="18" spans="1:16" ht="13.5" customHeight="1">
      <c r="A18" s="160"/>
      <c r="B18" s="161" t="s">
        <v>31</v>
      </c>
      <c r="C18" s="165">
        <f t="shared" ref="C18:K18" si="6">SUM(C16:C17)</f>
        <v>38</v>
      </c>
      <c r="D18" s="165">
        <f>SUM(D16:D17)</f>
        <v>1</v>
      </c>
      <c r="E18" s="165">
        <f t="shared" si="6"/>
        <v>2</v>
      </c>
      <c r="F18" s="165">
        <f t="shared" si="6"/>
        <v>4</v>
      </c>
      <c r="G18" s="165">
        <f t="shared" si="6"/>
        <v>5</v>
      </c>
      <c r="H18" s="165">
        <f t="shared" si="6"/>
        <v>2</v>
      </c>
      <c r="I18" s="165">
        <f t="shared" si="6"/>
        <v>4</v>
      </c>
      <c r="J18" s="165">
        <f t="shared" si="6"/>
        <v>11</v>
      </c>
      <c r="K18" s="165">
        <f t="shared" si="6"/>
        <v>4</v>
      </c>
      <c r="L18" s="165">
        <v>3</v>
      </c>
      <c r="M18" s="165">
        <f>SUM(M16:M17)</f>
        <v>18</v>
      </c>
      <c r="N18" s="9">
        <f>((M18/C18)*100)</f>
        <v>47.368421052631575</v>
      </c>
      <c r="O18" s="165">
        <f>SUM(O16:O17)</f>
        <v>33</v>
      </c>
      <c r="P18" s="9">
        <f>((O18/C18)*100)</f>
        <v>86.842105263157904</v>
      </c>
    </row>
    <row r="19" spans="1:16" ht="27" customHeight="1"/>
    <row r="20" spans="1:16" s="5" customFormat="1" ht="18">
      <c r="A20" s="153" t="s">
        <v>34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 s="108"/>
    </row>
    <row r="21" spans="1:16" ht="12.95">
      <c r="D21" s="229" t="s">
        <v>1</v>
      </c>
      <c r="E21" s="230"/>
      <c r="F21" s="160"/>
      <c r="G21" s="162" t="s">
        <v>2</v>
      </c>
      <c r="H21" s="162"/>
      <c r="I21" s="161"/>
      <c r="J21" s="4" t="s">
        <v>3</v>
      </c>
      <c r="K21" s="3"/>
      <c r="L21" s="165" t="s">
        <v>4</v>
      </c>
    </row>
    <row r="22" spans="1:16" ht="26.1">
      <c r="A22" s="59" t="s">
        <v>5</v>
      </c>
      <c r="B22" s="59" t="s">
        <v>6</v>
      </c>
      <c r="C22" s="59" t="s">
        <v>7</v>
      </c>
      <c r="D22" s="59" t="s">
        <v>8</v>
      </c>
      <c r="E22" s="59" t="s">
        <v>9</v>
      </c>
      <c r="F22" s="59" t="s">
        <v>10</v>
      </c>
      <c r="G22" s="59" t="s">
        <v>11</v>
      </c>
      <c r="H22" s="59" t="s">
        <v>12</v>
      </c>
      <c r="I22" s="59" t="s">
        <v>13</v>
      </c>
      <c r="J22" s="59" t="s">
        <v>14</v>
      </c>
      <c r="K22" s="59" t="s">
        <v>15</v>
      </c>
      <c r="L22" s="59" t="s">
        <v>16</v>
      </c>
      <c r="M22" s="6" t="s">
        <v>17</v>
      </c>
      <c r="N22" s="6" t="s">
        <v>18</v>
      </c>
      <c r="O22" s="6" t="s">
        <v>19</v>
      </c>
      <c r="P22" s="110" t="s">
        <v>20</v>
      </c>
    </row>
    <row r="23" spans="1:16" ht="12.75">
      <c r="A23" s="205" t="s">
        <v>21</v>
      </c>
      <c r="B23" s="146" t="s">
        <v>35</v>
      </c>
      <c r="C23" s="204">
        <f>SUM(D23:L23)</f>
        <v>20</v>
      </c>
      <c r="D23" s="178">
        <f>'[2]MASTER '!$T$38</f>
        <v>3</v>
      </c>
      <c r="E23" s="178">
        <f>'[2]MASTER '!$T$39</f>
        <v>15</v>
      </c>
      <c r="F23" s="178">
        <f>'[2]MASTER '!$T$40</f>
        <v>0</v>
      </c>
      <c r="G23" s="178">
        <f>'[2]MASTER '!$T$41</f>
        <v>1</v>
      </c>
      <c r="H23" s="178">
        <f>'[2]MASTER '!$T$42</f>
        <v>1</v>
      </c>
      <c r="I23" s="178">
        <f>'[2]MASTER '!$T$43</f>
        <v>0</v>
      </c>
      <c r="J23" s="178">
        <f>'[2]MASTER '!$T$44</f>
        <v>0</v>
      </c>
      <c r="K23" s="178">
        <f>'[2]MASTER '!$T$45</f>
        <v>0</v>
      </c>
      <c r="L23" s="178">
        <f>'[2]MASTER '!$T$46</f>
        <v>0</v>
      </c>
      <c r="M23" s="7">
        <f t="shared" ref="M23:M28" si="7">SUM(D23:I23)</f>
        <v>20</v>
      </c>
      <c r="N23" s="8">
        <f t="shared" ref="N23:N28" si="8">((M23/C23)*100)</f>
        <v>100</v>
      </c>
      <c r="O23" s="7">
        <f t="shared" ref="O23:O28" si="9">SUM(D23:K23)</f>
        <v>20</v>
      </c>
      <c r="P23" s="8">
        <f t="shared" ref="P23:P28" si="10">((O23/C23)*100)</f>
        <v>100</v>
      </c>
    </row>
    <row r="24" spans="1:16" ht="12.75">
      <c r="A24" s="206" t="s">
        <v>23</v>
      </c>
      <c r="B24" s="169" t="s">
        <v>36</v>
      </c>
      <c r="C24" s="204">
        <f t="shared" ref="C24:C28" si="11">SUM(D24:L24)</f>
        <v>18</v>
      </c>
      <c r="D24" s="193">
        <f>'[1]MASTER '!$T$38</f>
        <v>0</v>
      </c>
      <c r="E24" s="193">
        <f>'[1]MASTER '!$T$39</f>
        <v>8</v>
      </c>
      <c r="F24" s="193">
        <f>'[1]MASTER '!$T$40</f>
        <v>4</v>
      </c>
      <c r="G24" s="193">
        <f>'[1]MASTER '!$T$41</f>
        <v>4</v>
      </c>
      <c r="H24" s="193">
        <f>'[1]MASTER '!$T$42</f>
        <v>2</v>
      </c>
      <c r="I24" s="193">
        <f>'[1]MASTER '!$T$43</f>
        <v>0</v>
      </c>
      <c r="J24" s="193">
        <f>'[1]MASTER '!$T$44</f>
        <v>0</v>
      </c>
      <c r="K24" s="193">
        <f>'[1]MASTER '!$T$45</f>
        <v>0</v>
      </c>
      <c r="L24" s="193">
        <f>'[1]MASTER '!$T$46</f>
        <v>0</v>
      </c>
      <c r="M24" s="7">
        <f t="shared" si="7"/>
        <v>18</v>
      </c>
      <c r="N24" s="8">
        <f t="shared" si="8"/>
        <v>100</v>
      </c>
      <c r="O24" s="7">
        <f t="shared" si="9"/>
        <v>18</v>
      </c>
      <c r="P24" s="8">
        <f t="shared" si="10"/>
        <v>100</v>
      </c>
    </row>
    <row r="25" spans="1:16" ht="12.75">
      <c r="A25" s="206" t="s">
        <v>25</v>
      </c>
      <c r="B25" s="169" t="s">
        <v>37</v>
      </c>
      <c r="C25" s="204">
        <f t="shared" si="11"/>
        <v>0</v>
      </c>
      <c r="D25" s="193">
        <f>'[3]MASTER '!$T$38</f>
        <v>0</v>
      </c>
      <c r="E25" s="193">
        <f>'[3]MASTER '!$T$39</f>
        <v>0</v>
      </c>
      <c r="F25" s="193">
        <f>'[3]MASTER '!$T$40</f>
        <v>0</v>
      </c>
      <c r="G25" s="193">
        <f>'[3]MASTER '!$T$41</f>
        <v>0</v>
      </c>
      <c r="H25" s="193">
        <f>'[3]MASTER '!$T$42</f>
        <v>0</v>
      </c>
      <c r="I25" s="193">
        <f>'[3]MASTER '!$T$43</f>
        <v>0</v>
      </c>
      <c r="J25" s="193">
        <f>'[3]MASTER '!$T$44</f>
        <v>0</v>
      </c>
      <c r="K25" s="193">
        <f>'[3]MASTER '!$T$45</f>
        <v>0</v>
      </c>
      <c r="L25" s="193">
        <f>'[3]MASTER '!$T$46</f>
        <v>0</v>
      </c>
      <c r="M25" s="7">
        <f t="shared" si="7"/>
        <v>0</v>
      </c>
      <c r="N25" s="8" t="e">
        <f t="shared" si="8"/>
        <v>#DIV/0!</v>
      </c>
      <c r="O25" s="7">
        <f t="shared" si="9"/>
        <v>0</v>
      </c>
      <c r="P25" s="8" t="e">
        <f t="shared" si="10"/>
        <v>#DIV/0!</v>
      </c>
    </row>
    <row r="26" spans="1:16" ht="12.75">
      <c r="A26" s="206" t="s">
        <v>27</v>
      </c>
      <c r="B26" s="146" t="s">
        <v>38</v>
      </c>
      <c r="C26" s="204">
        <f t="shared" si="11"/>
        <v>20</v>
      </c>
      <c r="D26" s="193">
        <f>'[4]MASTER '!$T$38</f>
        <v>1</v>
      </c>
      <c r="E26" s="193">
        <f>'[4]MASTER '!$T$39</f>
        <v>0</v>
      </c>
      <c r="F26" s="193">
        <f>'[4]MASTER '!$T$40</f>
        <v>0</v>
      </c>
      <c r="G26" s="193">
        <f>'[4]MASTER '!$T$41</f>
        <v>0</v>
      </c>
      <c r="H26" s="193">
        <f>'[4]MASTER '!$T$42</f>
        <v>1</v>
      </c>
      <c r="I26" s="193">
        <f>'[4]MASTER '!$T$43</f>
        <v>7</v>
      </c>
      <c r="J26" s="193">
        <f>'[4]MASTER '!$T$44</f>
        <v>8</v>
      </c>
      <c r="K26" s="193">
        <f>'[4]MASTER '!$T$45</f>
        <v>3</v>
      </c>
      <c r="L26" s="193">
        <f>'[4]MASTER '!$T$46</f>
        <v>0</v>
      </c>
      <c r="M26" s="7">
        <f t="shared" si="7"/>
        <v>9</v>
      </c>
      <c r="N26" s="8">
        <f t="shared" si="8"/>
        <v>45</v>
      </c>
      <c r="O26" s="7">
        <f t="shared" si="9"/>
        <v>20</v>
      </c>
      <c r="P26" s="8">
        <f t="shared" si="10"/>
        <v>100</v>
      </c>
    </row>
    <row r="27" spans="1:16" ht="12.75">
      <c r="A27" s="205" t="s">
        <v>28</v>
      </c>
      <c r="B27" s="146" t="s">
        <v>38</v>
      </c>
      <c r="C27" s="204">
        <f t="shared" si="11"/>
        <v>23</v>
      </c>
      <c r="D27" s="193">
        <f>'[5]MASTER '!$T$37</f>
        <v>0</v>
      </c>
      <c r="E27" s="193">
        <f>'[5]MASTER '!$T$38</f>
        <v>4</v>
      </c>
      <c r="F27" s="193">
        <f>'[5]MASTER '!$T$39</f>
        <v>0</v>
      </c>
      <c r="G27" s="193">
        <f>'[5]MASTER '!$T$40</f>
        <v>0</v>
      </c>
      <c r="H27" s="193">
        <f>'[5]MASTER '!$T$41</f>
        <v>1</v>
      </c>
      <c r="I27" s="193">
        <f>'[5]MASTER '!$T$42</f>
        <v>5</v>
      </c>
      <c r="J27" s="193">
        <f>'[5]MASTER '!$T$43</f>
        <v>5</v>
      </c>
      <c r="K27" s="193">
        <f>'[5]MASTER '!$T$44</f>
        <v>7</v>
      </c>
      <c r="L27" s="193">
        <f>'[5]MASTER '!$T$45</f>
        <v>1</v>
      </c>
      <c r="M27" s="7">
        <f t="shared" si="7"/>
        <v>10</v>
      </c>
      <c r="N27" s="8">
        <f t="shared" si="8"/>
        <v>43.478260869565219</v>
      </c>
      <c r="O27" s="7">
        <f t="shared" si="9"/>
        <v>22</v>
      </c>
      <c r="P27" s="8">
        <f t="shared" si="10"/>
        <v>95.652173913043484</v>
      </c>
    </row>
    <row r="28" spans="1:16" ht="12.75">
      <c r="A28" s="205" t="s">
        <v>29</v>
      </c>
      <c r="B28" s="201" t="s">
        <v>37</v>
      </c>
      <c r="C28" s="204">
        <f t="shared" si="11"/>
        <v>0</v>
      </c>
      <c r="D28" s="193">
        <f>'[6]MASTER '!$T$38</f>
        <v>0</v>
      </c>
      <c r="E28" s="193">
        <f>'[6]MASTER '!$T$39</f>
        <v>0</v>
      </c>
      <c r="F28" s="193">
        <f>'[6]MASTER '!$T$40</f>
        <v>0</v>
      </c>
      <c r="G28" s="193">
        <f>'[6]MASTER '!$T$41</f>
        <v>0</v>
      </c>
      <c r="H28" s="193">
        <f>'[6]MASTER '!$T$42</f>
        <v>0</v>
      </c>
      <c r="I28" s="193">
        <f>'[6]MASTER '!$T$43</f>
        <v>0</v>
      </c>
      <c r="J28" s="193">
        <f>'[6]MASTER '!$T$44</f>
        <v>0</v>
      </c>
      <c r="K28" s="193">
        <f>'[6]MASTER '!$T$45</f>
        <v>0</v>
      </c>
      <c r="L28" s="193">
        <f>'[6]MASTER '!$T$46</f>
        <v>0</v>
      </c>
      <c r="M28" s="7">
        <f t="shared" si="7"/>
        <v>0</v>
      </c>
      <c r="N28" s="8" t="e">
        <f t="shared" si="8"/>
        <v>#DIV/0!</v>
      </c>
      <c r="O28" s="7">
        <f t="shared" si="9"/>
        <v>0</v>
      </c>
      <c r="P28" s="8" t="e">
        <f t="shared" si="10"/>
        <v>#DIV/0!</v>
      </c>
    </row>
    <row r="29" spans="1:16" ht="12.95">
      <c r="A29" s="160"/>
      <c r="B29" s="161" t="s">
        <v>31</v>
      </c>
      <c r="C29" s="165">
        <f>SUM(C23:C28)</f>
        <v>81</v>
      </c>
      <c r="D29" s="165">
        <f>SUM(D23:D28)</f>
        <v>4</v>
      </c>
      <c r="E29" s="165">
        <f>SUM(E23:E28)</f>
        <v>27</v>
      </c>
      <c r="F29" s="165">
        <f>SUM(F23:F28)</f>
        <v>4</v>
      </c>
      <c r="G29" s="165">
        <f>SUM(G23:G28)</f>
        <v>5</v>
      </c>
      <c r="H29" s="165">
        <f>SUM(H23:H28)</f>
        <v>5</v>
      </c>
      <c r="I29" s="165">
        <f>SUM(I23:I28)</f>
        <v>12</v>
      </c>
      <c r="J29" s="165">
        <f>SUM(J23:J28)</f>
        <v>13</v>
      </c>
      <c r="K29" s="165">
        <f>SUM(K23:K28)</f>
        <v>10</v>
      </c>
      <c r="L29" s="165">
        <f>SUM(L23:L28)</f>
        <v>1</v>
      </c>
      <c r="M29" s="165">
        <f>SUM(M23:M28)</f>
        <v>57</v>
      </c>
      <c r="N29" s="9">
        <f>((M29/C29)*100)</f>
        <v>70.370370370370367</v>
      </c>
      <c r="O29" s="165">
        <f>SUM(O23:O28)</f>
        <v>80</v>
      </c>
      <c r="P29" s="9">
        <f>((O29/C29)*100)</f>
        <v>98.76543209876543</v>
      </c>
    </row>
    <row r="30" spans="1:16" ht="12.7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1"/>
      <c r="O30" s="10"/>
      <c r="P30" s="11"/>
    </row>
    <row r="31" spans="1:16" s="5" customFormat="1" ht="18">
      <c r="A31" s="154" t="s">
        <v>39</v>
      </c>
      <c r="B31" s="145"/>
      <c r="N31" s="49"/>
      <c r="P31" s="49"/>
    </row>
    <row r="32" spans="1:16" s="36" customFormat="1" ht="12.95">
      <c r="D32" s="234" t="s">
        <v>1</v>
      </c>
      <c r="E32" s="235"/>
      <c r="F32" s="234" t="s">
        <v>2</v>
      </c>
      <c r="G32" s="238"/>
      <c r="H32" s="238"/>
      <c r="I32" s="235"/>
      <c r="J32" s="234" t="s">
        <v>3</v>
      </c>
      <c r="K32" s="235"/>
      <c r="L32" s="59" t="s">
        <v>4</v>
      </c>
      <c r="P32" s="111"/>
    </row>
    <row r="33" spans="1:16" s="5" customFormat="1" ht="26.1">
      <c r="A33" s="59" t="s">
        <v>5</v>
      </c>
      <c r="B33" s="59" t="s">
        <v>6</v>
      </c>
      <c r="C33" s="59" t="s">
        <v>7</v>
      </c>
      <c r="D33" s="59" t="s">
        <v>8</v>
      </c>
      <c r="E33" s="59" t="s">
        <v>9</v>
      </c>
      <c r="F33" s="59" t="s">
        <v>10</v>
      </c>
      <c r="G33" s="59" t="s">
        <v>11</v>
      </c>
      <c r="H33" s="59" t="s">
        <v>12</v>
      </c>
      <c r="I33" s="59" t="s">
        <v>13</v>
      </c>
      <c r="J33" s="59" t="s">
        <v>14</v>
      </c>
      <c r="K33" s="59" t="s">
        <v>15</v>
      </c>
      <c r="L33" s="59" t="s">
        <v>16</v>
      </c>
      <c r="M33" s="48" t="s">
        <v>17</v>
      </c>
      <c r="N33" s="48" t="s">
        <v>18</v>
      </c>
      <c r="O33" s="48" t="s">
        <v>19</v>
      </c>
      <c r="P33" s="109" t="s">
        <v>20</v>
      </c>
    </row>
    <row r="34" spans="1:16" s="5" customFormat="1" ht="12.75">
      <c r="A34" s="205" t="s">
        <v>30</v>
      </c>
      <c r="B34" s="169" t="s">
        <v>40</v>
      </c>
      <c r="C34" s="204">
        <f t="shared" ref="C34" si="12">SUM(D34:L34)</f>
        <v>19</v>
      </c>
      <c r="D34" s="191">
        <f>'[7]MASTER '!$T$37</f>
        <v>0</v>
      </c>
      <c r="E34" s="191">
        <f>'[7]MASTER '!$T$38</f>
        <v>3</v>
      </c>
      <c r="F34" s="191">
        <f>'[7]MASTER '!$T$39</f>
        <v>11</v>
      </c>
      <c r="G34" s="191">
        <f>'[7]MASTER '!$T$40</f>
        <v>0</v>
      </c>
      <c r="H34" s="191">
        <f>'[7]MASTER '!$T$41</f>
        <v>0</v>
      </c>
      <c r="I34" s="191">
        <f>'[7]MASTER '!$T$42</f>
        <v>0</v>
      </c>
      <c r="J34" s="191">
        <f>'[7]MASTER '!$T$43</f>
        <v>4</v>
      </c>
      <c r="K34" s="191">
        <f>'[7]MASTER '!$T$44</f>
        <v>0</v>
      </c>
      <c r="L34" s="191">
        <f>'[7]MASTER '!$T$45</f>
        <v>1</v>
      </c>
      <c r="M34" s="7">
        <f>SUM(D34:I34)</f>
        <v>14</v>
      </c>
      <c r="N34" s="8">
        <f>((M34/C34)*100)</f>
        <v>73.68421052631578</v>
      </c>
      <c r="O34" s="7">
        <f>SUM(D34:K34)</f>
        <v>18</v>
      </c>
      <c r="P34" s="8">
        <f>((O34/C34)*100)</f>
        <v>94.73684210526315</v>
      </c>
    </row>
    <row r="35" spans="1:16" ht="12.95">
      <c r="A35" s="160"/>
      <c r="B35" s="161" t="s">
        <v>31</v>
      </c>
      <c r="C35" s="165">
        <f>SUM(C34:C34)</f>
        <v>19</v>
      </c>
      <c r="D35" s="165">
        <f>SUM(D34:D34)</f>
        <v>0</v>
      </c>
      <c r="E35" s="165">
        <f t="shared" ref="E35:N35" si="13">SUM(E34:E34)</f>
        <v>3</v>
      </c>
      <c r="F35" s="165">
        <f t="shared" si="13"/>
        <v>11</v>
      </c>
      <c r="G35" s="165">
        <f t="shared" si="13"/>
        <v>0</v>
      </c>
      <c r="H35" s="165">
        <f t="shared" si="13"/>
        <v>0</v>
      </c>
      <c r="I35" s="165">
        <f t="shared" si="13"/>
        <v>0</v>
      </c>
      <c r="J35" s="165">
        <f t="shared" si="13"/>
        <v>4</v>
      </c>
      <c r="K35" s="165">
        <f t="shared" si="13"/>
        <v>0</v>
      </c>
      <c r="L35" s="165">
        <f t="shared" si="13"/>
        <v>1</v>
      </c>
      <c r="M35" s="165">
        <f>SUM(M34:M34)</f>
        <v>14</v>
      </c>
      <c r="N35" s="9">
        <f>((M35/C35)*100)</f>
        <v>73.68421052631578</v>
      </c>
      <c r="O35" s="165">
        <f>SUM(O34:O34)</f>
        <v>18</v>
      </c>
      <c r="P35" s="9">
        <f>((O35/C35)*100)</f>
        <v>94.73684210526315</v>
      </c>
    </row>
    <row r="36" spans="1:16" ht="5.2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1"/>
      <c r="O36" s="10"/>
      <c r="P36" s="11"/>
    </row>
    <row r="37" spans="1:16" ht="17.25" hidden="1" customHeight="1">
      <c r="A37" s="153" t="s">
        <v>41</v>
      </c>
    </row>
    <row r="38" spans="1:16" ht="12.95" hidden="1">
      <c r="D38" s="229" t="s">
        <v>42</v>
      </c>
      <c r="E38" s="236"/>
      <c r="F38" s="236"/>
      <c r="G38" s="236"/>
      <c r="H38" s="236"/>
      <c r="I38" s="230"/>
      <c r="J38" s="1"/>
      <c r="K38" s="1"/>
      <c r="L38" s="10"/>
    </row>
    <row r="39" spans="1:16" ht="23.25" hidden="1" customHeight="1">
      <c r="A39" s="59" t="s">
        <v>5</v>
      </c>
      <c r="B39" s="59" t="s">
        <v>6</v>
      </c>
      <c r="C39" s="59" t="s">
        <v>7</v>
      </c>
      <c r="D39" s="59" t="s">
        <v>43</v>
      </c>
      <c r="E39" s="59" t="s">
        <v>44</v>
      </c>
      <c r="F39" s="59" t="s">
        <v>45</v>
      </c>
      <c r="G39" s="59" t="s">
        <v>46</v>
      </c>
      <c r="H39" s="59" t="s">
        <v>47</v>
      </c>
      <c r="I39" s="59" t="s">
        <v>16</v>
      </c>
      <c r="J39" s="60"/>
      <c r="K39" s="60"/>
      <c r="L39" s="60"/>
      <c r="M39" s="48" t="s">
        <v>48</v>
      </c>
      <c r="N39" s="48" t="s">
        <v>49</v>
      </c>
      <c r="O39" s="48" t="s">
        <v>50</v>
      </c>
      <c r="P39" s="109" t="s">
        <v>51</v>
      </c>
    </row>
    <row r="40" spans="1:16" ht="12.95" hidden="1">
      <c r="A40" s="51" t="s">
        <v>52</v>
      </c>
      <c r="B40" s="141"/>
      <c r="C40" s="141"/>
      <c r="D40" s="141"/>
      <c r="E40" s="141"/>
      <c r="F40" s="141"/>
      <c r="G40" s="141"/>
      <c r="H40" s="141"/>
      <c r="I40" s="141"/>
      <c r="J40" s="142"/>
      <c r="K40" s="142"/>
      <c r="L40" s="142"/>
      <c r="M40" s="143">
        <f>D40</f>
        <v>0</v>
      </c>
      <c r="N40" s="144" t="e">
        <f>((M40/C40)*100)</f>
        <v>#DIV/0!</v>
      </c>
      <c r="O40" s="143">
        <f>SUM(D40:H40)</f>
        <v>0</v>
      </c>
      <c r="P40" s="144" t="e">
        <f>((O40/C40)*100)</f>
        <v>#DIV/0!</v>
      </c>
    </row>
    <row r="41" spans="1:16" ht="12.95" hidden="1">
      <c r="A41" s="51" t="s">
        <v>53</v>
      </c>
      <c r="B41" s="141"/>
      <c r="C41" s="141"/>
      <c r="D41" s="141"/>
      <c r="E41" s="141"/>
      <c r="F41" s="141"/>
      <c r="G41" s="141"/>
      <c r="H41" s="141"/>
      <c r="I41" s="141"/>
      <c r="J41" s="142"/>
      <c r="K41" s="142"/>
      <c r="L41" s="142"/>
      <c r="M41" s="143">
        <f>D41</f>
        <v>0</v>
      </c>
      <c r="N41" s="144" t="e">
        <f>((M41/C41)*100)</f>
        <v>#DIV/0!</v>
      </c>
      <c r="O41" s="143">
        <f>SUM(D41:H41)</f>
        <v>0</v>
      </c>
      <c r="P41" s="144" t="e">
        <f>((O41/C41)*100)</f>
        <v>#DIV/0!</v>
      </c>
    </row>
    <row r="42" spans="1:16" ht="12.95" hidden="1">
      <c r="A42" s="165" t="s">
        <v>54</v>
      </c>
      <c r="B42" s="141"/>
      <c r="C42" s="141"/>
      <c r="D42" s="141"/>
      <c r="E42" s="141"/>
      <c r="F42" s="141"/>
      <c r="G42" s="141"/>
      <c r="H42" s="141"/>
      <c r="I42" s="141"/>
      <c r="J42" s="142"/>
      <c r="K42" s="142"/>
      <c r="L42" s="142"/>
      <c r="M42" s="143">
        <f>D42</f>
        <v>0</v>
      </c>
      <c r="N42" s="144" t="e">
        <f>((M42/C42)*100)</f>
        <v>#DIV/0!</v>
      </c>
      <c r="O42" s="143">
        <f>SUM(D42:H42)</f>
        <v>0</v>
      </c>
      <c r="P42" s="144" t="e">
        <f>((O42/C42)*100)</f>
        <v>#DIV/0!</v>
      </c>
    </row>
    <row r="43" spans="1:16" ht="12.95" hidden="1">
      <c r="A43" s="160"/>
      <c r="B43" s="161" t="s">
        <v>31</v>
      </c>
      <c r="C43" s="165">
        <f t="shared" ref="C43:H43" si="14">SUM(C40:C42)</f>
        <v>0</v>
      </c>
      <c r="D43" s="165">
        <f t="shared" si="14"/>
        <v>0</v>
      </c>
      <c r="E43" s="165">
        <f t="shared" si="14"/>
        <v>0</v>
      </c>
      <c r="F43" s="165">
        <f t="shared" si="14"/>
        <v>0</v>
      </c>
      <c r="G43" s="165">
        <f t="shared" si="14"/>
        <v>0</v>
      </c>
      <c r="H43" s="165">
        <f t="shared" si="14"/>
        <v>0</v>
      </c>
      <c r="I43" s="165">
        <f>SUM(I42:I42)</f>
        <v>0</v>
      </c>
      <c r="J43" s="61"/>
      <c r="K43" s="61"/>
      <c r="L43" s="61"/>
      <c r="M43" s="165">
        <f>SUM(M37:M42)</f>
        <v>0</v>
      </c>
      <c r="N43" s="9" t="e">
        <f>((M43/C43)*100)</f>
        <v>#DIV/0!</v>
      </c>
      <c r="O43" s="165">
        <f>SUM(O37:O42)</f>
        <v>0</v>
      </c>
      <c r="P43" s="9" t="e">
        <f>((O43/C43)*100)</f>
        <v>#DIV/0!</v>
      </c>
    </row>
    <row r="44" spans="1:16" ht="46.5" customHeight="1">
      <c r="A44" s="10"/>
      <c r="B44" s="10"/>
      <c r="C44" s="10"/>
      <c r="D44" s="10"/>
      <c r="E44" s="10"/>
      <c r="F44" s="10"/>
      <c r="G44" s="10"/>
      <c r="H44" s="10"/>
      <c r="I44" s="10"/>
      <c r="J44" s="203"/>
      <c r="K44" s="203"/>
      <c r="L44" s="203"/>
      <c r="M44" s="10"/>
      <c r="N44" s="11"/>
      <c r="O44" s="10"/>
      <c r="P44" s="11"/>
    </row>
    <row r="45" spans="1:16" ht="18">
      <c r="A45" s="153" t="s">
        <v>55</v>
      </c>
    </row>
    <row r="46" spans="1:16" ht="12.95">
      <c r="D46" s="229" t="s">
        <v>1</v>
      </c>
      <c r="E46" s="230"/>
      <c r="F46" s="229" t="s">
        <v>2</v>
      </c>
      <c r="G46" s="236"/>
      <c r="H46" s="236"/>
      <c r="I46" s="230"/>
      <c r="J46" s="229" t="s">
        <v>3</v>
      </c>
      <c r="K46" s="230"/>
      <c r="L46" s="165" t="s">
        <v>4</v>
      </c>
    </row>
    <row r="47" spans="1:16" ht="26.1">
      <c r="A47" s="59" t="s">
        <v>5</v>
      </c>
      <c r="B47" s="59" t="s">
        <v>6</v>
      </c>
      <c r="C47" s="59" t="s">
        <v>7</v>
      </c>
      <c r="D47" s="59" t="s">
        <v>8</v>
      </c>
      <c r="E47" s="59" t="s">
        <v>9</v>
      </c>
      <c r="F47" s="59" t="s">
        <v>10</v>
      </c>
      <c r="G47" s="59" t="s">
        <v>11</v>
      </c>
      <c r="H47" s="59" t="s">
        <v>12</v>
      </c>
      <c r="I47" s="59" t="s">
        <v>13</v>
      </c>
      <c r="J47" s="59" t="s">
        <v>14</v>
      </c>
      <c r="K47" s="59" t="s">
        <v>15</v>
      </c>
      <c r="L47" s="59" t="s">
        <v>16</v>
      </c>
      <c r="M47" s="48" t="s">
        <v>17</v>
      </c>
      <c r="N47" s="48" t="s">
        <v>18</v>
      </c>
      <c r="O47" s="48" t="s">
        <v>19</v>
      </c>
      <c r="P47" s="109" t="s">
        <v>20</v>
      </c>
    </row>
    <row r="48" spans="1:16" ht="12.75" customHeight="1">
      <c r="A48" s="205" t="s">
        <v>21</v>
      </c>
      <c r="B48" s="191" t="s">
        <v>56</v>
      </c>
      <c r="C48" s="204">
        <f t="shared" ref="C48:C52" si="15">SUM(D48:L48)</f>
        <v>20</v>
      </c>
      <c r="D48" s="191">
        <f>'[2]MASTER '!$AE$38</f>
        <v>1</v>
      </c>
      <c r="E48" s="191">
        <f>'[2]MASTER '!$AE$39</f>
        <v>7</v>
      </c>
      <c r="F48" s="191">
        <f>'[2]MASTER '!$AE$40</f>
        <v>4</v>
      </c>
      <c r="G48" s="191">
        <f>'[2]MASTER '!$AE$41</f>
        <v>1</v>
      </c>
      <c r="H48" s="191">
        <f>'[2]MASTER '!$AE$42</f>
        <v>3</v>
      </c>
      <c r="I48" s="191">
        <f>'[2]MASTER '!$AE$43</f>
        <v>0</v>
      </c>
      <c r="J48" s="191">
        <f>'[2]MASTER '!$AE$44</f>
        <v>4</v>
      </c>
      <c r="K48" s="191">
        <f>'[2]MASTER '!$AE$45</f>
        <v>0</v>
      </c>
      <c r="L48" s="191">
        <f>'[2]MASTER '!$AE$46</f>
        <v>0</v>
      </c>
      <c r="M48" s="7">
        <f t="shared" ref="M48:M52" si="16">SUM(D48:I48)</f>
        <v>16</v>
      </c>
      <c r="N48" s="8">
        <f t="shared" ref="N48:N53" si="17">((M48/C48)*100)</f>
        <v>80</v>
      </c>
      <c r="O48" s="7">
        <f t="shared" ref="O48:O52" si="18">SUM(D48:K48)</f>
        <v>20</v>
      </c>
      <c r="P48" s="8">
        <f t="shared" ref="P48:P53" si="19">((O48/C48)*100)</f>
        <v>100</v>
      </c>
    </row>
    <row r="49" spans="1:16" ht="12.75">
      <c r="A49" s="206" t="s">
        <v>23</v>
      </c>
      <c r="B49" s="208" t="s">
        <v>57</v>
      </c>
      <c r="C49" s="204">
        <f t="shared" si="15"/>
        <v>18</v>
      </c>
      <c r="D49" s="192">
        <f>'[1]MASTER '!$AE$38</f>
        <v>3</v>
      </c>
      <c r="E49" s="192">
        <f>'[1]MASTER '!$AE$39</f>
        <v>8</v>
      </c>
      <c r="F49" s="192">
        <f>'[1]MASTER '!$AE$40</f>
        <v>0</v>
      </c>
      <c r="G49" s="192">
        <f>'[1]MASTER '!$AE$41</f>
        <v>1</v>
      </c>
      <c r="H49" s="192">
        <f>'[1]MASTER '!$AE$42</f>
        <v>3</v>
      </c>
      <c r="I49" s="192">
        <f>'[1]MASTER '!$AE$43</f>
        <v>2</v>
      </c>
      <c r="J49" s="192">
        <f>'[1]MASTER '!$AE$44</f>
        <v>1</v>
      </c>
      <c r="K49" s="192">
        <f>'[1]MASTER '!$AE$45</f>
        <v>0</v>
      </c>
      <c r="L49" s="192">
        <f>'[1]MASTER '!$AE$46</f>
        <v>0</v>
      </c>
      <c r="M49" s="7">
        <f t="shared" si="16"/>
        <v>17</v>
      </c>
      <c r="N49" s="8">
        <f t="shared" si="17"/>
        <v>94.444444444444443</v>
      </c>
      <c r="O49" s="7">
        <f t="shared" si="18"/>
        <v>18</v>
      </c>
      <c r="P49" s="8">
        <f t="shared" si="19"/>
        <v>100</v>
      </c>
    </row>
    <row r="50" spans="1:16" ht="12.75">
      <c r="A50" s="206" t="s">
        <v>25</v>
      </c>
      <c r="B50" s="192" t="s">
        <v>58</v>
      </c>
      <c r="C50" s="204">
        <f t="shared" si="15"/>
        <v>23</v>
      </c>
      <c r="D50" s="192">
        <f>'[3]MASTER '!$AE$38</f>
        <v>0</v>
      </c>
      <c r="E50" s="192">
        <f>'[3]MASTER '!$AE$39</f>
        <v>0</v>
      </c>
      <c r="F50" s="192">
        <f>'[3]MASTER '!$AE$40</f>
        <v>0</v>
      </c>
      <c r="G50" s="192">
        <f>'[3]MASTER '!$AE$41</f>
        <v>0</v>
      </c>
      <c r="H50" s="192">
        <f>'[3]MASTER '!$AE$42</f>
        <v>0</v>
      </c>
      <c r="I50" s="192">
        <f>'[3]MASTER '!$AE$43</f>
        <v>1</v>
      </c>
      <c r="J50" s="192">
        <f>'[3]MASTER '!$AE$44</f>
        <v>6</v>
      </c>
      <c r="K50" s="192">
        <f>'[3]MASTER '!$AE$45</f>
        <v>6</v>
      </c>
      <c r="L50" s="192">
        <f>'[3]MASTER '!$AE$46</f>
        <v>10</v>
      </c>
      <c r="M50" s="7">
        <f t="shared" si="16"/>
        <v>1</v>
      </c>
      <c r="N50" s="8">
        <f t="shared" si="17"/>
        <v>4.3478260869565215</v>
      </c>
      <c r="O50" s="7">
        <f t="shared" si="18"/>
        <v>13</v>
      </c>
      <c r="P50" s="8">
        <f t="shared" si="19"/>
        <v>56.521739130434781</v>
      </c>
    </row>
    <row r="51" spans="1:16" ht="12.75">
      <c r="A51" s="206" t="s">
        <v>27</v>
      </c>
      <c r="B51" s="192" t="s">
        <v>57</v>
      </c>
      <c r="C51" s="204">
        <f t="shared" si="15"/>
        <v>20</v>
      </c>
      <c r="D51" s="192">
        <f>'[4]MASTER '!$AE$38</f>
        <v>2</v>
      </c>
      <c r="E51" s="192">
        <f>'[4]MASTER '!$AE$39</f>
        <v>6</v>
      </c>
      <c r="F51" s="192">
        <f>'[4]MASTER '!$AE$40</f>
        <v>4</v>
      </c>
      <c r="G51" s="192">
        <f>'[4]MASTER '!$AE$41</f>
        <v>2</v>
      </c>
      <c r="H51" s="192">
        <f>'[4]MASTER '!$AE$42</f>
        <v>2</v>
      </c>
      <c r="I51" s="192">
        <f>'[4]MASTER '!$AE$43</f>
        <v>0</v>
      </c>
      <c r="J51" s="192">
        <f>'[4]MASTER '!$AE$44</f>
        <v>4</v>
      </c>
      <c r="K51" s="192">
        <f>'[4]MASTER '!$AE$45</f>
        <v>0</v>
      </c>
      <c r="L51" s="192">
        <f>'[4]MASTER '!$AE$46</f>
        <v>0</v>
      </c>
      <c r="M51" s="7">
        <f t="shared" si="16"/>
        <v>16</v>
      </c>
      <c r="N51" s="8">
        <f t="shared" si="17"/>
        <v>80</v>
      </c>
      <c r="O51" s="7">
        <f t="shared" si="18"/>
        <v>20</v>
      </c>
      <c r="P51" s="8">
        <f t="shared" si="19"/>
        <v>100</v>
      </c>
    </row>
    <row r="52" spans="1:16" ht="12.75">
      <c r="A52" s="205" t="s">
        <v>28</v>
      </c>
      <c r="B52" s="191" t="s">
        <v>56</v>
      </c>
      <c r="C52" s="204">
        <f t="shared" si="15"/>
        <v>23</v>
      </c>
      <c r="D52" s="192">
        <f>'[5]MASTER '!$AE$37</f>
        <v>0</v>
      </c>
      <c r="E52" s="192">
        <f>'[5]MASTER '!$AE$38</f>
        <v>1</v>
      </c>
      <c r="F52" s="192">
        <f>'[5]MASTER '!$AE$39</f>
        <v>4</v>
      </c>
      <c r="G52" s="192">
        <f>'[5]MASTER '!$AE$40</f>
        <v>3</v>
      </c>
      <c r="H52" s="192">
        <f>'[5]MASTER '!$AE$41</f>
        <v>0</v>
      </c>
      <c r="I52" s="192">
        <f>'[5]MASTER '!$AE$42</f>
        <v>4</v>
      </c>
      <c r="J52" s="192">
        <f>'[5]MASTER '!$AE$43</f>
        <v>4</v>
      </c>
      <c r="K52" s="192">
        <f>'[5]MASTER '!$AE$44</f>
        <v>2</v>
      </c>
      <c r="L52" s="192">
        <f>'[5]MASTER '!$AE$45</f>
        <v>5</v>
      </c>
      <c r="M52" s="7">
        <f t="shared" si="16"/>
        <v>12</v>
      </c>
      <c r="N52" s="8">
        <f t="shared" si="17"/>
        <v>52.173913043478258</v>
      </c>
      <c r="O52" s="7">
        <f t="shared" si="18"/>
        <v>18</v>
      </c>
      <c r="P52" s="8">
        <f t="shared" si="19"/>
        <v>78.260869565217391</v>
      </c>
    </row>
    <row r="53" spans="1:16" ht="12.75">
      <c r="A53" s="205"/>
      <c r="B53" s="165" t="s">
        <v>31</v>
      </c>
      <c r="C53" s="165">
        <f>SUM(C48:C52)</f>
        <v>104</v>
      </c>
      <c r="D53" s="165">
        <f>SUM(D48:D52)</f>
        <v>6</v>
      </c>
      <c r="E53" s="165">
        <f>SUM(E48:E52)</f>
        <v>22</v>
      </c>
      <c r="F53" s="165">
        <f>SUM(F48:F52)</f>
        <v>12</v>
      </c>
      <c r="G53" s="165">
        <f>SUM(G48:G52)</f>
        <v>7</v>
      </c>
      <c r="H53" s="165">
        <f>SUM(H48:H52)</f>
        <v>8</v>
      </c>
      <c r="I53" s="165">
        <f>SUM(I48:I52)</f>
        <v>7</v>
      </c>
      <c r="J53" s="165">
        <f>SUM(J48:J52)</f>
        <v>19</v>
      </c>
      <c r="K53" s="165">
        <f>SUM(K48:K52)</f>
        <v>8</v>
      </c>
      <c r="L53" s="165">
        <f>SUM(L48:L52)</f>
        <v>15</v>
      </c>
      <c r="M53" s="165">
        <f>SUM(M48:M52)</f>
        <v>62</v>
      </c>
      <c r="N53" s="9">
        <f t="shared" si="17"/>
        <v>59.615384615384613</v>
      </c>
      <c r="O53" s="165">
        <f>SUM(O48:O52)</f>
        <v>89</v>
      </c>
      <c r="P53" s="9">
        <f t="shared" si="19"/>
        <v>85.576923076923066</v>
      </c>
    </row>
    <row r="54" spans="1:16" ht="24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1"/>
      <c r="O54" s="10"/>
      <c r="P54" s="11"/>
    </row>
    <row r="55" spans="1:16" ht="18">
      <c r="A55" s="153" t="s">
        <v>59</v>
      </c>
      <c r="B55" s="20"/>
      <c r="C55" s="2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1"/>
      <c r="O55" s="10"/>
      <c r="P55" s="11"/>
    </row>
    <row r="56" spans="1:16" ht="12.95">
      <c r="A56" s="50"/>
      <c r="B56" s="50"/>
      <c r="C56" s="50"/>
      <c r="D56" s="231" t="s">
        <v>42</v>
      </c>
      <c r="E56" s="231"/>
      <c r="F56" s="231"/>
      <c r="G56" s="231"/>
      <c r="H56" s="231"/>
      <c r="I56" s="231"/>
      <c r="J56" s="1"/>
      <c r="K56" s="1"/>
      <c r="L56" s="10"/>
      <c r="M56" s="10"/>
      <c r="N56" s="11"/>
      <c r="O56" s="10"/>
      <c r="P56" s="11"/>
    </row>
    <row r="57" spans="1:16" ht="26.1">
      <c r="A57" s="59" t="s">
        <v>5</v>
      </c>
      <c r="B57" s="59" t="s">
        <v>6</v>
      </c>
      <c r="C57" s="59" t="s">
        <v>7</v>
      </c>
      <c r="D57" s="59" t="s">
        <v>43</v>
      </c>
      <c r="E57" s="59" t="s">
        <v>44</v>
      </c>
      <c r="F57" s="59" t="s">
        <v>45</v>
      </c>
      <c r="G57" s="59" t="s">
        <v>46</v>
      </c>
      <c r="H57" s="59" t="s">
        <v>47</v>
      </c>
      <c r="I57" s="59" t="s">
        <v>16</v>
      </c>
      <c r="J57" s="60"/>
      <c r="K57" s="60"/>
      <c r="L57" s="60"/>
      <c r="M57" s="48" t="s">
        <v>60</v>
      </c>
      <c r="N57" s="48" t="s">
        <v>61</v>
      </c>
      <c r="O57" s="48" t="s">
        <v>62</v>
      </c>
      <c r="P57" s="109" t="s">
        <v>63</v>
      </c>
    </row>
    <row r="58" spans="1:16" ht="12.75">
      <c r="A58" s="207" t="s">
        <v>64</v>
      </c>
      <c r="B58" s="209" t="s">
        <v>65</v>
      </c>
      <c r="C58" s="204">
        <f t="shared" ref="C58:C59" si="20">SUM(D58:L58)</f>
        <v>19</v>
      </c>
      <c r="D58" s="191">
        <f>'[6]MASTER '!$AE$38</f>
        <v>4</v>
      </c>
      <c r="E58" s="191">
        <f>'[6]MASTER '!$AE$39</f>
        <v>7</v>
      </c>
      <c r="F58" s="191">
        <f>'[6]MASTER '!$AE$40</f>
        <v>6</v>
      </c>
      <c r="G58" s="191">
        <f>'[6]MASTER '!$AE$41</f>
        <v>2</v>
      </c>
      <c r="H58" s="191">
        <f>'[6]MASTER '!$AE$42</f>
        <v>0</v>
      </c>
      <c r="I58" s="191">
        <f>'[6]MASTER '!$AE$43</f>
        <v>0</v>
      </c>
      <c r="J58" s="62"/>
      <c r="K58" s="62"/>
      <c r="L58" s="62"/>
      <c r="M58" s="143">
        <f>D58</f>
        <v>4</v>
      </c>
      <c r="N58" s="144">
        <f>((M58/C58)*100)</f>
        <v>21.052631578947366</v>
      </c>
      <c r="O58" s="143">
        <f>SUM(D58:H58)</f>
        <v>19</v>
      </c>
      <c r="P58" s="144">
        <f>((O58/C58)*100)</f>
        <v>100</v>
      </c>
    </row>
    <row r="59" spans="1:16" ht="12.75">
      <c r="A59" s="207" t="s">
        <v>66</v>
      </c>
      <c r="B59" s="191" t="s">
        <v>57</v>
      </c>
      <c r="C59" s="204">
        <f t="shared" si="20"/>
        <v>19</v>
      </c>
      <c r="D59" s="191">
        <f>'[7]MASTER '!$AE$37</f>
        <v>13</v>
      </c>
      <c r="E59" s="191">
        <f>'[7]MASTER '!$AE$38</f>
        <v>1</v>
      </c>
      <c r="F59" s="191">
        <f>'[7]MASTER '!$AE$39</f>
        <v>3</v>
      </c>
      <c r="G59" s="191">
        <f>'[7]MASTER '!$AE$40</f>
        <v>1</v>
      </c>
      <c r="H59" s="191">
        <f>'[7]MASTER '!$AE$41</f>
        <v>0</v>
      </c>
      <c r="I59" s="191">
        <f>'[7]MASTER '!$AE$42</f>
        <v>1</v>
      </c>
      <c r="J59" s="62"/>
      <c r="K59" s="62"/>
      <c r="L59" s="62"/>
      <c r="M59" s="143">
        <f>D59</f>
        <v>13</v>
      </c>
      <c r="N59" s="144">
        <f>((M59/C59)*100)</f>
        <v>68.421052631578945</v>
      </c>
      <c r="O59" s="143">
        <f>SUM(D59:H59)</f>
        <v>18</v>
      </c>
      <c r="P59" s="144">
        <f>((O59/C59)*100)</f>
        <v>94.73684210526315</v>
      </c>
    </row>
    <row r="60" spans="1:16" s="5" customFormat="1" ht="12.95">
      <c r="A60" s="165"/>
      <c r="B60" s="165" t="s">
        <v>31</v>
      </c>
      <c r="C60" s="165">
        <f>SUM(C58:C59)</f>
        <v>38</v>
      </c>
      <c r="D60" s="165">
        <f t="shared" ref="D60:I60" si="21">SUM(D58:D59)</f>
        <v>17</v>
      </c>
      <c r="E60" s="165">
        <f t="shared" si="21"/>
        <v>8</v>
      </c>
      <c r="F60" s="165">
        <f t="shared" si="21"/>
        <v>9</v>
      </c>
      <c r="G60" s="165">
        <f t="shared" si="21"/>
        <v>3</v>
      </c>
      <c r="H60" s="165">
        <f t="shared" si="21"/>
        <v>0</v>
      </c>
      <c r="I60" s="165">
        <f t="shared" si="21"/>
        <v>1</v>
      </c>
      <c r="J60" s="61"/>
      <c r="K60" s="61"/>
      <c r="L60" s="61"/>
      <c r="M60" s="165">
        <f>SUM(M58:M59)</f>
        <v>17</v>
      </c>
      <c r="N60" s="9">
        <f>((M60/C60)*100)</f>
        <v>44.736842105263158</v>
      </c>
      <c r="O60" s="165">
        <f>SUM(O58:O59)</f>
        <v>37</v>
      </c>
      <c r="P60" s="9">
        <f>((O60/C60)*100)</f>
        <v>97.368421052631575</v>
      </c>
    </row>
    <row r="61" spans="1:16" s="5" customFormat="1" ht="21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1"/>
      <c r="O61" s="10"/>
      <c r="P61" s="11"/>
    </row>
    <row r="62" spans="1:16" s="5" customFormat="1" ht="18" hidden="1">
      <c r="A62" s="154" t="s">
        <v>67</v>
      </c>
      <c r="B62" s="145"/>
      <c r="N62" s="49"/>
      <c r="P62" s="49"/>
    </row>
    <row r="63" spans="1:16" s="36" customFormat="1" ht="12.95" hidden="1">
      <c r="D63" s="234" t="s">
        <v>1</v>
      </c>
      <c r="E63" s="235"/>
      <c r="F63" s="234" t="s">
        <v>2</v>
      </c>
      <c r="G63" s="238"/>
      <c r="H63" s="238"/>
      <c r="I63" s="235"/>
      <c r="J63" s="234" t="s">
        <v>3</v>
      </c>
      <c r="K63" s="235"/>
      <c r="L63" s="59" t="s">
        <v>4</v>
      </c>
      <c r="P63" s="111"/>
    </row>
    <row r="64" spans="1:16" s="5" customFormat="1" ht="26.1" hidden="1">
      <c r="A64" s="59" t="s">
        <v>5</v>
      </c>
      <c r="B64" s="59" t="s">
        <v>6</v>
      </c>
      <c r="C64" s="59" t="s">
        <v>7</v>
      </c>
      <c r="D64" s="59" t="s">
        <v>8</v>
      </c>
      <c r="E64" s="59" t="s">
        <v>9</v>
      </c>
      <c r="F64" s="59" t="s">
        <v>10</v>
      </c>
      <c r="G64" s="59" t="s">
        <v>11</v>
      </c>
      <c r="H64" s="59" t="s">
        <v>12</v>
      </c>
      <c r="I64" s="59" t="s">
        <v>13</v>
      </c>
      <c r="J64" s="59" t="s">
        <v>14</v>
      </c>
      <c r="K64" s="59" t="s">
        <v>15</v>
      </c>
      <c r="L64" s="59" t="s">
        <v>16</v>
      </c>
      <c r="M64" s="48" t="s">
        <v>17</v>
      </c>
      <c r="N64" s="48" t="s">
        <v>18</v>
      </c>
      <c r="O64" s="48" t="s">
        <v>19</v>
      </c>
      <c r="P64" s="109" t="s">
        <v>20</v>
      </c>
    </row>
    <row r="65" spans="1:16" s="5" customFormat="1" ht="12.75" hidden="1">
      <c r="A65" s="59"/>
      <c r="B65" s="190"/>
      <c r="C65" s="204">
        <f t="shared" ref="C65" si="22">SUM(D65:L65)</f>
        <v>0</v>
      </c>
      <c r="D65" s="191"/>
      <c r="E65" s="64"/>
      <c r="F65" s="64"/>
      <c r="G65" s="64"/>
      <c r="H65" s="64"/>
      <c r="I65" s="64"/>
      <c r="J65" s="191"/>
      <c r="K65" s="191"/>
      <c r="L65" s="191"/>
      <c r="M65" s="7">
        <f>SUM(D65:I65)</f>
        <v>0</v>
      </c>
      <c r="N65" s="8" t="e">
        <f>((M65/C65)*100)</f>
        <v>#DIV/0!</v>
      </c>
      <c r="O65" s="7">
        <f>SUM(D65:K65)</f>
        <v>0</v>
      </c>
      <c r="P65" s="8" t="e">
        <f>((O65/C65)*100)</f>
        <v>#DIV/0!</v>
      </c>
    </row>
    <row r="66" spans="1:16" ht="12.95" hidden="1">
      <c r="A66" s="160"/>
      <c r="B66" s="161" t="s">
        <v>31</v>
      </c>
      <c r="C66" s="165">
        <f t="shared" ref="C66:L66" si="23">SUM(C65:C65)</f>
        <v>0</v>
      </c>
      <c r="D66" s="165">
        <f>SUM(D65:D65)</f>
        <v>0</v>
      </c>
      <c r="E66" s="165">
        <f t="shared" si="23"/>
        <v>0</v>
      </c>
      <c r="F66" s="165">
        <f t="shared" si="23"/>
        <v>0</v>
      </c>
      <c r="G66" s="165">
        <f t="shared" si="23"/>
        <v>0</v>
      </c>
      <c r="H66" s="165">
        <f t="shared" si="23"/>
        <v>0</v>
      </c>
      <c r="I66" s="165">
        <f t="shared" si="23"/>
        <v>0</v>
      </c>
      <c r="J66" s="165">
        <f t="shared" si="23"/>
        <v>0</v>
      </c>
      <c r="K66" s="165">
        <f t="shared" si="23"/>
        <v>0</v>
      </c>
      <c r="L66" s="165">
        <f t="shared" si="23"/>
        <v>0</v>
      </c>
      <c r="M66" s="165">
        <f>SUM(M65:M65)</f>
        <v>0</v>
      </c>
      <c r="N66" s="9" t="e">
        <f>((M66/C66)*100)</f>
        <v>#DIV/0!</v>
      </c>
      <c r="O66" s="165">
        <f>SUM(O65:O65)</f>
        <v>0</v>
      </c>
      <c r="P66" s="9" t="e">
        <f>((O66/C66)*100)</f>
        <v>#DIV/0!</v>
      </c>
    </row>
    <row r="67" spans="1:16" ht="18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1"/>
      <c r="O67" s="10"/>
      <c r="P67" s="11"/>
    </row>
    <row r="68" spans="1:16" s="63" customFormat="1" ht="18">
      <c r="A68" s="153" t="s">
        <v>68</v>
      </c>
      <c r="P68" s="112"/>
    </row>
    <row r="69" spans="1:16" ht="12.95">
      <c r="D69" s="229" t="s">
        <v>1</v>
      </c>
      <c r="E69" s="230"/>
      <c r="F69" s="229" t="s">
        <v>2</v>
      </c>
      <c r="G69" s="236"/>
      <c r="H69" s="236"/>
      <c r="I69" s="230"/>
      <c r="J69" s="229" t="s">
        <v>3</v>
      </c>
      <c r="K69" s="230"/>
      <c r="L69" s="165" t="s">
        <v>4</v>
      </c>
    </row>
    <row r="70" spans="1:16" ht="22.5" customHeight="1">
      <c r="A70" s="59" t="s">
        <v>5</v>
      </c>
      <c r="B70" s="59" t="s">
        <v>6</v>
      </c>
      <c r="C70" s="59" t="s">
        <v>7</v>
      </c>
      <c r="D70" s="59" t="s">
        <v>8</v>
      </c>
      <c r="E70" s="59" t="s">
        <v>9</v>
      </c>
      <c r="F70" s="59" t="s">
        <v>10</v>
      </c>
      <c r="G70" s="59" t="s">
        <v>11</v>
      </c>
      <c r="H70" s="59" t="s">
        <v>12</v>
      </c>
      <c r="I70" s="59" t="s">
        <v>13</v>
      </c>
      <c r="J70" s="59" t="s">
        <v>14</v>
      </c>
      <c r="K70" s="59" t="s">
        <v>15</v>
      </c>
      <c r="L70" s="59" t="s">
        <v>16</v>
      </c>
      <c r="M70" s="48" t="s">
        <v>17</v>
      </c>
      <c r="N70" s="48" t="s">
        <v>18</v>
      </c>
      <c r="O70" s="48" t="s">
        <v>19</v>
      </c>
      <c r="P70" s="109" t="s">
        <v>20</v>
      </c>
    </row>
    <row r="71" spans="1:16" s="5" customFormat="1" ht="12.75">
      <c r="A71" s="165" t="s">
        <v>69</v>
      </c>
      <c r="B71" s="64" t="s">
        <v>70</v>
      </c>
      <c r="C71" s="204">
        <f t="shared" ref="C71:C74" si="24">SUM(D71:L71)</f>
        <v>20</v>
      </c>
      <c r="D71" s="64">
        <f>'[2]MASTER '!$AY$38</f>
        <v>1</v>
      </c>
      <c r="E71" s="64">
        <f>'[2]MASTER '!$AY$39</f>
        <v>8</v>
      </c>
      <c r="F71" s="64">
        <f>'[2]MASTER '!$AY$40</f>
        <v>5</v>
      </c>
      <c r="G71" s="64">
        <f>'[2]MASTER '!$AY$41</f>
        <v>4</v>
      </c>
      <c r="H71" s="64">
        <f>'[2]MASTER '!$AY$42</f>
        <v>2</v>
      </c>
      <c r="I71" s="64">
        <f>'[2]MASTER '!$AY$43</f>
        <v>0</v>
      </c>
      <c r="J71" s="64">
        <f>'[2]MASTER '!$AY$44</f>
        <v>0</v>
      </c>
      <c r="K71" s="64">
        <f>'[2]MASTER '!$AY$45</f>
        <v>0</v>
      </c>
      <c r="L71" s="64">
        <f>'[2]MASTER '!$AY46</f>
        <v>0</v>
      </c>
      <c r="M71" s="7">
        <f>SUM(D71:I71)</f>
        <v>20</v>
      </c>
      <c r="N71" s="8">
        <f>((M71/C71)*100)</f>
        <v>100</v>
      </c>
      <c r="O71" s="7">
        <f>SUM(D71:K71)</f>
        <v>20</v>
      </c>
      <c r="P71" s="8">
        <f>((O71/C71)*100)</f>
        <v>100</v>
      </c>
    </row>
    <row r="72" spans="1:16" s="5" customFormat="1" ht="12.75">
      <c r="A72" s="197" t="s">
        <v>23</v>
      </c>
      <c r="B72" s="64" t="s">
        <v>70</v>
      </c>
      <c r="C72" s="204">
        <f t="shared" si="24"/>
        <v>18</v>
      </c>
      <c r="D72" s="64">
        <f>'[1]MASTER '!$AY$38</f>
        <v>3</v>
      </c>
      <c r="E72" s="64">
        <f>'[1]MASTER '!$AY$39</f>
        <v>5</v>
      </c>
      <c r="F72" s="64">
        <f>'[1]MASTER '!$AY$40</f>
        <v>5</v>
      </c>
      <c r="G72" s="64">
        <f>'[1]MASTER '!$AY$41</f>
        <v>1</v>
      </c>
      <c r="H72" s="64">
        <f>'[1]MASTER '!$AY$42</f>
        <v>0</v>
      </c>
      <c r="I72" s="64">
        <f>'[1]MASTER '!$AY$43</f>
        <v>1</v>
      </c>
      <c r="J72" s="64">
        <f>'[1]MASTER '!$AY$44</f>
        <v>3</v>
      </c>
      <c r="K72" s="64">
        <f>'[1]MASTER '!$AY$45</f>
        <v>0</v>
      </c>
      <c r="L72" s="64">
        <f>'[1]MASTER '!$AY$46</f>
        <v>0</v>
      </c>
      <c r="M72" s="7">
        <f>SUM(D72:I72)</f>
        <v>15</v>
      </c>
      <c r="N72" s="8">
        <f t="shared" ref="N72:N75" si="25">((M72/C72)*100)</f>
        <v>83.333333333333343</v>
      </c>
      <c r="O72" s="7">
        <f>SUM(D72:K72)</f>
        <v>18</v>
      </c>
      <c r="P72" s="8">
        <f t="shared" ref="P72:P75" si="26">((O72/C72)*100)</f>
        <v>100</v>
      </c>
    </row>
    <row r="73" spans="1:16" s="5" customFormat="1" ht="12.75">
      <c r="A73" s="197" t="s">
        <v>71</v>
      </c>
      <c r="B73" s="64" t="s">
        <v>72</v>
      </c>
      <c r="C73" s="204">
        <f t="shared" si="24"/>
        <v>20</v>
      </c>
      <c r="D73" s="64">
        <f>'[4]MASTER '!$BS$38</f>
        <v>0</v>
      </c>
      <c r="E73" s="64">
        <f>'[4]MASTER '!$BS$39</f>
        <v>0</v>
      </c>
      <c r="F73" s="64">
        <f>'[4]MASTER '!$BS$40</f>
        <v>0</v>
      </c>
      <c r="G73" s="64">
        <f>'[4]MASTER '!$BS$41</f>
        <v>0</v>
      </c>
      <c r="H73" s="64">
        <f>'[4]MASTER '!$BS$42</f>
        <v>0</v>
      </c>
      <c r="I73" s="64">
        <f>'[4]MASTER '!$BS$43</f>
        <v>0</v>
      </c>
      <c r="J73" s="64">
        <f>'[4]MASTER '!$BS$44</f>
        <v>8</v>
      </c>
      <c r="K73" s="64">
        <f>'[4]MASTER '!$BS$45</f>
        <v>3</v>
      </c>
      <c r="L73" s="64">
        <f>'[4]MASTER '!$BS$46</f>
        <v>9</v>
      </c>
      <c r="M73" s="7">
        <f>SUM(D73:I73)</f>
        <v>0</v>
      </c>
      <c r="N73" s="8">
        <f t="shared" si="25"/>
        <v>0</v>
      </c>
      <c r="O73" s="7">
        <f>SUM(D73:K73)</f>
        <v>11</v>
      </c>
      <c r="P73" s="8">
        <f t="shared" si="26"/>
        <v>55.000000000000007</v>
      </c>
    </row>
    <row r="74" spans="1:16" s="5" customFormat="1" ht="12.75">
      <c r="A74" s="165" t="s">
        <v>28</v>
      </c>
      <c r="B74" s="196" t="s">
        <v>72</v>
      </c>
      <c r="C74" s="204">
        <f t="shared" si="24"/>
        <v>23</v>
      </c>
      <c r="D74" s="64">
        <f>'[5]MASTER '!$BS$37</f>
        <v>0</v>
      </c>
      <c r="E74" s="64">
        <f>'[5]MASTER '!$BS$38</f>
        <v>0</v>
      </c>
      <c r="F74" s="64">
        <f>'[5]MASTER '!$BS$39</f>
        <v>0</v>
      </c>
      <c r="G74" s="64">
        <f>'[5]MASTER '!$BS$40</f>
        <v>0</v>
      </c>
      <c r="H74" s="64">
        <f>'[5]MASTER '!$BS$41</f>
        <v>1</v>
      </c>
      <c r="I74" s="64">
        <f>'[5]MASTER '!$BS$42</f>
        <v>1</v>
      </c>
      <c r="J74" s="64">
        <f>'[5]MASTER '!$BS$43</f>
        <v>3</v>
      </c>
      <c r="K74" s="64">
        <f>'[5]MASTER '!$BS$44</f>
        <v>4</v>
      </c>
      <c r="L74" s="64">
        <f>'[5]MASTER '!$BS$45</f>
        <v>14</v>
      </c>
      <c r="M74" s="7">
        <f>SUM(D74:I74)</f>
        <v>2</v>
      </c>
      <c r="N74" s="8">
        <f t="shared" si="25"/>
        <v>8.695652173913043</v>
      </c>
      <c r="O74" s="7">
        <f>SUM(D74:K74)</f>
        <v>9</v>
      </c>
      <c r="P74" s="8">
        <f t="shared" si="26"/>
        <v>39.130434782608695</v>
      </c>
    </row>
    <row r="75" spans="1:16" ht="12.95">
      <c r="A75" s="160"/>
      <c r="B75" s="161" t="s">
        <v>31</v>
      </c>
      <c r="C75" s="165">
        <f>SUM(C71:C74)</f>
        <v>81</v>
      </c>
      <c r="D75" s="165">
        <f>SUM(D71:D74)</f>
        <v>4</v>
      </c>
      <c r="E75" s="165">
        <f>SUM(E71:E74)</f>
        <v>13</v>
      </c>
      <c r="F75" s="165">
        <f>SUM(F71:F74)</f>
        <v>10</v>
      </c>
      <c r="G75" s="165">
        <f>SUM(G71:G74)</f>
        <v>5</v>
      </c>
      <c r="H75" s="165">
        <f>SUM(H71:H74)</f>
        <v>3</v>
      </c>
      <c r="I75" s="165">
        <f>SUM(I71:I74)</f>
        <v>2</v>
      </c>
      <c r="J75" s="165">
        <f>SUM(J71:J74)</f>
        <v>14</v>
      </c>
      <c r="K75" s="165">
        <f>SUM(K71:K74)</f>
        <v>7</v>
      </c>
      <c r="L75" s="165">
        <f>SUM(L71:L74)</f>
        <v>23</v>
      </c>
      <c r="M75" s="165">
        <f>SUM(M71:M74)</f>
        <v>37</v>
      </c>
      <c r="N75" s="9">
        <f t="shared" si="25"/>
        <v>45.679012345679013</v>
      </c>
      <c r="O75" s="165">
        <f>SUM(O71:O74)</f>
        <v>58</v>
      </c>
      <c r="P75" s="9">
        <f t="shared" si="26"/>
        <v>71.604938271604937</v>
      </c>
    </row>
    <row r="76" spans="1:16" ht="5.2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1"/>
      <c r="O76" s="10"/>
      <c r="P76" s="11"/>
    </row>
    <row r="77" spans="1:16" ht="5.2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1"/>
      <c r="O77" s="10"/>
      <c r="P77" s="11"/>
    </row>
    <row r="78" spans="1:16" ht="22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1"/>
      <c r="O78" s="10"/>
      <c r="P78" s="11"/>
    </row>
    <row r="79" spans="1:16" ht="14.25" customHeight="1">
      <c r="A79" s="153" t="s">
        <v>73</v>
      </c>
    </row>
    <row r="80" spans="1:16" ht="12.95">
      <c r="D80" s="229" t="s">
        <v>1</v>
      </c>
      <c r="E80" s="230"/>
      <c r="F80" s="229" t="s">
        <v>2</v>
      </c>
      <c r="G80" s="236"/>
      <c r="H80" s="236"/>
      <c r="I80" s="230"/>
      <c r="J80" s="229" t="s">
        <v>3</v>
      </c>
      <c r="K80" s="230"/>
      <c r="L80" s="165" t="s">
        <v>4</v>
      </c>
    </row>
    <row r="81" spans="1:16" ht="22.5" customHeight="1">
      <c r="A81" s="59" t="s">
        <v>5</v>
      </c>
      <c r="B81" s="59" t="s">
        <v>6</v>
      </c>
      <c r="C81" s="59" t="s">
        <v>7</v>
      </c>
      <c r="D81" s="59" t="s">
        <v>8</v>
      </c>
      <c r="E81" s="59" t="s">
        <v>9</v>
      </c>
      <c r="F81" s="59" t="s">
        <v>10</v>
      </c>
      <c r="G81" s="59" t="s">
        <v>11</v>
      </c>
      <c r="H81" s="59" t="s">
        <v>12</v>
      </c>
      <c r="I81" s="59" t="s">
        <v>13</v>
      </c>
      <c r="J81" s="59" t="s">
        <v>14</v>
      </c>
      <c r="K81" s="59" t="s">
        <v>15</v>
      </c>
      <c r="L81" s="59" t="s">
        <v>16</v>
      </c>
      <c r="M81" s="48" t="s">
        <v>17</v>
      </c>
      <c r="N81" s="48" t="s">
        <v>18</v>
      </c>
      <c r="O81" s="48" t="s">
        <v>19</v>
      </c>
      <c r="P81" s="109" t="s">
        <v>20</v>
      </c>
    </row>
    <row r="82" spans="1:16" s="5" customFormat="1" ht="12.75">
      <c r="A82" s="165" t="s">
        <v>21</v>
      </c>
      <c r="B82" s="64" t="s">
        <v>74</v>
      </c>
      <c r="C82" s="204">
        <f t="shared" ref="C82:C84" si="27">SUM(D82:L82)</f>
        <v>20</v>
      </c>
      <c r="D82" s="64">
        <f>'[2]MASTER '!$BS$38</f>
        <v>0</v>
      </c>
      <c r="E82" s="64">
        <f>'[2]MASTER '!$BS$39</f>
        <v>4</v>
      </c>
      <c r="F82" s="64">
        <f>'[2]MASTER '!$BS$40</f>
        <v>2</v>
      </c>
      <c r="G82" s="64">
        <f>'[2]MASTER '!$BS$41</f>
        <v>2</v>
      </c>
      <c r="H82" s="64">
        <f>'[2]MASTER '!$BS$42</f>
        <v>4</v>
      </c>
      <c r="I82" s="64">
        <f>'[2]MASTER '!$BS$43</f>
        <v>2</v>
      </c>
      <c r="J82" s="64">
        <f>'[2]MASTER '!$BS$44</f>
        <v>3</v>
      </c>
      <c r="K82" s="64">
        <f>'[2]MASTER '!$BS$45</f>
        <v>3</v>
      </c>
      <c r="L82" s="64">
        <f>'[2]MASTER '!$BS$46</f>
        <v>0</v>
      </c>
      <c r="M82" s="7">
        <f>SUM(D82:I82)</f>
        <v>14</v>
      </c>
      <c r="N82" s="8">
        <f>((M82/C82)*100)</f>
        <v>70</v>
      </c>
      <c r="O82" s="7">
        <f>SUM(D82:K82)</f>
        <v>20</v>
      </c>
      <c r="P82" s="8">
        <f>((O82/C82)*100)</f>
        <v>100</v>
      </c>
    </row>
    <row r="83" spans="1:16" s="5" customFormat="1" ht="12.75">
      <c r="A83" s="197" t="s">
        <v>23</v>
      </c>
      <c r="B83" s="64" t="s">
        <v>74</v>
      </c>
      <c r="C83" s="204">
        <f t="shared" si="27"/>
        <v>18</v>
      </c>
      <c r="D83" s="64">
        <f>'[1]MASTER '!$BS$38</f>
        <v>1</v>
      </c>
      <c r="E83" s="64">
        <f>'[1]MASTER '!$BS$39</f>
        <v>0</v>
      </c>
      <c r="F83" s="64">
        <f>'[1]MASTER '!$BS$40</f>
        <v>1</v>
      </c>
      <c r="G83" s="64">
        <f>'[1]MASTER '!$BS$41</f>
        <v>0</v>
      </c>
      <c r="H83" s="64">
        <f>'[1]MASTER '!$BS$42</f>
        <v>4</v>
      </c>
      <c r="I83" s="64">
        <f>'[1]MASTER '!$BS$43</f>
        <v>3</v>
      </c>
      <c r="J83" s="64">
        <f>'[1]MASTER '!$BS$44</f>
        <v>4</v>
      </c>
      <c r="K83" s="64">
        <f>'[1]MASTER '!$BS$45</f>
        <v>3</v>
      </c>
      <c r="L83" s="64">
        <f>'[1]MASTER '!$BS$46</f>
        <v>2</v>
      </c>
      <c r="M83" s="7">
        <f>SUM(D83:I83)</f>
        <v>9</v>
      </c>
      <c r="N83" s="8">
        <f>((M83/C83)*100)</f>
        <v>50</v>
      </c>
      <c r="O83" s="7">
        <f>SUM(D83:K83)</f>
        <v>16</v>
      </c>
      <c r="P83" s="8">
        <f>((O83/C83)*100)</f>
        <v>88.888888888888886</v>
      </c>
    </row>
    <row r="84" spans="1:16" s="5" customFormat="1" ht="12.75">
      <c r="A84" s="197" t="s">
        <v>25</v>
      </c>
      <c r="B84" s="64" t="s">
        <v>75</v>
      </c>
      <c r="C84" s="204">
        <f t="shared" si="27"/>
        <v>23</v>
      </c>
      <c r="D84" s="64">
        <f>'[3]MASTER '!$BS$38</f>
        <v>0</v>
      </c>
      <c r="E84" s="64">
        <f>'[3]MASTER '!$BS$39</f>
        <v>0</v>
      </c>
      <c r="F84" s="64">
        <f>'[3]MASTER '!$BS$40</f>
        <v>0</v>
      </c>
      <c r="G84" s="64">
        <f>'[3]MASTER '!$BS$41</f>
        <v>0</v>
      </c>
      <c r="H84" s="64">
        <f>'[3]MASTER '!$BS$42</f>
        <v>0</v>
      </c>
      <c r="I84" s="64">
        <f>'[3]MASTER '!$BS$43</f>
        <v>2</v>
      </c>
      <c r="J84" s="64">
        <f>'[3]MASTER '!$BS$44</f>
        <v>1</v>
      </c>
      <c r="K84" s="64">
        <f>'[3]MASTER '!$BS$45</f>
        <v>7</v>
      </c>
      <c r="L84" s="64">
        <f>'[3]MASTER '!$BS$46</f>
        <v>13</v>
      </c>
      <c r="M84" s="7">
        <f>SUM(D84:I84)</f>
        <v>2</v>
      </c>
      <c r="N84" s="8">
        <f>((M84/C84)*100)</f>
        <v>8.695652173913043</v>
      </c>
      <c r="O84" s="7">
        <f>SUM(D84:K84)</f>
        <v>10</v>
      </c>
      <c r="P84" s="8">
        <f>((O84/C84)*100)</f>
        <v>43.478260869565219</v>
      </c>
    </row>
    <row r="85" spans="1:16" ht="13.5" customHeight="1">
      <c r="A85" s="160"/>
      <c r="B85" s="161" t="s">
        <v>31</v>
      </c>
      <c r="C85" s="165">
        <f>SUM(C82:C84)</f>
        <v>61</v>
      </c>
      <c r="D85" s="165">
        <f>SUM(D82:D84)</f>
        <v>1</v>
      </c>
      <c r="E85" s="165">
        <f>SUM(E82:E84)</f>
        <v>4</v>
      </c>
      <c r="F85" s="165">
        <f>SUM(F82:F84)</f>
        <v>3</v>
      </c>
      <c r="G85" s="165">
        <f>SUM(G82:G84)</f>
        <v>2</v>
      </c>
      <c r="H85" s="165">
        <f>SUM(H82:H84)</f>
        <v>8</v>
      </c>
      <c r="I85" s="165">
        <f>SUM(I82:I84)</f>
        <v>7</v>
      </c>
      <c r="J85" s="165">
        <f>SUM(J82:J84)</f>
        <v>8</v>
      </c>
      <c r="K85" s="165">
        <f>SUM(K82:K84)</f>
        <v>13</v>
      </c>
      <c r="L85" s="165">
        <f>SUM(L82:L84)</f>
        <v>15</v>
      </c>
      <c r="M85" s="165">
        <f>SUM(M82:M84)</f>
        <v>25</v>
      </c>
      <c r="N85" s="9">
        <f>((M85/C85)*100)</f>
        <v>40.983606557377051</v>
      </c>
      <c r="O85" s="165">
        <f>SUM(O82:O84)</f>
        <v>46</v>
      </c>
      <c r="P85" s="9">
        <f>((O85/C85)*100)</f>
        <v>75.409836065573771</v>
      </c>
    </row>
    <row r="86" spans="1:16" ht="4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1"/>
      <c r="O86" s="10"/>
      <c r="P86" s="11"/>
    </row>
    <row r="87" spans="1:16" ht="18">
      <c r="A87" s="153" t="s">
        <v>76</v>
      </c>
    </row>
    <row r="88" spans="1:16" ht="12.95">
      <c r="D88" s="229" t="s">
        <v>1</v>
      </c>
      <c r="E88" s="230"/>
      <c r="F88" s="229" t="s">
        <v>2</v>
      </c>
      <c r="G88" s="236"/>
      <c r="H88" s="236"/>
      <c r="I88" s="230"/>
      <c r="J88" s="229" t="s">
        <v>3</v>
      </c>
      <c r="K88" s="230"/>
      <c r="L88" s="165" t="s">
        <v>4</v>
      </c>
    </row>
    <row r="89" spans="1:16" s="5" customFormat="1" ht="23.25" customHeight="1">
      <c r="A89" s="59" t="s">
        <v>5</v>
      </c>
      <c r="B89" s="59" t="s">
        <v>6</v>
      </c>
      <c r="C89" s="59" t="s">
        <v>7</v>
      </c>
      <c r="D89" s="59" t="s">
        <v>8</v>
      </c>
      <c r="E89" s="59" t="s">
        <v>9</v>
      </c>
      <c r="F89" s="59" t="s">
        <v>10</v>
      </c>
      <c r="G89" s="59" t="s">
        <v>11</v>
      </c>
      <c r="H89" s="59" t="s">
        <v>12</v>
      </c>
      <c r="I89" s="59" t="s">
        <v>13</v>
      </c>
      <c r="J89" s="59" t="s">
        <v>14</v>
      </c>
      <c r="K89" s="59" t="s">
        <v>15</v>
      </c>
      <c r="L89" s="59" t="s">
        <v>16</v>
      </c>
      <c r="M89" s="48" t="s">
        <v>17</v>
      </c>
      <c r="N89" s="48" t="s">
        <v>18</v>
      </c>
      <c r="O89" s="48" t="s">
        <v>19</v>
      </c>
      <c r="P89" s="109" t="s">
        <v>20</v>
      </c>
    </row>
    <row r="90" spans="1:16" ht="12.75">
      <c r="A90" s="165" t="s">
        <v>69</v>
      </c>
      <c r="B90" s="64" t="s">
        <v>77</v>
      </c>
      <c r="C90" s="204">
        <f t="shared" ref="C90:C91" si="28">SUM(D90:L90)</f>
        <v>20</v>
      </c>
      <c r="D90" s="64">
        <f>'[2]MASTER '!$BI$38</f>
        <v>0</v>
      </c>
      <c r="E90" s="64">
        <f>'[2]MASTER '!$BI$39</f>
        <v>0</v>
      </c>
      <c r="F90" s="64">
        <f>'[2]MASTER '!$BI$40</f>
        <v>1</v>
      </c>
      <c r="G90" s="64">
        <f>'[2]MASTER '!$BI$41</f>
        <v>2</v>
      </c>
      <c r="H90" s="64">
        <f>'[2]MASTER '!$BI$42</f>
        <v>1</v>
      </c>
      <c r="I90" s="64">
        <f>'[2]MASTER '!$BI$43</f>
        <v>1</v>
      </c>
      <c r="J90" s="64">
        <f>'[2]MASTER '!$BI$44</f>
        <v>8</v>
      </c>
      <c r="K90" s="64">
        <f>'[2]MASTER '!$BI$45</f>
        <v>3</v>
      </c>
      <c r="L90" s="64">
        <f>'[2]MASTER '!$BI$46</f>
        <v>4</v>
      </c>
      <c r="M90" s="7">
        <f>SUM(D90:I90)</f>
        <v>5</v>
      </c>
      <c r="N90" s="8">
        <f>((M90/C90)*100)</f>
        <v>25</v>
      </c>
      <c r="O90" s="7">
        <f>SUM(D90:K90)</f>
        <v>16</v>
      </c>
      <c r="P90" s="8">
        <f>((O90/C90)*100)</f>
        <v>80</v>
      </c>
    </row>
    <row r="91" spans="1:16" ht="12.75">
      <c r="A91" s="197" t="s">
        <v>23</v>
      </c>
      <c r="B91" s="64" t="s">
        <v>77</v>
      </c>
      <c r="C91" s="204">
        <f t="shared" si="28"/>
        <v>18</v>
      </c>
      <c r="D91" s="64">
        <f>'[1]MASTER '!$BI$38</f>
        <v>1</v>
      </c>
      <c r="E91" s="64">
        <f>'[1]MASTER '!$BI$39</f>
        <v>1</v>
      </c>
      <c r="F91" s="64">
        <f>'[1]MASTER '!$BI$40</f>
        <v>0</v>
      </c>
      <c r="G91" s="64">
        <f>'[1]MASTER '!$BI$41</f>
        <v>0</v>
      </c>
      <c r="H91" s="64">
        <f>'[1]MASTER '!$BI$42</f>
        <v>0</v>
      </c>
      <c r="I91" s="64">
        <f>'[1]MASTER '!$BI$43</f>
        <v>0</v>
      </c>
      <c r="J91" s="64">
        <f>'[1]MASTER '!$BI$44</f>
        <v>3</v>
      </c>
      <c r="K91" s="64">
        <f>'[1]MASTER '!$BI$45</f>
        <v>7</v>
      </c>
      <c r="L91" s="64">
        <f>'[1]MASTER '!$BI$46</f>
        <v>6</v>
      </c>
      <c r="M91" s="7">
        <f>SUM(D91:I91)</f>
        <v>2</v>
      </c>
      <c r="N91" s="8">
        <f>((M91/C91)*100)</f>
        <v>11.111111111111111</v>
      </c>
      <c r="O91" s="7">
        <f>SUM(D91:K91)</f>
        <v>12</v>
      </c>
      <c r="P91" s="8">
        <f>((O91/C91)*100)</f>
        <v>66.666666666666657</v>
      </c>
    </row>
    <row r="92" spans="1:16" ht="12.95">
      <c r="A92" s="163"/>
      <c r="B92" s="164" t="s">
        <v>31</v>
      </c>
      <c r="C92" s="59">
        <f>SUM(C90:C91)</f>
        <v>38</v>
      </c>
      <c r="D92" s="59">
        <f>SUM(D90:D91)</f>
        <v>1</v>
      </c>
      <c r="E92" s="59">
        <f>SUM(E90:E91)</f>
        <v>1</v>
      </c>
      <c r="F92" s="59">
        <f>SUM(F90:F91)</f>
        <v>1</v>
      </c>
      <c r="G92" s="59">
        <f>SUM(G90:G91)</f>
        <v>2</v>
      </c>
      <c r="H92" s="59">
        <f>SUM(H90:H91)</f>
        <v>1</v>
      </c>
      <c r="I92" s="59">
        <f>SUM(I90:I91)</f>
        <v>1</v>
      </c>
      <c r="J92" s="59">
        <f>SUM(J90:J91)</f>
        <v>11</v>
      </c>
      <c r="K92" s="59">
        <f>SUM(K90:K91)</f>
        <v>10</v>
      </c>
      <c r="L92" s="59">
        <f>SUM(L90:L91)</f>
        <v>10</v>
      </c>
      <c r="M92" s="165">
        <f>SUM(M90:M91)</f>
        <v>7</v>
      </c>
      <c r="N92" s="9">
        <f>((M92/C92)*100)</f>
        <v>18.421052631578945</v>
      </c>
      <c r="O92" s="165">
        <f>SUM(O90:O91)</f>
        <v>28</v>
      </c>
      <c r="P92" s="9">
        <f>((O92/C92)*100)</f>
        <v>73.68421052631578</v>
      </c>
    </row>
    <row r="93" spans="1:16" ht="3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1"/>
      <c r="O93" s="10"/>
      <c r="P93" s="11"/>
    </row>
    <row r="94" spans="1:16" ht="18">
      <c r="A94" s="153" t="s">
        <v>78</v>
      </c>
    </row>
    <row r="95" spans="1:16" ht="12.95">
      <c r="D95" s="229" t="s">
        <v>1</v>
      </c>
      <c r="E95" s="230"/>
      <c r="F95" s="229" t="s">
        <v>2</v>
      </c>
      <c r="G95" s="236"/>
      <c r="H95" s="236"/>
      <c r="I95" s="230"/>
      <c r="J95" s="229" t="s">
        <v>3</v>
      </c>
      <c r="K95" s="230"/>
      <c r="L95" s="165" t="s">
        <v>4</v>
      </c>
    </row>
    <row r="96" spans="1:16" ht="22.5" customHeight="1">
      <c r="A96" s="59" t="s">
        <v>5</v>
      </c>
      <c r="B96" s="59" t="s">
        <v>6</v>
      </c>
      <c r="C96" s="59" t="s">
        <v>7</v>
      </c>
      <c r="D96" s="59" t="s">
        <v>8</v>
      </c>
      <c r="E96" s="59" t="s">
        <v>9</v>
      </c>
      <c r="F96" s="59" t="s">
        <v>10</v>
      </c>
      <c r="G96" s="59" t="s">
        <v>11</v>
      </c>
      <c r="H96" s="59" t="s">
        <v>12</v>
      </c>
      <c r="I96" s="59" t="s">
        <v>13</v>
      </c>
      <c r="J96" s="59" t="s">
        <v>14</v>
      </c>
      <c r="K96" s="59" t="s">
        <v>15</v>
      </c>
      <c r="L96" s="59" t="s">
        <v>16</v>
      </c>
      <c r="M96" s="48" t="s">
        <v>17</v>
      </c>
      <c r="N96" s="48" t="s">
        <v>18</v>
      </c>
      <c r="O96" s="48" t="s">
        <v>19</v>
      </c>
      <c r="P96" s="109" t="s">
        <v>20</v>
      </c>
    </row>
    <row r="97" spans="1:16" ht="13.5" customHeight="1">
      <c r="A97" s="165" t="s">
        <v>29</v>
      </c>
      <c r="B97" s="64" t="s">
        <v>79</v>
      </c>
      <c r="C97" s="204">
        <f t="shared" ref="C97:C98" si="29">SUM(D97:L97)</f>
        <v>19</v>
      </c>
      <c r="D97" s="64">
        <f>'[6]MASTER '!$AY$38</f>
        <v>0</v>
      </c>
      <c r="E97" s="64">
        <f>'[6]MASTER '!$AY$39</f>
        <v>0</v>
      </c>
      <c r="F97" s="64">
        <f>'[6]MASTER '!$AY$40</f>
        <v>0</v>
      </c>
      <c r="G97" s="64">
        <f>'[6]MASTER '!$AY$41</f>
        <v>0</v>
      </c>
      <c r="H97" s="64">
        <f>'[6]MASTER '!$AY$42</f>
        <v>0</v>
      </c>
      <c r="I97" s="64">
        <f>'[6]MASTER '!$AY$43</f>
        <v>1</v>
      </c>
      <c r="J97" s="64">
        <f>'[6]MASTER '!$AY$44</f>
        <v>4</v>
      </c>
      <c r="K97" s="64">
        <f>'[6]MASTER '!$AY$45</f>
        <v>8</v>
      </c>
      <c r="L97" s="64">
        <f>'[6]MASTER '!$AY$46</f>
        <v>6</v>
      </c>
      <c r="M97" s="7">
        <f t="shared" ref="M97" si="30">SUM(D97:I97)</f>
        <v>1</v>
      </c>
      <c r="N97" s="8">
        <f>((M97/C97)*100)</f>
        <v>5.2631578947368416</v>
      </c>
      <c r="O97" s="7">
        <f>SUM(D97:K97)</f>
        <v>13</v>
      </c>
      <c r="P97" s="8">
        <f>((O97/C97)*100)</f>
        <v>68.421052631578945</v>
      </c>
    </row>
    <row r="98" spans="1:16" ht="13.5" customHeight="1">
      <c r="A98" s="165" t="s">
        <v>80</v>
      </c>
      <c r="B98" s="64" t="s">
        <v>79</v>
      </c>
      <c r="C98" s="204">
        <f t="shared" si="29"/>
        <v>19</v>
      </c>
      <c r="D98" s="64">
        <f>'[7]MASTER '!$AY$37</f>
        <v>0</v>
      </c>
      <c r="E98" s="64">
        <f>'[7]MASTER '!$AY$38</f>
        <v>0</v>
      </c>
      <c r="F98" s="64">
        <f>'[7]MASTER '!$AY$39</f>
        <v>0</v>
      </c>
      <c r="G98" s="64">
        <f>'[7]MASTER '!$AY$40</f>
        <v>0</v>
      </c>
      <c r="H98" s="64">
        <f>'[7]MASTER '!$AY$41</f>
        <v>0</v>
      </c>
      <c r="I98" s="64">
        <f>'[7]MASTER '!$AY$42</f>
        <v>3</v>
      </c>
      <c r="J98" s="64">
        <f>'[7]MASTER '!$AY$43</f>
        <v>5</v>
      </c>
      <c r="K98" s="64">
        <f>'[7]MASTER '!$AY$44</f>
        <v>5</v>
      </c>
      <c r="L98" s="64">
        <f>'[7]MASTER '!$AY$45</f>
        <v>6</v>
      </c>
      <c r="M98" s="7">
        <f t="shared" ref="M98" si="31">SUM(D98:I98)</f>
        <v>3</v>
      </c>
      <c r="N98" s="8">
        <f>((M98/C98)*100)</f>
        <v>15.789473684210526</v>
      </c>
      <c r="O98" s="7">
        <f>SUM(D98:K98)</f>
        <v>13</v>
      </c>
      <c r="P98" s="8">
        <f>((O98/C98)*100)</f>
        <v>68.421052631578945</v>
      </c>
    </row>
    <row r="99" spans="1:16" ht="12.95">
      <c r="A99" s="160"/>
      <c r="B99" s="161" t="s">
        <v>31</v>
      </c>
      <c r="C99" s="165">
        <f>SUM(C97:C98)</f>
        <v>38</v>
      </c>
      <c r="D99" s="165">
        <f t="shared" ref="D99:L99" si="32">SUM(D97:D98)</f>
        <v>0</v>
      </c>
      <c r="E99" s="165">
        <f t="shared" si="32"/>
        <v>0</v>
      </c>
      <c r="F99" s="165">
        <f t="shared" si="32"/>
        <v>0</v>
      </c>
      <c r="G99" s="165">
        <f t="shared" si="32"/>
        <v>0</v>
      </c>
      <c r="H99" s="165">
        <f t="shared" si="32"/>
        <v>0</v>
      </c>
      <c r="I99" s="165">
        <f t="shared" si="32"/>
        <v>4</v>
      </c>
      <c r="J99" s="165">
        <f t="shared" si="32"/>
        <v>9</v>
      </c>
      <c r="K99" s="165">
        <f t="shared" si="32"/>
        <v>13</v>
      </c>
      <c r="L99" s="165">
        <f t="shared" si="32"/>
        <v>12</v>
      </c>
      <c r="M99" s="165">
        <f>SUM(M97:M98)</f>
        <v>4</v>
      </c>
      <c r="N99" s="9">
        <f>((M99/C99)*100)</f>
        <v>10.526315789473683</v>
      </c>
      <c r="O99" s="165">
        <f>SUM(O97:O98)</f>
        <v>26</v>
      </c>
      <c r="P99" s="9">
        <f>((O99/C99)*100)</f>
        <v>68.421052631578945</v>
      </c>
    </row>
    <row r="100" spans="1:16" ht="4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1"/>
      <c r="O100" s="10"/>
      <c r="P100" s="11"/>
    </row>
    <row r="101" spans="1:16" ht="18">
      <c r="A101" s="153" t="s">
        <v>81</v>
      </c>
    </row>
    <row r="102" spans="1:16" ht="12.95">
      <c r="D102" s="229" t="s">
        <v>1</v>
      </c>
      <c r="E102" s="230"/>
      <c r="F102" s="229" t="s">
        <v>2</v>
      </c>
      <c r="G102" s="236"/>
      <c r="H102" s="236"/>
      <c r="I102" s="230"/>
      <c r="J102" s="229" t="s">
        <v>3</v>
      </c>
      <c r="K102" s="230"/>
      <c r="L102" s="165" t="s">
        <v>4</v>
      </c>
    </row>
    <row r="103" spans="1:16" ht="21" customHeight="1">
      <c r="A103" s="59" t="s">
        <v>5</v>
      </c>
      <c r="B103" s="59" t="s">
        <v>6</v>
      </c>
      <c r="C103" s="59" t="s">
        <v>7</v>
      </c>
      <c r="D103" s="59" t="s">
        <v>8</v>
      </c>
      <c r="E103" s="59" t="s">
        <v>9</v>
      </c>
      <c r="F103" s="59" t="s">
        <v>10</v>
      </c>
      <c r="G103" s="59" t="s">
        <v>11</v>
      </c>
      <c r="H103" s="59" t="s">
        <v>12</v>
      </c>
      <c r="I103" s="59" t="s">
        <v>13</v>
      </c>
      <c r="J103" s="59" t="s">
        <v>14</v>
      </c>
      <c r="K103" s="59" t="s">
        <v>15</v>
      </c>
      <c r="L103" s="59" t="s">
        <v>16</v>
      </c>
      <c r="M103" s="48" t="s">
        <v>17</v>
      </c>
      <c r="N103" s="48" t="s">
        <v>18</v>
      </c>
      <c r="O103" s="48" t="s">
        <v>19</v>
      </c>
      <c r="P103" s="109" t="s">
        <v>20</v>
      </c>
    </row>
    <row r="104" spans="1:16" ht="13.5" customHeight="1">
      <c r="A104" s="205" t="s">
        <v>21</v>
      </c>
      <c r="B104" s="141" t="s">
        <v>82</v>
      </c>
      <c r="C104" s="204">
        <f t="shared" ref="C104:C110" si="33">SUM(D104:L104)</f>
        <v>20</v>
      </c>
      <c r="D104" s="7">
        <f>'[2]MASTER '!$AO$38</f>
        <v>17</v>
      </c>
      <c r="E104" s="7">
        <f>'[2]MASTER '!$AO$39</f>
        <v>2</v>
      </c>
      <c r="F104" s="7">
        <f>'[2]MASTER '!$AO$40</f>
        <v>0</v>
      </c>
      <c r="G104" s="7">
        <f>'[2]MASTER '!$AO$41</f>
        <v>0</v>
      </c>
      <c r="H104" s="7">
        <f>'[2]MASTER '!$AO$42</f>
        <v>0</v>
      </c>
      <c r="I104" s="7">
        <f>'[2]MASTER '!$AO$43</f>
        <v>0</v>
      </c>
      <c r="J104" s="7">
        <f>'[2]MASTER '!$AO$44</f>
        <v>0</v>
      </c>
      <c r="K104" s="7">
        <f>'[2]MASTER '!$AO$45</f>
        <v>0</v>
      </c>
      <c r="L104" s="7">
        <f>'[2]MASTER '!$AO$46</f>
        <v>1</v>
      </c>
      <c r="M104" s="7">
        <f t="shared" ref="M104:M110" si="34">SUM(D104:I104)</f>
        <v>19</v>
      </c>
      <c r="N104" s="8">
        <f>((M104/C104)*100)</f>
        <v>95</v>
      </c>
      <c r="O104" s="7">
        <f t="shared" ref="O104:O110" si="35">SUM(D104:K104)</f>
        <v>19</v>
      </c>
      <c r="P104" s="8">
        <f t="shared" ref="P104:P111" si="36">((O104/C104)*100)</f>
        <v>95</v>
      </c>
    </row>
    <row r="105" spans="1:16" ht="13.5" customHeight="1">
      <c r="A105" s="206" t="s">
        <v>23</v>
      </c>
      <c r="B105" s="141" t="s">
        <v>83</v>
      </c>
      <c r="C105" s="204">
        <f t="shared" si="33"/>
        <v>18</v>
      </c>
      <c r="D105" s="7">
        <f>'[1]MASTER '!$AO$38</f>
        <v>3</v>
      </c>
      <c r="E105" s="7">
        <f>'[1]MASTER '!$AO$39</f>
        <v>1</v>
      </c>
      <c r="F105" s="7">
        <f>'[1]MASTER '!$AO$40</f>
        <v>2</v>
      </c>
      <c r="G105" s="7">
        <f>'[1]MASTER '!$AO$41</f>
        <v>3</v>
      </c>
      <c r="H105" s="7">
        <f>'[1]MASTER '!$AO$42</f>
        <v>5</v>
      </c>
      <c r="I105" s="7">
        <f>'[1]MASTER '!$AO$43</f>
        <v>2</v>
      </c>
      <c r="J105" s="7">
        <f>'[1]MASTER '!$AO$44</f>
        <v>2</v>
      </c>
      <c r="K105" s="7">
        <f>'[1]MASTER '!$AO$45</f>
        <v>0</v>
      </c>
      <c r="L105" s="7">
        <f>'[1]MASTER '!$AO$46</f>
        <v>0</v>
      </c>
      <c r="M105" s="7">
        <f t="shared" si="34"/>
        <v>16</v>
      </c>
      <c r="N105" s="8">
        <f>((M105/C105)*100)</f>
        <v>88.888888888888886</v>
      </c>
      <c r="O105" s="7">
        <f t="shared" si="35"/>
        <v>18</v>
      </c>
      <c r="P105" s="8">
        <f t="shared" si="36"/>
        <v>100</v>
      </c>
    </row>
    <row r="106" spans="1:16" ht="13.5" customHeight="1">
      <c r="A106" s="206" t="s">
        <v>25</v>
      </c>
      <c r="B106" s="141" t="s">
        <v>83</v>
      </c>
      <c r="C106" s="204">
        <f t="shared" si="33"/>
        <v>23</v>
      </c>
      <c r="D106" s="7">
        <f>'[3]MASTER '!$AO$38</f>
        <v>5</v>
      </c>
      <c r="E106" s="7">
        <f>'[3]MASTER '!$AO$39</f>
        <v>4</v>
      </c>
      <c r="F106" s="7">
        <f>'[3]MASTER '!$AO$40</f>
        <v>3</v>
      </c>
      <c r="G106" s="7">
        <f>'[3]MASTER '!$AO$41</f>
        <v>3</v>
      </c>
      <c r="H106" s="7">
        <f>'[3]MASTER '!$AO$42</f>
        <v>1</v>
      </c>
      <c r="I106" s="7">
        <f>'[3]MASTER '!$AO$43</f>
        <v>0</v>
      </c>
      <c r="J106" s="7">
        <f>'[3]MASTER '!$AO$44</f>
        <v>4</v>
      </c>
      <c r="K106" s="7">
        <f>'[3]MASTER '!$AO$45</f>
        <v>3</v>
      </c>
      <c r="L106" s="7">
        <f>'[3]MASTER '!$AO$46</f>
        <v>0</v>
      </c>
      <c r="M106" s="7">
        <f t="shared" si="34"/>
        <v>16</v>
      </c>
      <c r="N106" s="8">
        <f>((M106/C106)*100)</f>
        <v>69.565217391304344</v>
      </c>
      <c r="O106" s="7">
        <f t="shared" si="35"/>
        <v>23</v>
      </c>
      <c r="P106" s="8">
        <f t="shared" si="36"/>
        <v>100</v>
      </c>
    </row>
    <row r="107" spans="1:16" ht="13.5" customHeight="1">
      <c r="A107" s="206" t="s">
        <v>27</v>
      </c>
      <c r="B107" s="141" t="s">
        <v>82</v>
      </c>
      <c r="C107" s="204">
        <f t="shared" si="33"/>
        <v>20</v>
      </c>
      <c r="D107" s="7">
        <f>'[4]MASTER '!$AO$38</f>
        <v>13</v>
      </c>
      <c r="E107" s="7">
        <f>'[4]MASTER '!$AO$39</f>
        <v>4</v>
      </c>
      <c r="F107" s="7">
        <f>'[4]MASTER '!$AO$40</f>
        <v>0</v>
      </c>
      <c r="G107" s="7">
        <f>'[4]MASTER '!$AO$41</f>
        <v>1</v>
      </c>
      <c r="H107" s="7">
        <f>'[4]MASTER '!$AO$42</f>
        <v>1</v>
      </c>
      <c r="I107" s="7">
        <f>'[4]MASTER '!$AO$43</f>
        <v>0</v>
      </c>
      <c r="J107" s="7">
        <f>'[4]MASTER '!$AO$44</f>
        <v>1</v>
      </c>
      <c r="K107" s="7">
        <f>'[4]MASTER '!$AO$45</f>
        <v>0</v>
      </c>
      <c r="L107" s="7">
        <f>'[4]MASTER '!$AO$46</f>
        <v>0</v>
      </c>
      <c r="M107" s="7">
        <f t="shared" si="34"/>
        <v>19</v>
      </c>
      <c r="N107" s="8">
        <f t="shared" ref="N107" si="37">((M107/C107)*100)</f>
        <v>95</v>
      </c>
      <c r="O107" s="7">
        <f t="shared" si="35"/>
        <v>20</v>
      </c>
      <c r="P107" s="8">
        <f t="shared" si="36"/>
        <v>100</v>
      </c>
    </row>
    <row r="108" spans="1:16" ht="13.5" customHeight="1">
      <c r="A108" s="205" t="s">
        <v>28</v>
      </c>
      <c r="B108" s="141" t="s">
        <v>83</v>
      </c>
      <c r="C108" s="204">
        <f t="shared" si="33"/>
        <v>23</v>
      </c>
      <c r="D108" s="7">
        <f>'[5]MASTER '!$AO$37</f>
        <v>7</v>
      </c>
      <c r="E108" s="7">
        <f>'[5]MASTER '!$AO$38</f>
        <v>3</v>
      </c>
      <c r="F108" s="7">
        <f>'[5]MASTER '!$AO$39</f>
        <v>2</v>
      </c>
      <c r="G108" s="7">
        <f>'[5]MASTER '!$AO$40</f>
        <v>3</v>
      </c>
      <c r="H108" s="7">
        <f>'[5]MASTER '!$AO$41</f>
        <v>2</v>
      </c>
      <c r="I108" s="7">
        <f>'[5]MASTER '!$AO$42</f>
        <v>1</v>
      </c>
      <c r="J108" s="7">
        <f>'[5]MASTER '!$AO$43</f>
        <v>2</v>
      </c>
      <c r="K108" s="7">
        <f>'[5]MASTER '!$AO$44</f>
        <v>1</v>
      </c>
      <c r="L108" s="7">
        <f>'[5]MASTER '!$AO$45</f>
        <v>2</v>
      </c>
      <c r="M108" s="7">
        <f t="shared" si="34"/>
        <v>18</v>
      </c>
      <c r="N108" s="8">
        <f>((M108/C108)*100)</f>
        <v>78.260869565217391</v>
      </c>
      <c r="O108" s="7">
        <f t="shared" si="35"/>
        <v>21</v>
      </c>
      <c r="P108" s="8">
        <f t="shared" si="36"/>
        <v>91.304347826086953</v>
      </c>
    </row>
    <row r="109" spans="1:16" ht="13.5" customHeight="1">
      <c r="A109" s="205" t="s">
        <v>29</v>
      </c>
      <c r="B109" s="141" t="s">
        <v>83</v>
      </c>
      <c r="C109" s="204">
        <f t="shared" si="33"/>
        <v>19</v>
      </c>
      <c r="D109" s="7">
        <f>'[6]MASTER '!$AO$38</f>
        <v>2</v>
      </c>
      <c r="E109" s="7">
        <f>'[6]MASTER '!$AO$39</f>
        <v>2</v>
      </c>
      <c r="F109" s="7">
        <f>'[6]MASTER '!$AO$40</f>
        <v>0</v>
      </c>
      <c r="G109" s="7">
        <f>'[6]MASTER '!$AO$41</f>
        <v>2</v>
      </c>
      <c r="H109" s="7">
        <f>'[6]MASTER '!$AO$42</f>
        <v>2</v>
      </c>
      <c r="I109" s="7">
        <f>'[6]MASTER '!$AO$43</f>
        <v>0</v>
      </c>
      <c r="J109" s="7">
        <f>'[6]MASTER '!$AO$44</f>
        <v>4</v>
      </c>
      <c r="K109" s="7">
        <f>'[6]MASTER '!$AO$45</f>
        <v>1</v>
      </c>
      <c r="L109" s="7">
        <f>'[6]MASTER '!$AO$46</f>
        <v>6</v>
      </c>
      <c r="M109" s="7">
        <f t="shared" si="34"/>
        <v>8</v>
      </c>
      <c r="N109" s="8">
        <f>((M109/C109)*100)</f>
        <v>42.105263157894733</v>
      </c>
      <c r="O109" s="7">
        <f t="shared" si="35"/>
        <v>13</v>
      </c>
      <c r="P109" s="8">
        <f t="shared" si="36"/>
        <v>68.421052631578945</v>
      </c>
    </row>
    <row r="110" spans="1:16" ht="13.5" customHeight="1">
      <c r="A110" s="205" t="s">
        <v>30</v>
      </c>
      <c r="B110" s="141" t="s">
        <v>82</v>
      </c>
      <c r="C110" s="204">
        <f t="shared" si="33"/>
        <v>19</v>
      </c>
      <c r="D110" s="7">
        <f>'[7]MASTER '!$AO$37</f>
        <v>10</v>
      </c>
      <c r="E110" s="7">
        <f>'[7]MASTER '!$AO$38</f>
        <v>4</v>
      </c>
      <c r="F110" s="7">
        <f>'[7]MASTER '!$AO$39</f>
        <v>1</v>
      </c>
      <c r="G110" s="7">
        <f>'[7]MASTER '!$AO$40</f>
        <v>1</v>
      </c>
      <c r="H110" s="7">
        <f>'[7]MASTER '!$AO$41</f>
        <v>1</v>
      </c>
      <c r="I110" s="7">
        <f>'[7]MASTER '!$AO$42</f>
        <v>0</v>
      </c>
      <c r="J110" s="7">
        <f>'[7]MASTER '!$AO$43</f>
        <v>0</v>
      </c>
      <c r="K110" s="7">
        <f>'[7]MASTER '!$AO$44</f>
        <v>0</v>
      </c>
      <c r="L110" s="7">
        <f>'[7]MASTER '!$AO$45</f>
        <v>2</v>
      </c>
      <c r="M110" s="7">
        <f t="shared" si="34"/>
        <v>17</v>
      </c>
      <c r="N110" s="8">
        <f>((M110/C110)*100)</f>
        <v>89.473684210526315</v>
      </c>
      <c r="O110" s="7">
        <f t="shared" si="35"/>
        <v>17</v>
      </c>
      <c r="P110" s="8">
        <f t="shared" si="36"/>
        <v>89.473684210526315</v>
      </c>
    </row>
    <row r="111" spans="1:16" s="5" customFormat="1" ht="12.95">
      <c r="A111" s="160"/>
      <c r="B111" s="161" t="s">
        <v>31</v>
      </c>
      <c r="C111" s="165">
        <f>SUM(C104:C110)</f>
        <v>142</v>
      </c>
      <c r="D111" s="165">
        <f>SUM(D104:D110)</f>
        <v>57</v>
      </c>
      <c r="E111" s="165">
        <f>SUM(E104:E110)</f>
        <v>20</v>
      </c>
      <c r="F111" s="165">
        <f>SUM(F104:F110)</f>
        <v>8</v>
      </c>
      <c r="G111" s="165">
        <f>SUM(G104:G110)</f>
        <v>13</v>
      </c>
      <c r="H111" s="165">
        <f>SUM(H104:H110)</f>
        <v>12</v>
      </c>
      <c r="I111" s="165">
        <f>SUM(I104:I110)</f>
        <v>3</v>
      </c>
      <c r="J111" s="165">
        <f>SUM(J104:J110)</f>
        <v>13</v>
      </c>
      <c r="K111" s="165">
        <f>SUM(K104:K110)</f>
        <v>5</v>
      </c>
      <c r="L111" s="165">
        <f>SUM(L104:L110)</f>
        <v>11</v>
      </c>
      <c r="M111" s="165">
        <f>SUM(M104:M110)</f>
        <v>113</v>
      </c>
      <c r="N111" s="9">
        <f>((M111/C111)*100)</f>
        <v>79.577464788732399</v>
      </c>
      <c r="O111" s="165">
        <f>SUM(O104:O110)</f>
        <v>131</v>
      </c>
      <c r="P111" s="9">
        <f t="shared" si="36"/>
        <v>92.25352112676056</v>
      </c>
    </row>
    <row r="112" spans="1:16" s="5" customFormat="1" ht="4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1"/>
      <c r="O112" s="10"/>
      <c r="P112" s="11"/>
    </row>
    <row r="113" spans="1:16" ht="18.75" customHeight="1">
      <c r="A113" s="153" t="s">
        <v>84</v>
      </c>
    </row>
    <row r="114" spans="1:16" ht="12.95">
      <c r="D114" s="229" t="s">
        <v>1</v>
      </c>
      <c r="E114" s="230"/>
      <c r="F114" s="229" t="s">
        <v>2</v>
      </c>
      <c r="G114" s="236"/>
      <c r="H114" s="236"/>
      <c r="I114" s="230"/>
      <c r="J114" s="229" t="s">
        <v>3</v>
      </c>
      <c r="K114" s="230"/>
      <c r="L114" s="165" t="s">
        <v>4</v>
      </c>
    </row>
    <row r="115" spans="1:16" ht="22.5" customHeight="1">
      <c r="A115" s="59" t="s">
        <v>5</v>
      </c>
      <c r="B115" s="59" t="s">
        <v>6</v>
      </c>
      <c r="C115" s="59" t="s">
        <v>7</v>
      </c>
      <c r="D115" s="59" t="s">
        <v>8</v>
      </c>
      <c r="E115" s="59" t="s">
        <v>9</v>
      </c>
      <c r="F115" s="59" t="s">
        <v>10</v>
      </c>
      <c r="G115" s="59" t="s">
        <v>11</v>
      </c>
      <c r="H115" s="59" t="s">
        <v>12</v>
      </c>
      <c r="I115" s="59" t="s">
        <v>13</v>
      </c>
      <c r="J115" s="59" t="s">
        <v>14</v>
      </c>
      <c r="K115" s="59" t="s">
        <v>15</v>
      </c>
      <c r="L115" s="59" t="s">
        <v>16</v>
      </c>
      <c r="M115" s="48" t="s">
        <v>17</v>
      </c>
      <c r="N115" s="48" t="s">
        <v>18</v>
      </c>
      <c r="O115" s="48" t="s">
        <v>19</v>
      </c>
      <c r="P115" s="109" t="s">
        <v>20</v>
      </c>
    </row>
    <row r="116" spans="1:16" ht="13.5" customHeight="1">
      <c r="A116" s="197" t="s">
        <v>69</v>
      </c>
      <c r="B116" s="89" t="s">
        <v>85</v>
      </c>
      <c r="C116" s="204">
        <f t="shared" ref="C116:C118" si="38">SUM(D116:L116)</f>
        <v>12</v>
      </c>
      <c r="D116" s="7">
        <f>'[2]MASTER '!$CM$38</f>
        <v>0</v>
      </c>
      <c r="E116" s="7">
        <f>'[2]MASTER '!$CM$39</f>
        <v>1</v>
      </c>
      <c r="F116" s="7">
        <f>'[2]MASTER '!$CM$40</f>
        <v>1</v>
      </c>
      <c r="G116" s="7">
        <f>'[2]MASTER '!$CM$41</f>
        <v>1</v>
      </c>
      <c r="H116" s="7">
        <f>'[2]MASTER '!$CM$42</f>
        <v>0</v>
      </c>
      <c r="I116" s="7">
        <f>'[2]MASTER '!$CM$43</f>
        <v>2</v>
      </c>
      <c r="J116" s="7">
        <f>'[2]MASTER '!$CM$44</f>
        <v>1</v>
      </c>
      <c r="K116" s="7">
        <f>'[2]MASTER '!$CM$45</f>
        <v>2</v>
      </c>
      <c r="L116" s="7">
        <f>'[2]MASTER '!$CM$46</f>
        <v>4</v>
      </c>
      <c r="M116" s="7">
        <f>SUM(D116:I116)</f>
        <v>5</v>
      </c>
      <c r="N116" s="147">
        <f>((M116/C116)*100)</f>
        <v>41.666666666666671</v>
      </c>
      <c r="O116" s="7">
        <f>SUM(D116:K116)</f>
        <v>8</v>
      </c>
      <c r="P116" s="8">
        <f>((O116/C116)*100)</f>
        <v>66.666666666666657</v>
      </c>
    </row>
    <row r="117" spans="1:16" ht="13.5" customHeight="1">
      <c r="A117" s="197" t="s">
        <v>23</v>
      </c>
      <c r="B117" s="89" t="s">
        <v>86</v>
      </c>
      <c r="C117" s="204">
        <f t="shared" si="38"/>
        <v>18</v>
      </c>
      <c r="D117" s="7">
        <f>'[1]MASTER '!$CM$38</f>
        <v>1</v>
      </c>
      <c r="E117" s="7">
        <f>'[1]MASTER '!$CM$39</f>
        <v>4</v>
      </c>
      <c r="F117" s="7">
        <f>'[1]MASTER '!$CM$40</f>
        <v>0</v>
      </c>
      <c r="G117" s="7">
        <f>'[1]MASTER '!$CM$41</f>
        <v>3</v>
      </c>
      <c r="H117" s="7">
        <f>'[1]MASTER '!$CM$42</f>
        <v>3</v>
      </c>
      <c r="I117" s="7">
        <f>'[1]MASTER '!$CM$43</f>
        <v>1</v>
      </c>
      <c r="J117" s="7">
        <f>'[1]MASTER '!$CM$44</f>
        <v>4</v>
      </c>
      <c r="K117" s="7">
        <f>'[1]MASTER '!$CM$45</f>
        <v>1</v>
      </c>
      <c r="L117" s="7">
        <f>'[1]MASTER '!$CM$46</f>
        <v>1</v>
      </c>
      <c r="M117" s="7">
        <f>SUM(D117:I117)</f>
        <v>12</v>
      </c>
      <c r="N117" s="147">
        <f>((M117/C117)*100)</f>
        <v>66.666666666666657</v>
      </c>
      <c r="O117" s="7">
        <f>SUM(D117:K117)</f>
        <v>17</v>
      </c>
      <c r="P117" s="8">
        <f>((O117/C117)*100)</f>
        <v>94.444444444444443</v>
      </c>
    </row>
    <row r="118" spans="1:16" ht="13.5" customHeight="1">
      <c r="A118" s="165" t="s">
        <v>28</v>
      </c>
      <c r="B118" s="89" t="s">
        <v>85</v>
      </c>
      <c r="C118" s="204">
        <f t="shared" si="38"/>
        <v>12</v>
      </c>
      <c r="D118" s="7">
        <f>'[5]MASTER '!$CM$37</f>
        <v>0</v>
      </c>
      <c r="E118" s="7">
        <f>'[5]MASTER '!$CM$38</f>
        <v>1</v>
      </c>
      <c r="F118" s="7">
        <f>'[5]MASTER '!$CM$39</f>
        <v>0</v>
      </c>
      <c r="G118" s="7">
        <f>'[5]MASTER '!$CM$40</f>
        <v>0</v>
      </c>
      <c r="H118" s="7">
        <f>'[5]MASTER '!$CM$41</f>
        <v>0</v>
      </c>
      <c r="I118" s="7">
        <f>'[5]MASTER '!$CM$42</f>
        <v>0</v>
      </c>
      <c r="J118" s="7">
        <f>'[5]MASTER '!$CM$43</f>
        <v>2</v>
      </c>
      <c r="K118" s="7">
        <f>'[5]MASTER '!$CM$44</f>
        <v>3</v>
      </c>
      <c r="L118" s="7">
        <f>'[5]MASTER '!$CM$45</f>
        <v>6</v>
      </c>
      <c r="M118" s="7">
        <f>SUM(D118:I118)</f>
        <v>1</v>
      </c>
      <c r="N118" s="147">
        <f>((M118/C118)*100)</f>
        <v>8.3333333333333321</v>
      </c>
      <c r="O118" s="7">
        <f>SUM(D118:K118)</f>
        <v>6</v>
      </c>
      <c r="P118" s="8">
        <f>((O118/C118)*100)</f>
        <v>50</v>
      </c>
    </row>
    <row r="119" spans="1:16" s="5" customFormat="1" ht="12.95">
      <c r="A119" s="160"/>
      <c r="B119" s="161" t="s">
        <v>31</v>
      </c>
      <c r="C119" s="165">
        <f>SUM(C116:C118)</f>
        <v>42</v>
      </c>
      <c r="D119" s="165">
        <f t="shared" ref="D119:L119" si="39">SUM(D116:D118)</f>
        <v>1</v>
      </c>
      <c r="E119" s="165">
        <f t="shared" si="39"/>
        <v>6</v>
      </c>
      <c r="F119" s="165">
        <f t="shared" si="39"/>
        <v>1</v>
      </c>
      <c r="G119" s="165">
        <f t="shared" si="39"/>
        <v>4</v>
      </c>
      <c r="H119" s="165">
        <f t="shared" si="39"/>
        <v>3</v>
      </c>
      <c r="I119" s="165">
        <f t="shared" si="39"/>
        <v>3</v>
      </c>
      <c r="J119" s="165">
        <f t="shared" si="39"/>
        <v>7</v>
      </c>
      <c r="K119" s="165">
        <f t="shared" si="39"/>
        <v>6</v>
      </c>
      <c r="L119" s="165">
        <f t="shared" si="39"/>
        <v>11</v>
      </c>
      <c r="M119" s="165">
        <f>SUM(M116:M118)</f>
        <v>18</v>
      </c>
      <c r="N119" s="9">
        <f>((M119/C119)*100)</f>
        <v>42.857142857142854</v>
      </c>
      <c r="O119" s="165">
        <f>SUM(O116:O118)</f>
        <v>31</v>
      </c>
      <c r="P119" s="9">
        <f>((O119/C119)*100)</f>
        <v>73.80952380952381</v>
      </c>
    </row>
    <row r="120" spans="1:16" s="5" customFormat="1" ht="8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1"/>
      <c r="O120" s="10"/>
      <c r="P120" s="11"/>
    </row>
    <row r="121" spans="1:16" ht="16.5" customHeight="1">
      <c r="A121" s="153" t="s">
        <v>87</v>
      </c>
    </row>
    <row r="122" spans="1:16" ht="12.95">
      <c r="A122" s="155"/>
      <c r="D122" s="2" t="s">
        <v>1</v>
      </c>
      <c r="E122" s="3"/>
      <c r="F122" s="160"/>
      <c r="G122" s="162" t="s">
        <v>2</v>
      </c>
      <c r="H122" s="162"/>
      <c r="I122" s="161"/>
      <c r="J122" s="4" t="s">
        <v>3</v>
      </c>
      <c r="K122" s="3"/>
      <c r="L122" s="165" t="s">
        <v>4</v>
      </c>
    </row>
    <row r="123" spans="1:16" ht="23.25" customHeight="1">
      <c r="A123" s="59" t="s">
        <v>5</v>
      </c>
      <c r="B123" s="59" t="s">
        <v>6</v>
      </c>
      <c r="C123" s="59" t="s">
        <v>7</v>
      </c>
      <c r="D123" s="59" t="s">
        <v>8</v>
      </c>
      <c r="E123" s="59" t="s">
        <v>9</v>
      </c>
      <c r="F123" s="59" t="s">
        <v>10</v>
      </c>
      <c r="G123" s="59" t="s">
        <v>11</v>
      </c>
      <c r="H123" s="59" t="s">
        <v>12</v>
      </c>
      <c r="I123" s="59" t="s">
        <v>13</v>
      </c>
      <c r="J123" s="59" t="s">
        <v>14</v>
      </c>
      <c r="K123" s="59" t="s">
        <v>15</v>
      </c>
      <c r="L123" s="59" t="s">
        <v>16</v>
      </c>
      <c r="M123" s="48" t="s">
        <v>17</v>
      </c>
      <c r="N123" s="48" t="s">
        <v>18</v>
      </c>
      <c r="O123" s="48" t="s">
        <v>19</v>
      </c>
      <c r="P123" s="109" t="s">
        <v>20</v>
      </c>
    </row>
    <row r="124" spans="1:16" ht="13.5" customHeight="1">
      <c r="A124" s="197" t="s">
        <v>21</v>
      </c>
      <c r="B124" s="89" t="s">
        <v>88</v>
      </c>
      <c r="C124" s="204">
        <f t="shared" ref="C124:C127" si="40">SUM(D124:L124)</f>
        <v>8</v>
      </c>
      <c r="D124" s="141">
        <f>'[2]MASTER '!$CW$38</f>
        <v>0</v>
      </c>
      <c r="E124" s="141">
        <f>'[2]MASTER '!$CW$39</f>
        <v>2</v>
      </c>
      <c r="F124" s="141">
        <f>'[2]MASTER '!$CW$40</f>
        <v>3</v>
      </c>
      <c r="G124" s="141">
        <f>'[2]MASTER '!$CW$41</f>
        <v>0</v>
      </c>
      <c r="H124" s="141">
        <f>'[2]MASTER '!$CW$42</f>
        <v>1</v>
      </c>
      <c r="I124" s="141">
        <f>'[2]MASTER '!$CW$43</f>
        <v>1</v>
      </c>
      <c r="J124" s="141">
        <f>'[2]MASTER '!$CW$44</f>
        <v>1</v>
      </c>
      <c r="K124" s="141">
        <f>'[2]MASTER '!$CW$45</f>
        <v>0</v>
      </c>
      <c r="L124" s="141">
        <f>'[2]MASTER '!$CW$46</f>
        <v>0</v>
      </c>
      <c r="M124" s="7">
        <f>SUM(D124:I124)</f>
        <v>7</v>
      </c>
      <c r="N124" s="8">
        <f>((M124/C124)*100)</f>
        <v>87.5</v>
      </c>
      <c r="O124" s="189">
        <f>SUM(D124:K124)</f>
        <v>8</v>
      </c>
      <c r="P124" s="8">
        <f>((O124/C124)*100)</f>
        <v>100</v>
      </c>
    </row>
    <row r="125" spans="1:16" ht="13.5" customHeight="1">
      <c r="A125" s="197" t="s">
        <v>25</v>
      </c>
      <c r="B125" s="89" t="s">
        <v>89</v>
      </c>
      <c r="C125" s="204">
        <f t="shared" si="40"/>
        <v>15</v>
      </c>
      <c r="D125" s="141">
        <f>'[3]MASTER '!$DG$38</f>
        <v>1</v>
      </c>
      <c r="E125" s="141">
        <f>'[3]MASTER '!$DG$39</f>
        <v>8</v>
      </c>
      <c r="F125" s="141">
        <f>'[3]MASTER '!$DG$40</f>
        <v>1</v>
      </c>
      <c r="G125" s="141">
        <f>'[3]MASTER '!$DG$41</f>
        <v>3</v>
      </c>
      <c r="H125" s="141">
        <f>'[3]MASTER '!$DG$42</f>
        <v>1</v>
      </c>
      <c r="I125" s="141">
        <f>'[3]MASTER '!$DG$43</f>
        <v>0</v>
      </c>
      <c r="J125" s="141">
        <f>'[3]MASTER '!$DG$44</f>
        <v>1</v>
      </c>
      <c r="K125" s="141">
        <f>'[3]MASTER '!$DG$45</f>
        <v>0</v>
      </c>
      <c r="L125" s="141">
        <f>'[3]MASTER '!$DG$46</f>
        <v>0</v>
      </c>
      <c r="M125" s="7">
        <f>SUM(D125:I125)</f>
        <v>14</v>
      </c>
      <c r="N125" s="8">
        <f>((M125/C125)*100)</f>
        <v>93.333333333333329</v>
      </c>
      <c r="O125" s="189">
        <f>SUM(D125:K125)</f>
        <v>15</v>
      </c>
      <c r="P125" s="8">
        <f>((O125/C125)*100)</f>
        <v>100</v>
      </c>
    </row>
    <row r="126" spans="1:16" ht="13.5" customHeight="1">
      <c r="A126" s="165" t="s">
        <v>27</v>
      </c>
      <c r="B126" s="194" t="s">
        <v>89</v>
      </c>
      <c r="C126" s="204">
        <f t="shared" si="40"/>
        <v>20</v>
      </c>
      <c r="D126" s="141">
        <f>'[4]MASTER '!$CW$38</f>
        <v>0</v>
      </c>
      <c r="E126" s="141">
        <f>'[4]MASTER '!$CW$39</f>
        <v>9</v>
      </c>
      <c r="F126" s="141">
        <f>'[4]MASTER '!$CW$40</f>
        <v>2</v>
      </c>
      <c r="G126" s="141">
        <f>'[4]MASTER '!$CW$41</f>
        <v>6</v>
      </c>
      <c r="H126" s="141">
        <f>'[4]MASTER '!$CW$42</f>
        <v>1</v>
      </c>
      <c r="I126" s="141">
        <f>'[4]MASTER '!$CW$43</f>
        <v>1</v>
      </c>
      <c r="J126" s="141">
        <f>'[4]MASTER '!$CW$44</f>
        <v>1</v>
      </c>
      <c r="K126" s="141">
        <f>'[4]MASTER '!$CW$45</f>
        <v>0</v>
      </c>
      <c r="L126" s="141">
        <f>'[4]MASTER '!$CW$46</f>
        <v>0</v>
      </c>
      <c r="M126" s="7">
        <f>SUM(D126:I126)</f>
        <v>19</v>
      </c>
      <c r="N126" s="144">
        <f>((M126/C126)*100)</f>
        <v>95</v>
      </c>
      <c r="O126" s="141">
        <f>SUM(D126:K126)</f>
        <v>20</v>
      </c>
      <c r="P126" s="144">
        <f>((O126/C126)*100)</f>
        <v>100</v>
      </c>
    </row>
    <row r="127" spans="1:16" ht="12.75">
      <c r="A127" s="165"/>
      <c r="B127" s="161" t="s">
        <v>31</v>
      </c>
      <c r="C127" s="165">
        <f>SUM(C124:C126)</f>
        <v>43</v>
      </c>
      <c r="D127" s="165">
        <f t="shared" ref="D127:L127" si="41">SUM(D124:D126)</f>
        <v>1</v>
      </c>
      <c r="E127" s="165">
        <f t="shared" si="41"/>
        <v>19</v>
      </c>
      <c r="F127" s="165">
        <f t="shared" si="41"/>
        <v>6</v>
      </c>
      <c r="G127" s="165">
        <f t="shared" si="41"/>
        <v>9</v>
      </c>
      <c r="H127" s="165">
        <f t="shared" si="41"/>
        <v>3</v>
      </c>
      <c r="I127" s="165">
        <f t="shared" si="41"/>
        <v>2</v>
      </c>
      <c r="J127" s="165">
        <f t="shared" si="41"/>
        <v>3</v>
      </c>
      <c r="K127" s="165">
        <f t="shared" si="41"/>
        <v>0</v>
      </c>
      <c r="L127" s="165">
        <f t="shared" si="41"/>
        <v>0</v>
      </c>
      <c r="M127" s="165">
        <f>SUM(M124:M126)</f>
        <v>40</v>
      </c>
      <c r="N127" s="9">
        <f>((M127/C127)*100)</f>
        <v>93.023255813953483</v>
      </c>
      <c r="O127" s="200">
        <f>SUM(O124:O126)</f>
        <v>43</v>
      </c>
      <c r="P127" s="9">
        <f>((O127/C127)*100)</f>
        <v>100</v>
      </c>
    </row>
    <row r="128" spans="1:16" ht="8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1"/>
      <c r="O128" s="10"/>
      <c r="P128" s="11"/>
    </row>
    <row r="129" spans="1:16" ht="15" customHeight="1">
      <c r="A129" s="153" t="s">
        <v>90</v>
      </c>
    </row>
    <row r="130" spans="1:16" ht="12.95">
      <c r="D130" s="229" t="s">
        <v>1</v>
      </c>
      <c r="E130" s="230"/>
      <c r="F130" s="229" t="s">
        <v>2</v>
      </c>
      <c r="G130" s="236"/>
      <c r="H130" s="236"/>
      <c r="I130" s="230"/>
      <c r="J130" s="229" t="s">
        <v>3</v>
      </c>
      <c r="K130" s="230"/>
      <c r="L130" s="165" t="s">
        <v>4</v>
      </c>
    </row>
    <row r="131" spans="1:16" ht="23.25" customHeight="1">
      <c r="A131" s="59" t="s">
        <v>5</v>
      </c>
      <c r="B131" s="59" t="s">
        <v>6</v>
      </c>
      <c r="C131" s="59" t="s">
        <v>7</v>
      </c>
      <c r="D131" s="59" t="s">
        <v>8</v>
      </c>
      <c r="E131" s="59" t="s">
        <v>9</v>
      </c>
      <c r="F131" s="59" t="s">
        <v>10</v>
      </c>
      <c r="G131" s="59" t="s">
        <v>11</v>
      </c>
      <c r="H131" s="59" t="s">
        <v>12</v>
      </c>
      <c r="I131" s="59" t="s">
        <v>13</v>
      </c>
      <c r="J131" s="59" t="s">
        <v>14</v>
      </c>
      <c r="K131" s="59" t="s">
        <v>15</v>
      </c>
      <c r="L131" s="59" t="s">
        <v>16</v>
      </c>
      <c r="M131" s="48" t="s">
        <v>17</v>
      </c>
      <c r="N131" s="48" t="s">
        <v>18</v>
      </c>
      <c r="O131" s="48" t="s">
        <v>19</v>
      </c>
      <c r="P131" s="109" t="s">
        <v>20</v>
      </c>
    </row>
    <row r="132" spans="1:16" ht="12.75">
      <c r="A132" s="59" t="s">
        <v>28</v>
      </c>
      <c r="B132" s="107" t="s">
        <v>91</v>
      </c>
      <c r="C132" s="204">
        <f t="shared" ref="C132" si="42">SUM(D132:L132)</f>
        <v>23</v>
      </c>
      <c r="D132" s="146">
        <f>'[5]MASTER '!$AY$37</f>
        <v>0</v>
      </c>
      <c r="E132" s="146">
        <f>'[5]MASTER '!$AY$38</f>
        <v>2</v>
      </c>
      <c r="F132" s="146">
        <f>'[5]MASTER '!$AY$39</f>
        <v>2</v>
      </c>
      <c r="G132" s="146">
        <f>'[5]MASTER '!$AY$40</f>
        <v>3</v>
      </c>
      <c r="H132" s="146">
        <f>'[5]MASTER '!$AY$41</f>
        <v>3</v>
      </c>
      <c r="I132" s="146">
        <f>'[5]MASTER '!$AY$42</f>
        <v>3</v>
      </c>
      <c r="J132" s="146">
        <f>'[5]MASTER '!$AY$43</f>
        <v>9</v>
      </c>
      <c r="K132" s="146">
        <f>'[5]MASTER '!$AY$44</f>
        <v>0</v>
      </c>
      <c r="L132" s="146">
        <f>'[5]MASTER '!$AY$45</f>
        <v>1</v>
      </c>
      <c r="M132" s="159">
        <f>SUM(D132:I132)</f>
        <v>13</v>
      </c>
      <c r="N132" s="144">
        <f>((M132/C132)*100)</f>
        <v>56.521739130434781</v>
      </c>
      <c r="O132" s="159">
        <f>SUM(D132:K132)</f>
        <v>22</v>
      </c>
      <c r="P132" s="8">
        <f>((O132/C132)*100)</f>
        <v>95.652173913043484</v>
      </c>
    </row>
    <row r="133" spans="1:16" ht="12.95">
      <c r="A133" s="160"/>
      <c r="B133" s="161" t="s">
        <v>31</v>
      </c>
      <c r="C133" s="165">
        <f>SUM(C132:C132)</f>
        <v>23</v>
      </c>
      <c r="D133" s="165">
        <f t="shared" ref="D133:L133" si="43">SUM(D132:D132)</f>
        <v>0</v>
      </c>
      <c r="E133" s="165">
        <f t="shared" si="43"/>
        <v>2</v>
      </c>
      <c r="F133" s="165">
        <f t="shared" si="43"/>
        <v>2</v>
      </c>
      <c r="G133" s="165">
        <f t="shared" si="43"/>
        <v>3</v>
      </c>
      <c r="H133" s="165">
        <f t="shared" si="43"/>
        <v>3</v>
      </c>
      <c r="I133" s="165">
        <f t="shared" si="43"/>
        <v>3</v>
      </c>
      <c r="J133" s="165">
        <f t="shared" si="43"/>
        <v>9</v>
      </c>
      <c r="K133" s="165">
        <f t="shared" si="43"/>
        <v>0</v>
      </c>
      <c r="L133" s="165">
        <f t="shared" si="43"/>
        <v>1</v>
      </c>
      <c r="M133" s="165">
        <f>SUM(M132)</f>
        <v>13</v>
      </c>
      <c r="N133" s="9">
        <f>((M133/C133)*100)</f>
        <v>56.521739130434781</v>
      </c>
      <c r="O133" s="165">
        <f>SUM(O132)</f>
        <v>22</v>
      </c>
      <c r="P133" s="9">
        <f>((O133/C133)*100)</f>
        <v>95.652173913043484</v>
      </c>
    </row>
    <row r="134" spans="1:16" ht="12.95" hidden="1">
      <c r="A134" s="160"/>
      <c r="B134" s="161" t="s">
        <v>31</v>
      </c>
      <c r="C134" s="165">
        <f t="shared" ref="C134:M134" si="44">SUM(C133:C133)</f>
        <v>23</v>
      </c>
      <c r="D134" s="165">
        <f t="shared" si="44"/>
        <v>0</v>
      </c>
      <c r="E134" s="165">
        <f t="shared" si="44"/>
        <v>2</v>
      </c>
      <c r="F134" s="165">
        <f t="shared" si="44"/>
        <v>2</v>
      </c>
      <c r="G134" s="165">
        <f t="shared" si="44"/>
        <v>3</v>
      </c>
      <c r="H134" s="165">
        <f t="shared" si="44"/>
        <v>3</v>
      </c>
      <c r="I134" s="165">
        <f t="shared" si="44"/>
        <v>3</v>
      </c>
      <c r="J134" s="165">
        <f t="shared" si="44"/>
        <v>9</v>
      </c>
      <c r="K134" s="165">
        <f t="shared" si="44"/>
        <v>0</v>
      </c>
      <c r="L134" s="165">
        <f t="shared" si="44"/>
        <v>1</v>
      </c>
      <c r="M134" s="165">
        <f t="shared" si="44"/>
        <v>13</v>
      </c>
      <c r="N134" s="9">
        <f>((M134/C134)*100)</f>
        <v>56.521739130434781</v>
      </c>
      <c r="O134" s="165">
        <f>SUM(O133:O133)</f>
        <v>22</v>
      </c>
      <c r="P134" s="9">
        <f>((O134/C134)*100)</f>
        <v>95.652173913043484</v>
      </c>
    </row>
    <row r="135" spans="1:16" ht="10.5" hidden="1" customHeight="1">
      <c r="A135" s="1" t="s">
        <v>92</v>
      </c>
    </row>
    <row r="136" spans="1:16" ht="14.25" hidden="1" customHeight="1">
      <c r="D136" s="2" t="s">
        <v>1</v>
      </c>
      <c r="E136" s="3"/>
      <c r="F136" s="160"/>
      <c r="G136" s="162" t="s">
        <v>2</v>
      </c>
      <c r="H136" s="162"/>
      <c r="I136" s="161"/>
      <c r="J136" s="4" t="s">
        <v>3</v>
      </c>
      <c r="K136" s="3"/>
      <c r="L136" s="165" t="s">
        <v>4</v>
      </c>
    </row>
    <row r="137" spans="1:16" ht="26.1" hidden="1">
      <c r="A137" s="165" t="s">
        <v>5</v>
      </c>
      <c r="B137" s="165" t="s">
        <v>6</v>
      </c>
      <c r="C137" s="165" t="s">
        <v>7</v>
      </c>
      <c r="D137" s="165">
        <v>1</v>
      </c>
      <c r="E137" s="165">
        <v>2</v>
      </c>
      <c r="F137" s="165">
        <v>3</v>
      </c>
      <c r="G137" s="165">
        <v>4</v>
      </c>
      <c r="H137" s="165">
        <v>5</v>
      </c>
      <c r="I137" s="165">
        <v>6</v>
      </c>
      <c r="J137" s="165">
        <v>7</v>
      </c>
      <c r="K137" s="165">
        <v>8</v>
      </c>
      <c r="L137" s="165">
        <v>9</v>
      </c>
      <c r="M137" s="6" t="s">
        <v>17</v>
      </c>
      <c r="N137" s="6" t="s">
        <v>18</v>
      </c>
      <c r="O137" s="6" t="s">
        <v>19</v>
      </c>
      <c r="P137" s="110" t="s">
        <v>20</v>
      </c>
    </row>
    <row r="138" spans="1:16" s="5" customFormat="1" ht="12.95" hidden="1">
      <c r="A138" s="165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7">
        <f>SUM(D138:I138)</f>
        <v>0</v>
      </c>
      <c r="N138" s="8" t="e">
        <f>((M138/C138)*100)</f>
        <v>#DIV/0!</v>
      </c>
      <c r="O138" s="7">
        <f>SUM(D138:K138)</f>
        <v>0</v>
      </c>
      <c r="P138" s="8" t="e">
        <f>((O138/C138)*100)</f>
        <v>#DIV/0!</v>
      </c>
    </row>
    <row r="139" spans="1:16" ht="12.95" hidden="1">
      <c r="A139" s="160"/>
      <c r="B139" s="161" t="s">
        <v>31</v>
      </c>
      <c r="C139" s="165">
        <f t="shared" ref="C139:M139" si="45">SUM(C138:C138)</f>
        <v>0</v>
      </c>
      <c r="D139" s="165">
        <f t="shared" si="45"/>
        <v>0</v>
      </c>
      <c r="E139" s="165">
        <f t="shared" si="45"/>
        <v>0</v>
      </c>
      <c r="F139" s="165">
        <f t="shared" si="45"/>
        <v>0</v>
      </c>
      <c r="G139" s="165">
        <f t="shared" si="45"/>
        <v>0</v>
      </c>
      <c r="H139" s="165">
        <f t="shared" si="45"/>
        <v>0</v>
      </c>
      <c r="I139" s="165">
        <f t="shared" si="45"/>
        <v>0</v>
      </c>
      <c r="J139" s="165">
        <f t="shared" si="45"/>
        <v>0</v>
      </c>
      <c r="K139" s="165">
        <f t="shared" si="45"/>
        <v>0</v>
      </c>
      <c r="L139" s="165">
        <f t="shared" si="45"/>
        <v>0</v>
      </c>
      <c r="M139" s="165">
        <f t="shared" si="45"/>
        <v>0</v>
      </c>
      <c r="N139" s="9" t="e">
        <f>((M139/C139)*100)</f>
        <v>#DIV/0!</v>
      </c>
      <c r="O139" s="165">
        <f>SUM(O138:O138)</f>
        <v>0</v>
      </c>
      <c r="P139" s="9" t="e">
        <f>((O139/C139)*100)</f>
        <v>#DIV/0!</v>
      </c>
    </row>
    <row r="140" spans="1:16" ht="7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1"/>
      <c r="O140" s="10"/>
      <c r="P140" s="11"/>
    </row>
    <row r="141" spans="1:16" ht="18">
      <c r="A141" s="153" t="s">
        <v>93</v>
      </c>
    </row>
    <row r="142" spans="1:16" ht="12.95">
      <c r="D142" s="229" t="s">
        <v>1</v>
      </c>
      <c r="E142" s="230"/>
      <c r="F142" s="229" t="s">
        <v>2</v>
      </c>
      <c r="G142" s="236"/>
      <c r="H142" s="236"/>
      <c r="I142" s="230"/>
      <c r="J142" s="229" t="s">
        <v>3</v>
      </c>
      <c r="K142" s="230"/>
      <c r="L142" s="165" t="s">
        <v>4</v>
      </c>
    </row>
    <row r="143" spans="1:16" ht="26.1">
      <c r="A143" s="59" t="s">
        <v>5</v>
      </c>
      <c r="B143" s="59" t="s">
        <v>6</v>
      </c>
      <c r="C143" s="59" t="s">
        <v>7</v>
      </c>
      <c r="D143" s="59" t="s">
        <v>8</v>
      </c>
      <c r="E143" s="59" t="s">
        <v>9</v>
      </c>
      <c r="F143" s="59" t="s">
        <v>10</v>
      </c>
      <c r="G143" s="59" t="s">
        <v>11</v>
      </c>
      <c r="H143" s="59" t="s">
        <v>12</v>
      </c>
      <c r="I143" s="59" t="s">
        <v>13</v>
      </c>
      <c r="J143" s="59" t="s">
        <v>14</v>
      </c>
      <c r="K143" s="59" t="s">
        <v>15</v>
      </c>
      <c r="L143" s="59" t="s">
        <v>16</v>
      </c>
      <c r="M143" s="48" t="s">
        <v>17</v>
      </c>
      <c r="N143" s="48" t="s">
        <v>18</v>
      </c>
      <c r="O143" s="48" t="s">
        <v>19</v>
      </c>
      <c r="P143" s="109" t="s">
        <v>20</v>
      </c>
    </row>
    <row r="144" spans="1:16" ht="14.25" customHeight="1">
      <c r="A144" s="197" t="s">
        <v>25</v>
      </c>
      <c r="B144" s="89" t="s">
        <v>94</v>
      </c>
      <c r="C144" s="204">
        <f t="shared" ref="C144:C145" si="46">SUM(D144:L144)</f>
        <v>8</v>
      </c>
      <c r="D144" s="141">
        <f>'[3]MASTER '!$CM$38</f>
        <v>0</v>
      </c>
      <c r="E144" s="141">
        <f>'[3]MASTER '!$CM$39</f>
        <v>0</v>
      </c>
      <c r="F144" s="141">
        <f>'[3]MASTER '!$CM$40</f>
        <v>0</v>
      </c>
      <c r="G144" s="141">
        <f>'[3]MASTER '!$CM$41</f>
        <v>2</v>
      </c>
      <c r="H144" s="141">
        <f>'[3]MASTER '!$CM$42</f>
        <v>1</v>
      </c>
      <c r="I144" s="141">
        <f>'[3]MASTER '!$CM$43</f>
        <v>1</v>
      </c>
      <c r="J144" s="141">
        <f>'[3]MASTER '!$CM$44</f>
        <v>0</v>
      </c>
      <c r="K144" s="141">
        <f>'[3]MASTER '!$CM$45</f>
        <v>3</v>
      </c>
      <c r="L144" s="141">
        <f>'[3]MASTER '!$CM$46</f>
        <v>1</v>
      </c>
      <c r="M144" s="7">
        <f>SUM(D144:I144)</f>
        <v>4</v>
      </c>
      <c r="N144" s="8">
        <f>((M144/C144)*100)</f>
        <v>50</v>
      </c>
      <c r="O144" s="7">
        <f>SUM(D144:K144)</f>
        <v>7</v>
      </c>
      <c r="P144" s="8">
        <f>((O144/C144)*100)</f>
        <v>87.5</v>
      </c>
    </row>
    <row r="145" spans="1:16" ht="14.25" customHeight="1">
      <c r="A145" s="165" t="s">
        <v>27</v>
      </c>
      <c r="B145" s="89" t="s">
        <v>95</v>
      </c>
      <c r="C145" s="204">
        <f t="shared" si="46"/>
        <v>9</v>
      </c>
      <c r="D145" s="141">
        <f>'[4]MASTER '!$CM$38</f>
        <v>0</v>
      </c>
      <c r="E145" s="141">
        <f>'[4]MASTER '!$CM$39</f>
        <v>0</v>
      </c>
      <c r="F145" s="141">
        <f>'[4]MASTER '!$CM$40</f>
        <v>0</v>
      </c>
      <c r="G145" s="141">
        <f>'[4]MASTER '!$CM$41</f>
        <v>0</v>
      </c>
      <c r="H145" s="141">
        <f>'[4]MASTER '!$CM$42</f>
        <v>0</v>
      </c>
      <c r="I145" s="141">
        <f>'[4]MASTER '!$CM$43</f>
        <v>0</v>
      </c>
      <c r="J145" s="141">
        <f>'[4]MASTER '!$CM$44</f>
        <v>3</v>
      </c>
      <c r="K145" s="141">
        <f>'[4]MASTER '!$CM$45</f>
        <v>2</v>
      </c>
      <c r="L145" s="141">
        <f>'[4]MASTER '!$CM$46</f>
        <v>4</v>
      </c>
      <c r="M145" s="7">
        <f>SUM(D145:I145)</f>
        <v>0</v>
      </c>
      <c r="N145" s="8">
        <f>((M145/C145)*100)</f>
        <v>0</v>
      </c>
      <c r="O145" s="7">
        <f>SUM(D145:K145)</f>
        <v>5</v>
      </c>
      <c r="P145" s="8">
        <f>((O145/C145)*100)</f>
        <v>55.555555555555557</v>
      </c>
    </row>
    <row r="146" spans="1:16" ht="13.5" customHeight="1">
      <c r="A146" s="160"/>
      <c r="B146" s="161" t="s">
        <v>31</v>
      </c>
      <c r="C146" s="165">
        <f>SUM(C144:C145)</f>
        <v>17</v>
      </c>
      <c r="D146" s="165">
        <f t="shared" ref="D146:L146" si="47">SUM(D144:D145)</f>
        <v>0</v>
      </c>
      <c r="E146" s="165">
        <f t="shared" si="47"/>
        <v>0</v>
      </c>
      <c r="F146" s="165">
        <f t="shared" si="47"/>
        <v>0</v>
      </c>
      <c r="G146" s="165">
        <f t="shared" si="47"/>
        <v>2</v>
      </c>
      <c r="H146" s="165">
        <f t="shared" si="47"/>
        <v>1</v>
      </c>
      <c r="I146" s="165">
        <f t="shared" si="47"/>
        <v>1</v>
      </c>
      <c r="J146" s="165">
        <f t="shared" si="47"/>
        <v>3</v>
      </c>
      <c r="K146" s="165">
        <f t="shared" si="47"/>
        <v>5</v>
      </c>
      <c r="L146" s="165">
        <f t="shared" si="47"/>
        <v>5</v>
      </c>
      <c r="M146" s="165">
        <f>SUM(M144:M145)</f>
        <v>4</v>
      </c>
      <c r="N146" s="9">
        <f>((M146/C146)*100)</f>
        <v>23.52941176470588</v>
      </c>
      <c r="O146" s="165">
        <f>SUM(O144:O145)</f>
        <v>12</v>
      </c>
      <c r="P146" s="9">
        <f>((O146/C146)*100)</f>
        <v>70.588235294117652</v>
      </c>
    </row>
    <row r="147" spans="1:16" ht="6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1"/>
      <c r="O147" s="10"/>
      <c r="P147" s="11"/>
    </row>
    <row r="148" spans="1:16" ht="21" hidden="1" customHeight="1">
      <c r="A148" s="153" t="s">
        <v>96</v>
      </c>
    </row>
    <row r="149" spans="1:16" ht="13.5" hidden="1" customHeight="1">
      <c r="D149" s="229" t="s">
        <v>1</v>
      </c>
      <c r="E149" s="230"/>
      <c r="F149" s="229" t="s">
        <v>2</v>
      </c>
      <c r="G149" s="236"/>
      <c r="H149" s="236"/>
      <c r="I149" s="230"/>
      <c r="J149" s="229" t="s">
        <v>3</v>
      </c>
      <c r="K149" s="230"/>
      <c r="L149" s="165" t="s">
        <v>4</v>
      </c>
    </row>
    <row r="150" spans="1:16" ht="26.1" hidden="1">
      <c r="A150" s="59" t="s">
        <v>5</v>
      </c>
      <c r="B150" s="59" t="s">
        <v>6</v>
      </c>
      <c r="C150" s="59" t="s">
        <v>7</v>
      </c>
      <c r="D150" s="59" t="s">
        <v>8</v>
      </c>
      <c r="E150" s="59" t="s">
        <v>9</v>
      </c>
      <c r="F150" s="59" t="s">
        <v>10</v>
      </c>
      <c r="G150" s="59" t="s">
        <v>11</v>
      </c>
      <c r="H150" s="59" t="s">
        <v>12</v>
      </c>
      <c r="I150" s="59" t="s">
        <v>13</v>
      </c>
      <c r="J150" s="59" t="s">
        <v>14</v>
      </c>
      <c r="K150" s="59" t="s">
        <v>15</v>
      </c>
      <c r="L150" s="59" t="s">
        <v>16</v>
      </c>
      <c r="M150" s="48" t="s">
        <v>17</v>
      </c>
      <c r="N150" s="48" t="s">
        <v>18</v>
      </c>
      <c r="O150" s="48" t="s">
        <v>19</v>
      </c>
      <c r="P150" s="109" t="s">
        <v>20</v>
      </c>
    </row>
    <row r="151" spans="1:16" ht="12.75" hidden="1">
      <c r="A151" s="165"/>
      <c r="B151" s="89"/>
      <c r="C151" s="204">
        <f t="shared" ref="C151" si="48">SUM(D151:L151)</f>
        <v>0</v>
      </c>
      <c r="D151" s="141"/>
      <c r="E151" s="141"/>
      <c r="F151" s="141"/>
      <c r="G151" s="141"/>
      <c r="H151" s="141"/>
      <c r="I151" s="141"/>
      <c r="J151" s="141"/>
      <c r="K151" s="141"/>
      <c r="L151" s="141"/>
      <c r="M151" s="7">
        <f>SUM(D151:I151)</f>
        <v>0</v>
      </c>
      <c r="N151" s="8" t="e">
        <f>((M151/C151)*100)</f>
        <v>#DIV/0!</v>
      </c>
      <c r="O151" s="7">
        <f>SUM(D151:K151)</f>
        <v>0</v>
      </c>
      <c r="P151" s="8" t="e">
        <f>((O151/C151)*100)</f>
        <v>#DIV/0!</v>
      </c>
    </row>
    <row r="152" spans="1:16" ht="12.95" hidden="1">
      <c r="A152" s="160"/>
      <c r="B152" s="161" t="s">
        <v>31</v>
      </c>
      <c r="C152" s="165">
        <f>SUM(C151:C151)</f>
        <v>0</v>
      </c>
      <c r="D152" s="165">
        <f t="shared" ref="D152:L152" si="49">SUM(D151:D151)</f>
        <v>0</v>
      </c>
      <c r="E152" s="165">
        <f t="shared" si="49"/>
        <v>0</v>
      </c>
      <c r="F152" s="165">
        <f t="shared" si="49"/>
        <v>0</v>
      </c>
      <c r="G152" s="165">
        <f t="shared" si="49"/>
        <v>0</v>
      </c>
      <c r="H152" s="165">
        <f t="shared" si="49"/>
        <v>0</v>
      </c>
      <c r="I152" s="165">
        <f t="shared" si="49"/>
        <v>0</v>
      </c>
      <c r="J152" s="165">
        <f t="shared" si="49"/>
        <v>0</v>
      </c>
      <c r="K152" s="165">
        <f t="shared" si="49"/>
        <v>0</v>
      </c>
      <c r="L152" s="165">
        <f t="shared" si="49"/>
        <v>0</v>
      </c>
      <c r="M152" s="165">
        <f>SUM(M151:M151)</f>
        <v>0</v>
      </c>
      <c r="N152" s="9" t="e">
        <f>((M152/C152)*100)</f>
        <v>#DIV/0!</v>
      </c>
      <c r="O152" s="165">
        <f>SUM(O151:O151)</f>
        <v>0</v>
      </c>
      <c r="P152" s="9" t="e">
        <f>((O152/C152)*100)</f>
        <v>#DIV/0!</v>
      </c>
    </row>
    <row r="153" spans="1:16" ht="44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1"/>
      <c r="O153" s="10"/>
      <c r="P153" s="11"/>
    </row>
    <row r="154" spans="1:16" ht="18">
      <c r="A154" s="153" t="s">
        <v>97</v>
      </c>
    </row>
    <row r="155" spans="1:16" ht="12.95">
      <c r="D155" s="2" t="s">
        <v>1</v>
      </c>
      <c r="E155" s="3"/>
      <c r="F155" s="160"/>
      <c r="G155" s="162" t="s">
        <v>2</v>
      </c>
      <c r="H155" s="162"/>
      <c r="I155" s="161"/>
      <c r="J155" s="4" t="s">
        <v>3</v>
      </c>
      <c r="K155" s="3"/>
      <c r="L155" s="165" t="s">
        <v>4</v>
      </c>
    </row>
    <row r="156" spans="1:16" ht="26.1">
      <c r="A156" s="59" t="s">
        <v>5</v>
      </c>
      <c r="B156" s="59" t="s">
        <v>6</v>
      </c>
      <c r="C156" s="59" t="s">
        <v>7</v>
      </c>
      <c r="D156" s="59" t="s">
        <v>8</v>
      </c>
      <c r="E156" s="59" t="s">
        <v>9</v>
      </c>
      <c r="F156" s="59" t="s">
        <v>10</v>
      </c>
      <c r="G156" s="59" t="s">
        <v>11</v>
      </c>
      <c r="H156" s="59" t="s">
        <v>12</v>
      </c>
      <c r="I156" s="59" t="s">
        <v>13</v>
      </c>
      <c r="J156" s="59" t="s">
        <v>14</v>
      </c>
      <c r="K156" s="59" t="s">
        <v>15</v>
      </c>
      <c r="L156" s="59" t="s">
        <v>16</v>
      </c>
      <c r="M156" s="48" t="s">
        <v>17</v>
      </c>
      <c r="N156" s="48" t="s">
        <v>18</v>
      </c>
      <c r="O156" s="48" t="s">
        <v>19</v>
      </c>
      <c r="P156" s="109" t="s">
        <v>20</v>
      </c>
    </row>
    <row r="157" spans="1:16" ht="12.75">
      <c r="A157" s="165" t="s">
        <v>29</v>
      </c>
      <c r="B157" s="89" t="s">
        <v>98</v>
      </c>
      <c r="C157" s="204">
        <f t="shared" ref="C157:C158" si="50">SUM(D157:L157)</f>
        <v>11</v>
      </c>
      <c r="D157" s="141">
        <f>'[6]MASTER '!$CM$38</f>
        <v>0</v>
      </c>
      <c r="E157" s="141">
        <f>'[6]MASTER '!$CM$39</f>
        <v>0</v>
      </c>
      <c r="F157" s="141">
        <f>'[6]MASTER '!$CM$40</f>
        <v>0</v>
      </c>
      <c r="G157" s="141">
        <f>'[6]MASTER '!$CM$41</f>
        <v>0</v>
      </c>
      <c r="H157" s="141">
        <f>'[6]MASTER '!$CM$42</f>
        <v>2</v>
      </c>
      <c r="I157" s="141">
        <f>'[6]MASTER '!$CM$43</f>
        <v>6</v>
      </c>
      <c r="J157" s="141">
        <f>'[6]MASTER '!$CM$44</f>
        <v>3</v>
      </c>
      <c r="K157" s="141">
        <f>'[6]MASTER '!$CM$45</f>
        <v>0</v>
      </c>
      <c r="L157" s="141">
        <f>'[6]MASTER '!$CM$46</f>
        <v>0</v>
      </c>
      <c r="M157" s="7">
        <f>SUM(D157:I157)</f>
        <v>8</v>
      </c>
      <c r="N157" s="39">
        <f>((M157/C157)*100)</f>
        <v>72.727272727272734</v>
      </c>
      <c r="O157" s="7">
        <f>SUM(D157:K157)</f>
        <v>11</v>
      </c>
      <c r="P157" s="8">
        <f>((O157/C157)*100)</f>
        <v>100</v>
      </c>
    </row>
    <row r="158" spans="1:16" ht="12.75">
      <c r="A158" s="165" t="s">
        <v>80</v>
      </c>
      <c r="B158" s="89" t="s">
        <v>98</v>
      </c>
      <c r="C158" s="204">
        <f t="shared" si="50"/>
        <v>10</v>
      </c>
      <c r="D158" s="141">
        <f>'[7]MASTER '!$CM$37</f>
        <v>0</v>
      </c>
      <c r="E158" s="141">
        <f>'[7]MASTER '!$CM$38</f>
        <v>0</v>
      </c>
      <c r="F158" s="141">
        <f>'[7]MASTER '!$CM$39</f>
        <v>0</v>
      </c>
      <c r="G158" s="141">
        <f>'[7]MASTER '!$CM$40</f>
        <v>1</v>
      </c>
      <c r="H158" s="141">
        <f>'[7]MASTER '!$CM$41</f>
        <v>7</v>
      </c>
      <c r="I158" s="141">
        <f>'[7]MASTER '!$CM$42</f>
        <v>1</v>
      </c>
      <c r="J158" s="141">
        <f>'[7]MASTER '!$CM$43</f>
        <v>0</v>
      </c>
      <c r="K158" s="141">
        <f>'[7]MASTER '!$CM$44</f>
        <v>0</v>
      </c>
      <c r="L158" s="141">
        <f>'[7]MASTER '!$CM$45</f>
        <v>1</v>
      </c>
      <c r="M158" s="7">
        <f>SUM(D158:I158)</f>
        <v>9</v>
      </c>
      <c r="N158" s="39">
        <f>((M158/C158)*100)</f>
        <v>90</v>
      </c>
      <c r="O158" s="7">
        <f>SUM(D158:K158)</f>
        <v>9</v>
      </c>
      <c r="P158" s="8">
        <f>((O158/C158)*100)</f>
        <v>90</v>
      </c>
    </row>
    <row r="159" spans="1:16" ht="13.5" customHeight="1">
      <c r="A159" s="160"/>
      <c r="B159" s="161" t="s">
        <v>31</v>
      </c>
      <c r="C159" s="165">
        <f>SUM(C157:C158)</f>
        <v>21</v>
      </c>
      <c r="D159" s="165">
        <f t="shared" ref="D159:L159" si="51">SUM(D157:D158)</f>
        <v>0</v>
      </c>
      <c r="E159" s="165">
        <f t="shared" si="51"/>
        <v>0</v>
      </c>
      <c r="F159" s="165">
        <f t="shared" si="51"/>
        <v>0</v>
      </c>
      <c r="G159" s="165">
        <f t="shared" si="51"/>
        <v>1</v>
      </c>
      <c r="H159" s="165">
        <f t="shared" si="51"/>
        <v>9</v>
      </c>
      <c r="I159" s="165">
        <f t="shared" si="51"/>
        <v>7</v>
      </c>
      <c r="J159" s="165">
        <f t="shared" si="51"/>
        <v>3</v>
      </c>
      <c r="K159" s="165">
        <f>SUM(K157:K158)</f>
        <v>0</v>
      </c>
      <c r="L159" s="165">
        <f t="shared" si="51"/>
        <v>1</v>
      </c>
      <c r="M159" s="165">
        <f>SUM(M157:M158)</f>
        <v>17</v>
      </c>
      <c r="N159" s="9">
        <f>((M159/C159)*100)</f>
        <v>80.952380952380949</v>
      </c>
      <c r="O159" s="165">
        <f>SUM(D159:K159)</f>
        <v>20</v>
      </c>
      <c r="P159" s="9">
        <f>((O159/C159)*100)</f>
        <v>95.238095238095227</v>
      </c>
    </row>
    <row r="160" spans="1:16" ht="12" hidden="1" customHeight="1">
      <c r="A160" s="12"/>
    </row>
    <row r="161" spans="1:16" ht="3.75" customHeight="1">
      <c r="A161" s="12"/>
    </row>
    <row r="162" spans="1:16" ht="15.75" customHeight="1">
      <c r="A162" s="153" t="s">
        <v>99</v>
      </c>
    </row>
    <row r="163" spans="1:16" s="5" customFormat="1" ht="12.95">
      <c r="A163" s="155"/>
      <c r="B163"/>
      <c r="C163"/>
      <c r="D163" s="2" t="s">
        <v>1</v>
      </c>
      <c r="E163" s="3"/>
      <c r="F163" s="160"/>
      <c r="G163" s="162" t="s">
        <v>2</v>
      </c>
      <c r="H163" s="162"/>
      <c r="I163" s="161"/>
      <c r="J163" s="4" t="s">
        <v>3</v>
      </c>
      <c r="K163" s="3"/>
      <c r="L163" s="165" t="s">
        <v>4</v>
      </c>
      <c r="M163"/>
      <c r="N163"/>
      <c r="O163"/>
      <c r="P163" s="108"/>
    </row>
    <row r="164" spans="1:16" s="5" customFormat="1" ht="26.1">
      <c r="A164" s="156"/>
      <c r="B164" s="165" t="s">
        <v>6</v>
      </c>
      <c r="C164" s="165" t="s">
        <v>7</v>
      </c>
      <c r="D164" s="59" t="s">
        <v>8</v>
      </c>
      <c r="E164" s="59" t="s">
        <v>9</v>
      </c>
      <c r="F164" s="59" t="s">
        <v>10</v>
      </c>
      <c r="G164" s="59" t="s">
        <v>11</v>
      </c>
      <c r="H164" s="59" t="s">
        <v>12</v>
      </c>
      <c r="I164" s="59" t="s">
        <v>13</v>
      </c>
      <c r="J164" s="59" t="s">
        <v>14</v>
      </c>
      <c r="K164" s="59" t="s">
        <v>15</v>
      </c>
      <c r="L164" s="59" t="s">
        <v>16</v>
      </c>
      <c r="M164" s="6" t="s">
        <v>17</v>
      </c>
      <c r="N164" s="6" t="s">
        <v>18</v>
      </c>
      <c r="O164" s="6" t="s">
        <v>19</v>
      </c>
      <c r="P164" s="110" t="s">
        <v>20</v>
      </c>
    </row>
    <row r="165" spans="1:16" s="5" customFormat="1" ht="12.75">
      <c r="A165" s="197" t="s">
        <v>25</v>
      </c>
      <c r="B165" s="141" t="s">
        <v>100</v>
      </c>
      <c r="C165" s="204">
        <f t="shared" ref="C165:C166" si="52">SUM(D165:L165)</f>
        <v>23</v>
      </c>
      <c r="D165" s="146">
        <f>'[3]MASTER '!$AY$38</f>
        <v>0</v>
      </c>
      <c r="E165" s="146">
        <f>'[3]MASTER '!$AY$39</f>
        <v>1</v>
      </c>
      <c r="F165" s="146">
        <f>'[3]MASTER '!$AY$40</f>
        <v>0</v>
      </c>
      <c r="G165" s="146">
        <f>'[3]MASTER '!$AY$41</f>
        <v>4</v>
      </c>
      <c r="H165" s="146">
        <f>'[3]MASTER '!$AY$42</f>
        <v>5</v>
      </c>
      <c r="I165" s="146">
        <f>'[3]MASTER '!$AY$43</f>
        <v>0</v>
      </c>
      <c r="J165" s="146">
        <f>'[3]MASTER '!$AY$44</f>
        <v>8</v>
      </c>
      <c r="K165" s="146">
        <f>'[3]MASTER '!$AY$45</f>
        <v>3</v>
      </c>
      <c r="L165" s="146">
        <f>'[3]MASTER '!$AY$46</f>
        <v>2</v>
      </c>
      <c r="M165" s="7">
        <f>SUM(D165:I165)</f>
        <v>10</v>
      </c>
      <c r="N165" s="39">
        <f>((M165/C165)*100)</f>
        <v>43.478260869565219</v>
      </c>
      <c r="O165" s="7">
        <f>SUM(D165:K165)</f>
        <v>21</v>
      </c>
      <c r="P165" s="8">
        <f>((O165/C165)*100)</f>
        <v>91.304347826086953</v>
      </c>
    </row>
    <row r="166" spans="1:16" ht="12.75">
      <c r="A166" s="165" t="s">
        <v>27</v>
      </c>
      <c r="B166" s="64" t="s">
        <v>100</v>
      </c>
      <c r="C166" s="204">
        <f t="shared" si="52"/>
        <v>20</v>
      </c>
      <c r="D166" s="64">
        <f>'[4]MASTER '!$AY$38</f>
        <v>0</v>
      </c>
      <c r="E166" s="64">
        <f>'[4]MASTER '!$AY$39</f>
        <v>2</v>
      </c>
      <c r="F166" s="64">
        <f>'[4]MASTER '!$AY$40</f>
        <v>1</v>
      </c>
      <c r="G166" s="64">
        <f>'[4]MASTER '!$AY$41</f>
        <v>4</v>
      </c>
      <c r="H166" s="64">
        <f>'[4]MASTER '!$AY$42</f>
        <v>1</v>
      </c>
      <c r="I166" s="64">
        <f>'[4]MASTER '!$AY$43</f>
        <v>3</v>
      </c>
      <c r="J166" s="64">
        <f>'[4]MASTER '!$AY$44</f>
        <v>5</v>
      </c>
      <c r="K166" s="64">
        <f>'[4]MASTER '!$AY$45</f>
        <v>3</v>
      </c>
      <c r="L166" s="64">
        <f>'[4]MASTER '!$AY$46</f>
        <v>1</v>
      </c>
      <c r="M166" s="7">
        <f>SUM(D166:I166)</f>
        <v>11</v>
      </c>
      <c r="N166" s="39">
        <f>((M166/C166)*100)</f>
        <v>55.000000000000007</v>
      </c>
      <c r="O166" s="7">
        <f>SUM(D166:K166)</f>
        <v>19</v>
      </c>
      <c r="P166" s="8">
        <f>((O166/C166)*100)</f>
        <v>95</v>
      </c>
    </row>
    <row r="167" spans="1:16" s="5" customFormat="1" ht="12.95">
      <c r="A167" s="165"/>
      <c r="B167" s="161" t="s">
        <v>31</v>
      </c>
      <c r="C167" s="165">
        <f>SUM(C165:C166)</f>
        <v>43</v>
      </c>
      <c r="D167" s="165">
        <f>SUM(D165:D166)</f>
        <v>0</v>
      </c>
      <c r="E167" s="165">
        <f t="shared" ref="E167:L167" si="53">SUM(E165:E166)</f>
        <v>3</v>
      </c>
      <c r="F167" s="165">
        <f t="shared" si="53"/>
        <v>1</v>
      </c>
      <c r="G167" s="165">
        <f t="shared" si="53"/>
        <v>8</v>
      </c>
      <c r="H167" s="165">
        <f t="shared" si="53"/>
        <v>6</v>
      </c>
      <c r="I167" s="165">
        <f t="shared" si="53"/>
        <v>3</v>
      </c>
      <c r="J167" s="165">
        <f t="shared" si="53"/>
        <v>13</v>
      </c>
      <c r="K167" s="165">
        <f t="shared" si="53"/>
        <v>6</v>
      </c>
      <c r="L167" s="165">
        <f t="shared" si="53"/>
        <v>3</v>
      </c>
      <c r="M167" s="165">
        <f>SUM(M165:M166)</f>
        <v>21</v>
      </c>
      <c r="N167" s="9">
        <f>((M167/C167)*100)</f>
        <v>48.837209302325576</v>
      </c>
      <c r="O167" s="165">
        <f>SUM(O165:O166)</f>
        <v>40</v>
      </c>
      <c r="P167" s="9">
        <f>((O167/C167)*100)</f>
        <v>93.023255813953483</v>
      </c>
    </row>
    <row r="168" spans="1:16" s="5" customFormat="1" ht="12.95" hidden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1"/>
      <c r="O168" s="10"/>
      <c r="P168" s="11"/>
    </row>
    <row r="169" spans="1:16" s="5" customFormat="1" ht="4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1"/>
      <c r="O169" s="10"/>
      <c r="P169" s="11"/>
    </row>
    <row r="170" spans="1:16" ht="18">
      <c r="A170" s="153" t="s">
        <v>101</v>
      </c>
    </row>
    <row r="171" spans="1:16" s="5" customFormat="1" ht="12.95">
      <c r="A171"/>
      <c r="B171"/>
      <c r="C171"/>
      <c r="D171" s="2" t="s">
        <v>1</v>
      </c>
      <c r="E171" s="3"/>
      <c r="F171" s="160"/>
      <c r="G171" s="162" t="s">
        <v>2</v>
      </c>
      <c r="H171" s="162"/>
      <c r="I171" s="161"/>
      <c r="J171" s="4" t="s">
        <v>3</v>
      </c>
      <c r="K171" s="3"/>
      <c r="L171" s="165" t="s">
        <v>4</v>
      </c>
      <c r="M171"/>
      <c r="N171"/>
      <c r="O171"/>
      <c r="P171" s="108"/>
    </row>
    <row r="172" spans="1:16" s="5" customFormat="1" ht="26.1">
      <c r="A172" s="165" t="s">
        <v>5</v>
      </c>
      <c r="B172" s="165" t="s">
        <v>6</v>
      </c>
      <c r="C172" s="165" t="s">
        <v>7</v>
      </c>
      <c r="D172" s="59" t="s">
        <v>8</v>
      </c>
      <c r="E172" s="59" t="s">
        <v>9</v>
      </c>
      <c r="F172" s="59" t="s">
        <v>10</v>
      </c>
      <c r="G172" s="59" t="s">
        <v>11</v>
      </c>
      <c r="H172" s="59" t="s">
        <v>12</v>
      </c>
      <c r="I172" s="59" t="s">
        <v>13</v>
      </c>
      <c r="J172" s="59" t="s">
        <v>14</v>
      </c>
      <c r="K172" s="59" t="s">
        <v>15</v>
      </c>
      <c r="L172" s="59" t="s">
        <v>16</v>
      </c>
      <c r="M172" s="6" t="s">
        <v>17</v>
      </c>
      <c r="N172" s="6" t="s">
        <v>18</v>
      </c>
      <c r="O172" s="6" t="s">
        <v>19</v>
      </c>
      <c r="P172" s="110" t="s">
        <v>20</v>
      </c>
    </row>
    <row r="173" spans="1:16" s="5" customFormat="1" ht="12.75">
      <c r="A173" s="165" t="s">
        <v>64</v>
      </c>
      <c r="B173" s="89" t="s">
        <v>102</v>
      </c>
      <c r="C173" s="204">
        <f t="shared" ref="C173:C174" si="54">SUM(D173:L173)</f>
        <v>8</v>
      </c>
      <c r="D173" s="141">
        <f>'[6]MASTER '!$BS$38</f>
        <v>0</v>
      </c>
      <c r="E173" s="141">
        <f>'[6]MASTER '!$BS$39</f>
        <v>0</v>
      </c>
      <c r="F173" s="141">
        <f>'[6]MASTER '!$BS$40</f>
        <v>0</v>
      </c>
      <c r="G173" s="141">
        <f>'[6]MASTER '!$BS$41</f>
        <v>0</v>
      </c>
      <c r="H173" s="141">
        <f>'[6]MASTER '!$BS$42</f>
        <v>1</v>
      </c>
      <c r="I173" s="141">
        <f>'[6]MASTER '!$BS$43</f>
        <v>0</v>
      </c>
      <c r="J173" s="141">
        <f>'[6]MASTER '!$BS$44</f>
        <v>2</v>
      </c>
      <c r="K173" s="141">
        <f>'[6]MASTER '!$BS$45</f>
        <v>1</v>
      </c>
      <c r="L173" s="141">
        <f>'[6]MASTER '!$BS$46</f>
        <v>4</v>
      </c>
      <c r="M173" s="7">
        <f>SUM(D173:I173)</f>
        <v>1</v>
      </c>
      <c r="N173" s="39">
        <f>((M173/C173)*100)</f>
        <v>12.5</v>
      </c>
      <c r="O173" s="7">
        <f>SUM(D173:K173)</f>
        <v>4</v>
      </c>
      <c r="P173" s="8">
        <f>((O173/C173)*100)</f>
        <v>50</v>
      </c>
    </row>
    <row r="174" spans="1:16" s="5" customFormat="1" ht="12.75">
      <c r="A174" s="165" t="s">
        <v>66</v>
      </c>
      <c r="B174" s="89" t="s">
        <v>103</v>
      </c>
      <c r="C174" s="204">
        <f t="shared" si="54"/>
        <v>10</v>
      </c>
      <c r="D174" s="141">
        <f>'[7]MASTER '!$BS$37</f>
        <v>0</v>
      </c>
      <c r="E174" s="141">
        <f>'[7]MASTER '!$BS$38</f>
        <v>0</v>
      </c>
      <c r="F174" s="141">
        <f>'[7]MASTER '!$BS$39</f>
        <v>0</v>
      </c>
      <c r="G174" s="141">
        <f>'[7]MASTER '!$BS$40</f>
        <v>0</v>
      </c>
      <c r="H174" s="141">
        <f>'[7]MASTER '!$BS$41</f>
        <v>0</v>
      </c>
      <c r="I174" s="141">
        <f>'[7]MASTER '!$BS$42</f>
        <v>2</v>
      </c>
      <c r="J174" s="141">
        <f>'[7]MASTER '!$BS$43</f>
        <v>1</v>
      </c>
      <c r="K174" s="141">
        <f>'[7]MASTER '!$BS$44</f>
        <v>2</v>
      </c>
      <c r="L174" s="141">
        <f>'[7]MASTER '!$BS$45</f>
        <v>5</v>
      </c>
      <c r="M174" s="7">
        <f>SUM(D174:I174)</f>
        <v>2</v>
      </c>
      <c r="N174" s="39">
        <f>((M174/C174)*100)</f>
        <v>20</v>
      </c>
      <c r="O174" s="7">
        <f>SUM(D174:K174)</f>
        <v>5</v>
      </c>
      <c r="P174" s="8">
        <f>((O174/C174)*100)</f>
        <v>50</v>
      </c>
    </row>
    <row r="175" spans="1:16" s="5" customFormat="1" ht="12.95">
      <c r="A175" s="165"/>
      <c r="B175" s="161" t="s">
        <v>31</v>
      </c>
      <c r="C175" s="165">
        <f>SUM(C173:C174)</f>
        <v>18</v>
      </c>
      <c r="D175" s="165">
        <f t="shared" ref="D175:L175" si="55">SUM(D173:D174)</f>
        <v>0</v>
      </c>
      <c r="E175" s="165">
        <f t="shared" si="55"/>
        <v>0</v>
      </c>
      <c r="F175" s="165">
        <f t="shared" si="55"/>
        <v>0</v>
      </c>
      <c r="G175" s="165">
        <f t="shared" si="55"/>
        <v>0</v>
      </c>
      <c r="H175" s="165">
        <f t="shared" si="55"/>
        <v>1</v>
      </c>
      <c r="I175" s="165">
        <f t="shared" si="55"/>
        <v>2</v>
      </c>
      <c r="J175" s="165">
        <f t="shared" si="55"/>
        <v>3</v>
      </c>
      <c r="K175" s="165">
        <f t="shared" si="55"/>
        <v>3</v>
      </c>
      <c r="L175" s="165">
        <f t="shared" si="55"/>
        <v>9</v>
      </c>
      <c r="M175" s="165">
        <f>SUM(M173:M174)</f>
        <v>3</v>
      </c>
      <c r="N175" s="8">
        <f>((M175/C175)*100)</f>
        <v>16.666666666666664</v>
      </c>
      <c r="O175" s="165">
        <f>SUM(O173:O174)</f>
        <v>9</v>
      </c>
      <c r="P175" s="8">
        <f>((O175/C175)*100)</f>
        <v>50</v>
      </c>
    </row>
    <row r="176" spans="1:16" s="5" customFormat="1" ht="4.5" customHeight="1">
      <c r="A176" s="157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1"/>
      <c r="O176" s="10"/>
      <c r="P176" s="11"/>
    </row>
    <row r="177" spans="1:16" s="5" customFormat="1" ht="18">
      <c r="A177" s="154" t="s">
        <v>104</v>
      </c>
      <c r="B177" s="145"/>
      <c r="N177" s="49"/>
      <c r="P177" s="49"/>
    </row>
    <row r="178" spans="1:16" s="5" customFormat="1" ht="12.95">
      <c r="A178" s="155"/>
      <c r="B178"/>
      <c r="C178"/>
      <c r="D178" s="2" t="s">
        <v>1</v>
      </c>
      <c r="E178" s="3"/>
      <c r="F178" s="160"/>
      <c r="G178" s="162" t="s">
        <v>2</v>
      </c>
      <c r="H178" s="162"/>
      <c r="I178" s="161"/>
      <c r="J178" s="4" t="s">
        <v>3</v>
      </c>
      <c r="K178" s="3"/>
      <c r="L178" s="165" t="s">
        <v>4</v>
      </c>
      <c r="M178"/>
      <c r="N178"/>
      <c r="O178"/>
      <c r="P178" s="108"/>
    </row>
    <row r="179" spans="1:16" s="5" customFormat="1" ht="26.1">
      <c r="A179" s="165" t="s">
        <v>5</v>
      </c>
      <c r="B179" s="165" t="s">
        <v>6</v>
      </c>
      <c r="C179" s="165" t="s">
        <v>7</v>
      </c>
      <c r="D179" s="59" t="s">
        <v>8</v>
      </c>
      <c r="E179" s="59" t="s">
        <v>9</v>
      </c>
      <c r="F179" s="59" t="s">
        <v>10</v>
      </c>
      <c r="G179" s="59" t="s">
        <v>11</v>
      </c>
      <c r="H179" s="59" t="s">
        <v>12</v>
      </c>
      <c r="I179" s="59" t="s">
        <v>13</v>
      </c>
      <c r="J179" s="59" t="s">
        <v>14</v>
      </c>
      <c r="K179" s="59" t="s">
        <v>15</v>
      </c>
      <c r="L179" s="59" t="s">
        <v>16</v>
      </c>
      <c r="M179" s="6" t="s">
        <v>17</v>
      </c>
      <c r="N179" s="6" t="s">
        <v>18</v>
      </c>
      <c r="O179" s="6" t="s">
        <v>19</v>
      </c>
      <c r="P179" s="110" t="s">
        <v>20</v>
      </c>
    </row>
    <row r="180" spans="1:16" ht="12.75">
      <c r="A180" s="197" t="s">
        <v>21</v>
      </c>
      <c r="B180" s="89" t="s">
        <v>105</v>
      </c>
      <c r="C180" s="204">
        <f t="shared" ref="C180:C181" si="56">SUM(D180:L180)</f>
        <v>0</v>
      </c>
      <c r="D180" s="7">
        <f>'[2]MASTER '!$DG$38</f>
        <v>0</v>
      </c>
      <c r="E180" s="7">
        <f>'[2]MASTER '!$DG$39</f>
        <v>0</v>
      </c>
      <c r="F180" s="7">
        <f>'[2]MASTER '!$DG$40</f>
        <v>0</v>
      </c>
      <c r="G180" s="7">
        <f>'[2]MASTER '!$DG$41</f>
        <v>0</v>
      </c>
      <c r="H180" s="7">
        <f>'[2]MASTER '!$DG$42</f>
        <v>0</v>
      </c>
      <c r="I180" s="7">
        <f>'[2]MASTER '!$DG$43</f>
        <v>0</v>
      </c>
      <c r="J180" s="7">
        <f>'[2]MASTER '!$DG$44</f>
        <v>0</v>
      </c>
      <c r="K180" s="7">
        <f>'[2]MASTER '!$DG$45</f>
        <v>0</v>
      </c>
      <c r="L180" s="7">
        <f>'[2]MASTER '!$DG$46</f>
        <v>0</v>
      </c>
      <c r="M180" s="7">
        <f>SUM(D180:I180)</f>
        <v>0</v>
      </c>
      <c r="N180" s="8" t="e">
        <f>((M180/C180)*100)</f>
        <v>#DIV/0!</v>
      </c>
      <c r="O180" s="7">
        <f>SUM(D180:K180)</f>
        <v>0</v>
      </c>
      <c r="P180" s="8" t="e">
        <f>((O180/C180)*100)</f>
        <v>#DIV/0!</v>
      </c>
    </row>
    <row r="181" spans="1:16" ht="12.75">
      <c r="A181" s="197" t="s">
        <v>23</v>
      </c>
      <c r="B181" s="138" t="s">
        <v>105</v>
      </c>
      <c r="C181" s="204">
        <f t="shared" si="56"/>
        <v>0</v>
      </c>
      <c r="D181" s="7">
        <f>'[1]MASTER '!$DG$38</f>
        <v>0</v>
      </c>
      <c r="E181" s="7">
        <f>'[1]MASTER '!$DG$39</f>
        <v>0</v>
      </c>
      <c r="F181" s="7">
        <f>'[1]MASTER '!$DG$40</f>
        <v>0</v>
      </c>
      <c r="G181" s="7">
        <f>'[1]MASTER '!$DG$41</f>
        <v>0</v>
      </c>
      <c r="H181" s="7">
        <f>'[1]MASTER '!$DG$42</f>
        <v>0</v>
      </c>
      <c r="I181" s="7">
        <f>'[1]MASTER '!$DG$43</f>
        <v>0</v>
      </c>
      <c r="J181" s="7">
        <f>'[1]MASTER '!$DG$44</f>
        <v>0</v>
      </c>
      <c r="K181" s="7">
        <f>'[1]MASTER '!$DG$45</f>
        <v>0</v>
      </c>
      <c r="L181" s="7">
        <f>'[1]MASTER '!$DG$46</f>
        <v>0</v>
      </c>
      <c r="M181" s="7">
        <f>SUM(D181:I181)</f>
        <v>0</v>
      </c>
      <c r="N181" s="8" t="e">
        <f>((M181/C181)*100)</f>
        <v>#DIV/0!</v>
      </c>
      <c r="O181" s="7">
        <f>SUM(D181:K181)</f>
        <v>0</v>
      </c>
      <c r="P181" s="8" t="e">
        <f>((O181/C181)*100)</f>
        <v>#DIV/0!</v>
      </c>
    </row>
    <row r="182" spans="1:16" ht="12.95">
      <c r="A182" s="160"/>
      <c r="B182" s="161" t="s">
        <v>31</v>
      </c>
      <c r="C182" s="165">
        <f>SUM(C180:C181)</f>
        <v>0</v>
      </c>
      <c r="D182" s="165">
        <f t="shared" ref="D182:L182" si="57">SUM(D180:D181)</f>
        <v>0</v>
      </c>
      <c r="E182" s="165">
        <f t="shared" si="57"/>
        <v>0</v>
      </c>
      <c r="F182" s="165">
        <f t="shared" si="57"/>
        <v>0</v>
      </c>
      <c r="G182" s="165">
        <f t="shared" si="57"/>
        <v>0</v>
      </c>
      <c r="H182" s="165">
        <f t="shared" si="57"/>
        <v>0</v>
      </c>
      <c r="I182" s="165">
        <f t="shared" si="57"/>
        <v>0</v>
      </c>
      <c r="J182" s="165">
        <f t="shared" si="57"/>
        <v>0</v>
      </c>
      <c r="K182" s="165">
        <f t="shared" si="57"/>
        <v>0</v>
      </c>
      <c r="L182" s="165">
        <f t="shared" si="57"/>
        <v>0</v>
      </c>
      <c r="M182" s="165">
        <f>SUM(M180:M181)</f>
        <v>0</v>
      </c>
      <c r="N182" s="9" t="e">
        <f>((M182/C182)*100)</f>
        <v>#DIV/0!</v>
      </c>
      <c r="O182" s="165">
        <f>SUM(O180:O181)</f>
        <v>0</v>
      </c>
      <c r="P182" s="9" t="e">
        <f>((O182/C182)*100)</f>
        <v>#DIV/0!</v>
      </c>
    </row>
    <row r="183" spans="1:16" ht="2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1"/>
      <c r="O183" s="10"/>
      <c r="P183" s="11"/>
    </row>
    <row r="184" spans="1:16" s="5" customFormat="1" ht="18">
      <c r="A184" s="154" t="s">
        <v>106</v>
      </c>
      <c r="B184" s="145"/>
      <c r="N184" s="49"/>
      <c r="P184" s="49"/>
    </row>
    <row r="185" spans="1:16" s="5" customFormat="1" ht="12.95">
      <c r="A185"/>
      <c r="B185"/>
      <c r="C185"/>
      <c r="D185" s="2" t="s">
        <v>1</v>
      </c>
      <c r="E185" s="3"/>
      <c r="F185" s="160"/>
      <c r="G185" s="162" t="s">
        <v>2</v>
      </c>
      <c r="H185" s="162"/>
      <c r="I185" s="161"/>
      <c r="J185" s="4" t="s">
        <v>3</v>
      </c>
      <c r="K185" s="3"/>
      <c r="L185" s="165" t="s">
        <v>4</v>
      </c>
      <c r="M185"/>
      <c r="N185"/>
      <c r="O185"/>
      <c r="P185" s="108"/>
    </row>
    <row r="186" spans="1:16" s="5" customFormat="1" ht="26.1">
      <c r="A186" s="165" t="s">
        <v>5</v>
      </c>
      <c r="B186" s="165" t="s">
        <v>6</v>
      </c>
      <c r="C186" s="165" t="s">
        <v>7</v>
      </c>
      <c r="D186" s="59" t="s">
        <v>8</v>
      </c>
      <c r="E186" s="59" t="s">
        <v>9</v>
      </c>
      <c r="F186" s="59" t="s">
        <v>10</v>
      </c>
      <c r="G186" s="59" t="s">
        <v>11</v>
      </c>
      <c r="H186" s="59" t="s">
        <v>12</v>
      </c>
      <c r="I186" s="59" t="s">
        <v>13</v>
      </c>
      <c r="J186" s="59" t="s">
        <v>14</v>
      </c>
      <c r="K186" s="59" t="s">
        <v>15</v>
      </c>
      <c r="L186" s="59" t="s">
        <v>16</v>
      </c>
      <c r="M186" s="6" t="s">
        <v>17</v>
      </c>
      <c r="N186" s="6" t="s">
        <v>18</v>
      </c>
      <c r="O186" s="6" t="s">
        <v>19</v>
      </c>
      <c r="P186" s="110" t="s">
        <v>20</v>
      </c>
    </row>
    <row r="187" spans="1:16" s="5" customFormat="1" ht="12.75">
      <c r="A187" s="198" t="s">
        <v>25</v>
      </c>
      <c r="B187" s="137" t="s">
        <v>107</v>
      </c>
      <c r="C187" s="204">
        <f t="shared" ref="C187:C188" si="58">SUM(D187:L187)</f>
        <v>8</v>
      </c>
      <c r="D187" s="146">
        <f>'[3]MASTER '!$CW$38</f>
        <v>0</v>
      </c>
      <c r="E187" s="146">
        <f>'[3]MASTER '!$CW$39</f>
        <v>0</v>
      </c>
      <c r="F187" s="146">
        <f>'[3]MASTER '!$CW$40</f>
        <v>0</v>
      </c>
      <c r="G187" s="146">
        <f>'[3]MASTER '!$CW$41</f>
        <v>2</v>
      </c>
      <c r="H187" s="146">
        <f>'[3]MASTER '!$CW$42</f>
        <v>0</v>
      </c>
      <c r="I187" s="146">
        <f>'[3]MASTER '!$CW$43</f>
        <v>2</v>
      </c>
      <c r="J187" s="146">
        <f>'[3]MASTER '!$CW$44</f>
        <v>4</v>
      </c>
      <c r="K187" s="146">
        <f>'[3]MASTER '!$CW$45</f>
        <v>0</v>
      </c>
      <c r="L187" s="146">
        <f>'[3]MASTER '!$CW$46</f>
        <v>0</v>
      </c>
      <c r="M187" s="64">
        <f>SUM(D187:I187)</f>
        <v>4</v>
      </c>
      <c r="N187" s="177">
        <f>((M187/C187)*100)</f>
        <v>50</v>
      </c>
      <c r="O187" s="64">
        <f>SUM(D187:K187)</f>
        <v>8</v>
      </c>
      <c r="P187" s="177">
        <f>((O187/C187)*100)</f>
        <v>100</v>
      </c>
    </row>
    <row r="188" spans="1:16" s="5" customFormat="1" ht="12.75">
      <c r="A188" s="163" t="s">
        <v>28</v>
      </c>
      <c r="B188" s="137" t="s">
        <v>107</v>
      </c>
      <c r="C188" s="204">
        <f t="shared" si="58"/>
        <v>23</v>
      </c>
      <c r="D188" s="146">
        <f>'[5]MASTER '!$CW$37</f>
        <v>1</v>
      </c>
      <c r="E188" s="146">
        <f>'[5]MASTER '!$CW$38</f>
        <v>0</v>
      </c>
      <c r="F188" s="146">
        <f>'[5]MASTER '!$CW$40</f>
        <v>3</v>
      </c>
      <c r="G188" s="146">
        <f>'[5]MASTER '!$CW$41</f>
        <v>3</v>
      </c>
      <c r="H188" s="146">
        <f>'[5]MASTER '!$CW$42</f>
        <v>4</v>
      </c>
      <c r="I188" s="146">
        <f>'[5]MASTER '!$CW$43</f>
        <v>6</v>
      </c>
      <c r="J188" s="146">
        <f>'[5]MASTER '!$CW$44</f>
        <v>2</v>
      </c>
      <c r="K188" s="146">
        <f>'[5]MASTER '!$CW$45</f>
        <v>4</v>
      </c>
      <c r="L188" s="146">
        <f>'[5]MASTER '!$CW$46</f>
        <v>0</v>
      </c>
      <c r="M188" s="64">
        <f>SUM(D188:I188)</f>
        <v>17</v>
      </c>
      <c r="N188" s="177">
        <f>((M188/C188)*100)</f>
        <v>73.91304347826086</v>
      </c>
      <c r="O188" s="64">
        <f>SUM(D188:K188)</f>
        <v>23</v>
      </c>
      <c r="P188" s="177">
        <f>((O188/C188)*100)</f>
        <v>100</v>
      </c>
    </row>
    <row r="189" spans="1:16" ht="12.95">
      <c r="A189" s="160"/>
      <c r="B189" s="165" t="s">
        <v>31</v>
      </c>
      <c r="C189" s="165">
        <f>SUM(C187:C188)</f>
        <v>31</v>
      </c>
      <c r="D189" s="165">
        <f t="shared" ref="D189:L189" si="59">SUM(D187:D188)</f>
        <v>1</v>
      </c>
      <c r="E189" s="165">
        <f t="shared" si="59"/>
        <v>0</v>
      </c>
      <c r="F189" s="165">
        <f t="shared" si="59"/>
        <v>3</v>
      </c>
      <c r="G189" s="165">
        <f t="shared" si="59"/>
        <v>5</v>
      </c>
      <c r="H189" s="165">
        <f t="shared" si="59"/>
        <v>4</v>
      </c>
      <c r="I189" s="165">
        <f t="shared" si="59"/>
        <v>8</v>
      </c>
      <c r="J189" s="165">
        <f t="shared" si="59"/>
        <v>6</v>
      </c>
      <c r="K189" s="165">
        <f t="shared" si="59"/>
        <v>4</v>
      </c>
      <c r="L189" s="165">
        <f t="shared" si="59"/>
        <v>0</v>
      </c>
      <c r="M189" s="165">
        <f>SUM(M187:M188)</f>
        <v>21</v>
      </c>
      <c r="N189" s="9">
        <f>((M189/C189)*100)</f>
        <v>67.741935483870961</v>
      </c>
      <c r="O189" s="165">
        <f>SUM(O187:O188)</f>
        <v>31</v>
      </c>
      <c r="P189" s="9">
        <f>((O189/C189)*100)</f>
        <v>100</v>
      </c>
    </row>
    <row r="190" spans="1:16" ht="12.75" hidden="1" customHeight="1">
      <c r="A190" s="12"/>
    </row>
    <row r="191" spans="1:16" ht="65.25" customHeight="1">
      <c r="A191" s="12"/>
    </row>
    <row r="192" spans="1:16" ht="18">
      <c r="A192" s="153" t="s">
        <v>108</v>
      </c>
      <c r="B192" s="20"/>
      <c r="C192" s="2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1"/>
      <c r="O192" s="10"/>
      <c r="P192" s="11"/>
    </row>
    <row r="193" spans="1:16" ht="12.95">
      <c r="A193" s="50"/>
      <c r="B193" s="50"/>
      <c r="C193" s="50"/>
      <c r="D193" s="231" t="s">
        <v>42</v>
      </c>
      <c r="E193" s="231"/>
      <c r="F193" s="231"/>
      <c r="G193" s="231"/>
      <c r="H193" s="231"/>
      <c r="I193" s="231"/>
      <c r="J193" s="1"/>
      <c r="K193" s="1"/>
      <c r="L193" s="10"/>
      <c r="M193" s="10"/>
      <c r="N193" s="11"/>
      <c r="O193" s="10"/>
      <c r="P193" s="11"/>
    </row>
    <row r="194" spans="1:16" ht="26.1">
      <c r="A194" s="59" t="s">
        <v>5</v>
      </c>
      <c r="B194" s="59" t="s">
        <v>6</v>
      </c>
      <c r="C194" s="59" t="s">
        <v>7</v>
      </c>
      <c r="D194" s="59" t="s">
        <v>8</v>
      </c>
      <c r="E194" s="59" t="s">
        <v>9</v>
      </c>
      <c r="F194" s="59" t="s">
        <v>10</v>
      </c>
      <c r="G194" s="59" t="s">
        <v>11</v>
      </c>
      <c r="H194" s="59" t="s">
        <v>12</v>
      </c>
      <c r="I194" s="59" t="s">
        <v>13</v>
      </c>
      <c r="J194" s="210" t="s">
        <v>14</v>
      </c>
      <c r="K194" s="210" t="s">
        <v>15</v>
      </c>
      <c r="L194" s="210" t="s">
        <v>16</v>
      </c>
      <c r="M194" s="48" t="s">
        <v>60</v>
      </c>
      <c r="N194" s="48" t="s">
        <v>61</v>
      </c>
      <c r="O194" s="48" t="s">
        <v>62</v>
      </c>
      <c r="P194" s="109" t="s">
        <v>63</v>
      </c>
    </row>
    <row r="195" spans="1:16" ht="12.75">
      <c r="A195" s="199" t="s">
        <v>25</v>
      </c>
      <c r="B195" s="202" t="s">
        <v>109</v>
      </c>
      <c r="C195" s="204">
        <f t="shared" ref="C195:C196" si="60">SUM(D195:L195)</f>
        <v>15</v>
      </c>
      <c r="D195" s="191">
        <f>'[3]MASTER '!$BI$38</f>
        <v>0</v>
      </c>
      <c r="E195" s="191">
        <f>'[3]MASTER '!$BI$39</f>
        <v>0</v>
      </c>
      <c r="F195" s="191">
        <f>'[3]MASTER '!$BI$4</f>
        <v>0</v>
      </c>
      <c r="G195" s="191">
        <f>'[3]MASTER '!$BI$41</f>
        <v>0</v>
      </c>
      <c r="H195" s="191">
        <f>'[3]MASTER '!$BI$42</f>
        <v>0</v>
      </c>
      <c r="I195" s="191">
        <f>'[3]MASTER '!$BI$43</f>
        <v>0</v>
      </c>
      <c r="J195" s="191">
        <f>'[3]MASTER '!$BI$44</f>
        <v>1</v>
      </c>
      <c r="K195" s="191">
        <f>'[3]MASTER '!$BI$45</f>
        <v>0</v>
      </c>
      <c r="L195" s="191">
        <f>'[3]MASTER '!$BI$46</f>
        <v>14</v>
      </c>
      <c r="M195" s="64">
        <f>SUM(D195:I195)</f>
        <v>0</v>
      </c>
      <c r="N195" s="144">
        <f>((M195/C195)*100)</f>
        <v>0</v>
      </c>
      <c r="O195" s="64">
        <f>SUM(D195:K195)</f>
        <v>1</v>
      </c>
      <c r="P195" s="144">
        <f>((O195/C195)*100)</f>
        <v>6.666666666666667</v>
      </c>
    </row>
    <row r="196" spans="1:16" ht="12.75">
      <c r="A196" s="51" t="s">
        <v>27</v>
      </c>
      <c r="B196" s="202" t="s">
        <v>109</v>
      </c>
      <c r="C196" s="204">
        <f t="shared" si="60"/>
        <v>11</v>
      </c>
      <c r="D196" s="191">
        <f>'[4]MASTER '!$BI$38</f>
        <v>0</v>
      </c>
      <c r="E196" s="191">
        <f>'[4]MASTER '!$BI$39</f>
        <v>0</v>
      </c>
      <c r="F196" s="191">
        <f>'[4]MASTER '!$BI$40</f>
        <v>0</v>
      </c>
      <c r="G196" s="191">
        <f>'[4]MASTER '!$BI$41</f>
        <v>0</v>
      </c>
      <c r="H196" s="191">
        <f>'[4]MASTER '!$BI$42</f>
        <v>0</v>
      </c>
      <c r="I196" s="191">
        <f>'[4]MASTER '!$BI$43</f>
        <v>0</v>
      </c>
      <c r="J196" s="191">
        <f>'[4]MASTER '!$BI$44</f>
        <v>0</v>
      </c>
      <c r="K196" s="191">
        <f>'[4]MASTER '!$BI$45</f>
        <v>0</v>
      </c>
      <c r="L196" s="191">
        <f>'[4]MASTER '!$BI$46</f>
        <v>11</v>
      </c>
      <c r="M196" s="64">
        <f>SUM(D196:I196)</f>
        <v>0</v>
      </c>
      <c r="N196" s="144">
        <f>((M196/C196)*100)</f>
        <v>0</v>
      </c>
      <c r="O196" s="64">
        <f>SUM(D196:K196)</f>
        <v>0</v>
      </c>
      <c r="P196" s="144">
        <f>((O196/C196)*100)</f>
        <v>0</v>
      </c>
    </row>
    <row r="197" spans="1:16" s="5" customFormat="1" ht="12.75">
      <c r="A197" s="165"/>
      <c r="B197" s="165" t="s">
        <v>31</v>
      </c>
      <c r="C197" s="165">
        <f>SUM(C195:C196)</f>
        <v>26</v>
      </c>
      <c r="D197" s="165">
        <f>SUM(D195:D196)</f>
        <v>0</v>
      </c>
      <c r="E197" s="165">
        <f t="shared" ref="E197:L197" si="61">SUM(E195:E196)</f>
        <v>0</v>
      </c>
      <c r="F197" s="165">
        <f t="shared" si="61"/>
        <v>0</v>
      </c>
      <c r="G197" s="165">
        <f t="shared" si="61"/>
        <v>0</v>
      </c>
      <c r="H197" s="165">
        <f t="shared" si="61"/>
        <v>0</v>
      </c>
      <c r="I197" s="165">
        <f t="shared" si="61"/>
        <v>0</v>
      </c>
      <c r="J197" s="165">
        <f t="shared" si="61"/>
        <v>1</v>
      </c>
      <c r="K197" s="165">
        <f t="shared" si="61"/>
        <v>0</v>
      </c>
      <c r="L197" s="165">
        <f t="shared" si="61"/>
        <v>25</v>
      </c>
      <c r="M197" s="165">
        <f>SUM(M195:M196)</f>
        <v>0</v>
      </c>
      <c r="N197" s="9">
        <f>((M197/C197)*100)</f>
        <v>0</v>
      </c>
      <c r="O197" s="165">
        <f>SUM(O195:O196)</f>
        <v>1</v>
      </c>
      <c r="P197" s="9">
        <f>((O197/C197)*100)</f>
        <v>3.8461538461538463</v>
      </c>
    </row>
    <row r="198" spans="1:16" ht="12.75" customHeight="1">
      <c r="A198" s="12"/>
    </row>
    <row r="199" spans="1:16" ht="30" customHeight="1">
      <c r="A199" s="12"/>
    </row>
    <row r="200" spans="1:16" ht="17.45">
      <c r="B200" s="29"/>
      <c r="C200" s="29"/>
      <c r="D200" s="232" t="s">
        <v>110</v>
      </c>
      <c r="E200" s="233"/>
      <c r="F200" s="232" t="s">
        <v>111</v>
      </c>
      <c r="G200" s="237"/>
      <c r="H200" s="237"/>
      <c r="I200" s="233"/>
      <c r="J200" s="232" t="s">
        <v>112</v>
      </c>
      <c r="K200" s="233"/>
      <c r="L200" s="13" t="s">
        <v>4</v>
      </c>
      <c r="M200" s="29"/>
      <c r="N200" s="29"/>
      <c r="O200" s="29"/>
      <c r="P200" s="113"/>
    </row>
    <row r="201" spans="1:16" ht="27.75" customHeight="1">
      <c r="A201" s="242" t="s">
        <v>113</v>
      </c>
      <c r="B201" s="243"/>
      <c r="C201" s="56" t="s">
        <v>7</v>
      </c>
      <c r="D201" s="56" t="s">
        <v>114</v>
      </c>
      <c r="E201" s="56" t="s">
        <v>9</v>
      </c>
      <c r="F201" s="56" t="s">
        <v>10</v>
      </c>
      <c r="G201" s="56" t="s">
        <v>11</v>
      </c>
      <c r="H201" s="56" t="s">
        <v>12</v>
      </c>
      <c r="I201" s="56" t="s">
        <v>13</v>
      </c>
      <c r="J201" s="56" t="s">
        <v>14</v>
      </c>
      <c r="K201" s="56" t="s">
        <v>15</v>
      </c>
      <c r="L201" s="56" t="s">
        <v>16</v>
      </c>
      <c r="M201" s="14" t="s">
        <v>17</v>
      </c>
      <c r="N201" s="14" t="s">
        <v>18</v>
      </c>
      <c r="O201" s="14" t="s">
        <v>19</v>
      </c>
      <c r="P201" s="114" t="s">
        <v>20</v>
      </c>
    </row>
    <row r="202" spans="1:16" ht="18.600000000000001" customHeight="1">
      <c r="A202" s="227" t="s">
        <v>115</v>
      </c>
      <c r="B202" s="228"/>
      <c r="C202" s="53">
        <f t="shared" ref="C202:P202" si="62">C11</f>
        <v>142</v>
      </c>
      <c r="D202" s="53">
        <f t="shared" si="62"/>
        <v>2</v>
      </c>
      <c r="E202" s="53">
        <f t="shared" si="62"/>
        <v>6</v>
      </c>
      <c r="F202" s="53">
        <f t="shared" si="62"/>
        <v>18</v>
      </c>
      <c r="G202" s="53">
        <f t="shared" si="62"/>
        <v>16</v>
      </c>
      <c r="H202" s="53">
        <f t="shared" si="62"/>
        <v>24</v>
      </c>
      <c r="I202" s="53">
        <f t="shared" si="62"/>
        <v>24</v>
      </c>
      <c r="J202" s="53">
        <f t="shared" si="62"/>
        <v>42</v>
      </c>
      <c r="K202" s="53">
        <f t="shared" si="62"/>
        <v>9</v>
      </c>
      <c r="L202" s="53">
        <f t="shared" si="62"/>
        <v>1</v>
      </c>
      <c r="M202" s="53">
        <f t="shared" si="62"/>
        <v>90</v>
      </c>
      <c r="N202" s="28">
        <f t="shared" si="62"/>
        <v>63.380281690140848</v>
      </c>
      <c r="O202" s="53">
        <f t="shared" si="62"/>
        <v>141</v>
      </c>
      <c r="P202" s="28">
        <f t="shared" si="62"/>
        <v>99.295774647887328</v>
      </c>
    </row>
    <row r="203" spans="1:16" ht="18.600000000000001" customHeight="1">
      <c r="A203" s="227" t="s">
        <v>116</v>
      </c>
      <c r="B203" s="228"/>
      <c r="C203" s="53">
        <f>C29</f>
        <v>81</v>
      </c>
      <c r="D203" s="53">
        <f t="shared" ref="C203:P203" si="63">D29</f>
        <v>4</v>
      </c>
      <c r="E203" s="53">
        <f t="shared" si="63"/>
        <v>27</v>
      </c>
      <c r="F203" s="53">
        <f t="shared" si="63"/>
        <v>4</v>
      </c>
      <c r="G203" s="53">
        <f t="shared" si="63"/>
        <v>5</v>
      </c>
      <c r="H203" s="53">
        <f t="shared" si="63"/>
        <v>5</v>
      </c>
      <c r="I203" s="53">
        <f t="shared" si="63"/>
        <v>12</v>
      </c>
      <c r="J203" s="53">
        <f t="shared" si="63"/>
        <v>13</v>
      </c>
      <c r="K203" s="53">
        <f t="shared" si="63"/>
        <v>10</v>
      </c>
      <c r="L203" s="53">
        <f t="shared" si="63"/>
        <v>1</v>
      </c>
      <c r="M203" s="53">
        <f t="shared" si="63"/>
        <v>57</v>
      </c>
      <c r="N203" s="28">
        <f t="shared" si="63"/>
        <v>70.370370370370367</v>
      </c>
      <c r="O203" s="53">
        <f t="shared" si="63"/>
        <v>80</v>
      </c>
      <c r="P203" s="28">
        <f t="shared" si="63"/>
        <v>98.76543209876543</v>
      </c>
    </row>
    <row r="204" spans="1:16" ht="18.600000000000001" customHeight="1">
      <c r="A204" s="227" t="s">
        <v>117</v>
      </c>
      <c r="B204" s="228"/>
      <c r="C204" s="53">
        <f>C35</f>
        <v>19</v>
      </c>
      <c r="D204" s="53">
        <f>D35</f>
        <v>0</v>
      </c>
      <c r="E204" s="53">
        <f>E35</f>
        <v>3</v>
      </c>
      <c r="F204" s="53">
        <f>F35</f>
        <v>11</v>
      </c>
      <c r="G204" s="53">
        <f>G35</f>
        <v>0</v>
      </c>
      <c r="H204" s="53">
        <f>H35</f>
        <v>0</v>
      </c>
      <c r="I204" s="53">
        <f>I35</f>
        <v>0</v>
      </c>
      <c r="J204" s="53">
        <f>J35</f>
        <v>4</v>
      </c>
      <c r="K204" s="53">
        <f>K35</f>
        <v>0</v>
      </c>
      <c r="L204" s="53">
        <f>L35</f>
        <v>1</v>
      </c>
      <c r="M204" s="53">
        <f>M35</f>
        <v>14</v>
      </c>
      <c r="N204" s="28">
        <f>N35</f>
        <v>73.68421052631578</v>
      </c>
      <c r="O204" s="53">
        <f>O35</f>
        <v>18</v>
      </c>
      <c r="P204" s="28">
        <f>P35</f>
        <v>94.73684210526315</v>
      </c>
    </row>
    <row r="205" spans="1:16" ht="18.600000000000001" customHeight="1">
      <c r="A205" s="239" t="s">
        <v>118</v>
      </c>
      <c r="B205" s="239"/>
      <c r="C205" s="25">
        <f>C53</f>
        <v>104</v>
      </c>
      <c r="D205" s="25">
        <f t="shared" ref="C205:P205" si="64">D53</f>
        <v>6</v>
      </c>
      <c r="E205" s="25">
        <f t="shared" si="64"/>
        <v>22</v>
      </c>
      <c r="F205" s="25">
        <f t="shared" si="64"/>
        <v>12</v>
      </c>
      <c r="G205" s="25">
        <f t="shared" si="64"/>
        <v>7</v>
      </c>
      <c r="H205" s="25">
        <f t="shared" si="64"/>
        <v>8</v>
      </c>
      <c r="I205" s="25">
        <f t="shared" si="64"/>
        <v>7</v>
      </c>
      <c r="J205" s="25">
        <f t="shared" si="64"/>
        <v>19</v>
      </c>
      <c r="K205" s="25">
        <f t="shared" si="64"/>
        <v>8</v>
      </c>
      <c r="L205" s="25">
        <f t="shared" si="64"/>
        <v>15</v>
      </c>
      <c r="M205" s="25">
        <f t="shared" si="64"/>
        <v>62</v>
      </c>
      <c r="N205" s="26">
        <f t="shared" si="64"/>
        <v>59.615384615384613</v>
      </c>
      <c r="O205" s="25">
        <f t="shared" si="64"/>
        <v>89</v>
      </c>
      <c r="P205" s="26">
        <f t="shared" si="64"/>
        <v>85.576923076923066</v>
      </c>
    </row>
    <row r="206" spans="1:16" ht="18.600000000000001" hidden="1" customHeight="1">
      <c r="A206" s="239" t="s">
        <v>119</v>
      </c>
      <c r="B206" s="239"/>
      <c r="C206" s="25">
        <f t="shared" ref="C206:P206" si="65">C66</f>
        <v>0</v>
      </c>
      <c r="D206" s="25">
        <f t="shared" si="65"/>
        <v>0</v>
      </c>
      <c r="E206" s="25">
        <f t="shared" si="65"/>
        <v>0</v>
      </c>
      <c r="F206" s="25">
        <f t="shared" si="65"/>
        <v>0</v>
      </c>
      <c r="G206" s="25">
        <f t="shared" si="65"/>
        <v>0</v>
      </c>
      <c r="H206" s="25">
        <f t="shared" si="65"/>
        <v>0</v>
      </c>
      <c r="I206" s="25">
        <f t="shared" si="65"/>
        <v>0</v>
      </c>
      <c r="J206" s="25">
        <f t="shared" si="65"/>
        <v>0</v>
      </c>
      <c r="K206" s="25">
        <f t="shared" si="65"/>
        <v>0</v>
      </c>
      <c r="L206" s="25">
        <f t="shared" si="65"/>
        <v>0</v>
      </c>
      <c r="M206" s="25">
        <f t="shared" si="65"/>
        <v>0</v>
      </c>
      <c r="N206" s="26" t="e">
        <f t="shared" si="65"/>
        <v>#DIV/0!</v>
      </c>
      <c r="O206" s="25">
        <f t="shared" si="65"/>
        <v>0</v>
      </c>
      <c r="P206" s="26" t="e">
        <f t="shared" si="65"/>
        <v>#DIV/0!</v>
      </c>
    </row>
    <row r="207" spans="1:16" ht="18.600000000000001" customHeight="1">
      <c r="A207" s="239" t="s">
        <v>120</v>
      </c>
      <c r="B207" s="239"/>
      <c r="C207" s="25">
        <f t="shared" ref="C207:P207" si="66">C75</f>
        <v>81</v>
      </c>
      <c r="D207" s="25">
        <f t="shared" si="66"/>
        <v>4</v>
      </c>
      <c r="E207" s="25">
        <f t="shared" si="66"/>
        <v>13</v>
      </c>
      <c r="F207" s="25">
        <f t="shared" si="66"/>
        <v>10</v>
      </c>
      <c r="G207" s="25">
        <f t="shared" si="66"/>
        <v>5</v>
      </c>
      <c r="H207" s="25">
        <f t="shared" si="66"/>
        <v>3</v>
      </c>
      <c r="I207" s="25">
        <f t="shared" si="66"/>
        <v>2</v>
      </c>
      <c r="J207" s="25">
        <f t="shared" si="66"/>
        <v>14</v>
      </c>
      <c r="K207" s="25">
        <f t="shared" si="66"/>
        <v>7</v>
      </c>
      <c r="L207" s="25">
        <f t="shared" si="66"/>
        <v>23</v>
      </c>
      <c r="M207" s="25">
        <f t="shared" si="66"/>
        <v>37</v>
      </c>
      <c r="N207" s="26">
        <f t="shared" si="66"/>
        <v>45.679012345679013</v>
      </c>
      <c r="O207" s="25">
        <f t="shared" si="66"/>
        <v>58</v>
      </c>
      <c r="P207" s="26">
        <f t="shared" si="66"/>
        <v>71.604938271604937</v>
      </c>
    </row>
    <row r="208" spans="1:16" ht="18.600000000000001" customHeight="1">
      <c r="A208" s="239" t="s">
        <v>121</v>
      </c>
      <c r="B208" s="239"/>
      <c r="C208" s="25">
        <f t="shared" ref="C208:P208" si="67">C85</f>
        <v>61</v>
      </c>
      <c r="D208" s="25">
        <f t="shared" si="67"/>
        <v>1</v>
      </c>
      <c r="E208" s="25">
        <f t="shared" si="67"/>
        <v>4</v>
      </c>
      <c r="F208" s="25">
        <f t="shared" si="67"/>
        <v>3</v>
      </c>
      <c r="G208" s="25">
        <f t="shared" si="67"/>
        <v>2</v>
      </c>
      <c r="H208" s="25">
        <f t="shared" si="67"/>
        <v>8</v>
      </c>
      <c r="I208" s="25">
        <f t="shared" si="67"/>
        <v>7</v>
      </c>
      <c r="J208" s="25">
        <f t="shared" si="67"/>
        <v>8</v>
      </c>
      <c r="K208" s="25">
        <f t="shared" si="67"/>
        <v>13</v>
      </c>
      <c r="L208" s="25">
        <f t="shared" si="67"/>
        <v>15</v>
      </c>
      <c r="M208" s="25">
        <f t="shared" si="67"/>
        <v>25</v>
      </c>
      <c r="N208" s="26">
        <f t="shared" si="67"/>
        <v>40.983606557377051</v>
      </c>
      <c r="O208" s="25">
        <f t="shared" si="67"/>
        <v>46</v>
      </c>
      <c r="P208" s="26">
        <f t="shared" si="67"/>
        <v>75.409836065573771</v>
      </c>
    </row>
    <row r="209" spans="1:16" ht="18.600000000000001" customHeight="1">
      <c r="A209" s="239" t="s">
        <v>122</v>
      </c>
      <c r="B209" s="239"/>
      <c r="C209" s="25">
        <f t="shared" ref="C209:P209" si="68">C92</f>
        <v>38</v>
      </c>
      <c r="D209" s="25">
        <f t="shared" si="68"/>
        <v>1</v>
      </c>
      <c r="E209" s="25">
        <f t="shared" si="68"/>
        <v>1</v>
      </c>
      <c r="F209" s="25">
        <f t="shared" si="68"/>
        <v>1</v>
      </c>
      <c r="G209" s="25">
        <f t="shared" si="68"/>
        <v>2</v>
      </c>
      <c r="H209" s="25">
        <f t="shared" si="68"/>
        <v>1</v>
      </c>
      <c r="I209" s="25">
        <f t="shared" si="68"/>
        <v>1</v>
      </c>
      <c r="J209" s="25">
        <f t="shared" si="68"/>
        <v>11</v>
      </c>
      <c r="K209" s="25">
        <f t="shared" si="68"/>
        <v>10</v>
      </c>
      <c r="L209" s="25">
        <f t="shared" si="68"/>
        <v>10</v>
      </c>
      <c r="M209" s="25">
        <f t="shared" si="68"/>
        <v>7</v>
      </c>
      <c r="N209" s="26">
        <f t="shared" si="68"/>
        <v>18.421052631578945</v>
      </c>
      <c r="O209" s="25">
        <f t="shared" si="68"/>
        <v>28</v>
      </c>
      <c r="P209" s="26">
        <f t="shared" si="68"/>
        <v>73.68421052631578</v>
      </c>
    </row>
    <row r="210" spans="1:16" ht="18.600000000000001" customHeight="1">
      <c r="A210" s="239" t="s">
        <v>123</v>
      </c>
      <c r="B210" s="239"/>
      <c r="C210" s="25">
        <f t="shared" ref="C210:P210" si="69">C99</f>
        <v>38</v>
      </c>
      <c r="D210" s="25">
        <f t="shared" si="69"/>
        <v>0</v>
      </c>
      <c r="E210" s="25">
        <f t="shared" si="69"/>
        <v>0</v>
      </c>
      <c r="F210" s="25">
        <f t="shared" si="69"/>
        <v>0</v>
      </c>
      <c r="G210" s="25">
        <f t="shared" si="69"/>
        <v>0</v>
      </c>
      <c r="H210" s="25">
        <f t="shared" si="69"/>
        <v>0</v>
      </c>
      <c r="I210" s="25">
        <f t="shared" si="69"/>
        <v>4</v>
      </c>
      <c r="J210" s="25">
        <f t="shared" si="69"/>
        <v>9</v>
      </c>
      <c r="K210" s="25">
        <f t="shared" si="69"/>
        <v>13</v>
      </c>
      <c r="L210" s="25">
        <f t="shared" si="69"/>
        <v>12</v>
      </c>
      <c r="M210" s="25">
        <f t="shared" si="69"/>
        <v>4</v>
      </c>
      <c r="N210" s="26">
        <f t="shared" si="69"/>
        <v>10.526315789473683</v>
      </c>
      <c r="O210" s="25">
        <f t="shared" si="69"/>
        <v>26</v>
      </c>
      <c r="P210" s="26">
        <f t="shared" si="69"/>
        <v>68.421052631578945</v>
      </c>
    </row>
    <row r="211" spans="1:16" ht="18.600000000000001" customHeight="1">
      <c r="A211" s="239" t="s">
        <v>124</v>
      </c>
      <c r="B211" s="239"/>
      <c r="C211" s="25">
        <f t="shared" ref="C211:P211" si="70">C119</f>
        <v>42</v>
      </c>
      <c r="D211" s="25">
        <f t="shared" si="70"/>
        <v>1</v>
      </c>
      <c r="E211" s="25">
        <f t="shared" si="70"/>
        <v>6</v>
      </c>
      <c r="F211" s="25">
        <f t="shared" si="70"/>
        <v>1</v>
      </c>
      <c r="G211" s="25">
        <f t="shared" si="70"/>
        <v>4</v>
      </c>
      <c r="H211" s="25">
        <f t="shared" si="70"/>
        <v>3</v>
      </c>
      <c r="I211" s="25">
        <f t="shared" si="70"/>
        <v>3</v>
      </c>
      <c r="J211" s="25">
        <f t="shared" si="70"/>
        <v>7</v>
      </c>
      <c r="K211" s="25">
        <f t="shared" si="70"/>
        <v>6</v>
      </c>
      <c r="L211" s="25">
        <f t="shared" si="70"/>
        <v>11</v>
      </c>
      <c r="M211" s="25">
        <f t="shared" si="70"/>
        <v>18</v>
      </c>
      <c r="N211" s="26">
        <f t="shared" si="70"/>
        <v>42.857142857142854</v>
      </c>
      <c r="O211" s="25">
        <f t="shared" si="70"/>
        <v>31</v>
      </c>
      <c r="P211" s="26">
        <f t="shared" si="70"/>
        <v>73.80952380952381</v>
      </c>
    </row>
    <row r="212" spans="1:16" ht="18.600000000000001" customHeight="1">
      <c r="A212" s="239" t="s">
        <v>125</v>
      </c>
      <c r="B212" s="239"/>
      <c r="C212" s="25">
        <f t="shared" ref="C212:P212" si="71">C111</f>
        <v>142</v>
      </c>
      <c r="D212" s="25">
        <f t="shared" si="71"/>
        <v>57</v>
      </c>
      <c r="E212" s="25">
        <f t="shared" si="71"/>
        <v>20</v>
      </c>
      <c r="F212" s="25">
        <f t="shared" si="71"/>
        <v>8</v>
      </c>
      <c r="G212" s="25">
        <f t="shared" si="71"/>
        <v>13</v>
      </c>
      <c r="H212" s="25">
        <f t="shared" si="71"/>
        <v>12</v>
      </c>
      <c r="I212" s="25">
        <f t="shared" si="71"/>
        <v>3</v>
      </c>
      <c r="J212" s="25">
        <f t="shared" si="71"/>
        <v>13</v>
      </c>
      <c r="K212" s="25">
        <f t="shared" si="71"/>
        <v>5</v>
      </c>
      <c r="L212" s="25">
        <f t="shared" si="71"/>
        <v>11</v>
      </c>
      <c r="M212" s="25">
        <f t="shared" si="71"/>
        <v>113</v>
      </c>
      <c r="N212" s="26">
        <f t="shared" si="71"/>
        <v>79.577464788732399</v>
      </c>
      <c r="O212" s="25">
        <f t="shared" si="71"/>
        <v>131</v>
      </c>
      <c r="P212" s="26">
        <f t="shared" si="71"/>
        <v>92.25352112676056</v>
      </c>
    </row>
    <row r="213" spans="1:16" ht="18.600000000000001" customHeight="1">
      <c r="A213" s="239" t="s">
        <v>126</v>
      </c>
      <c r="B213" s="239"/>
      <c r="C213" s="54">
        <f t="shared" ref="C213:P213" si="72">C127</f>
        <v>43</v>
      </c>
      <c r="D213" s="53">
        <f t="shared" si="72"/>
        <v>1</v>
      </c>
      <c r="E213" s="53">
        <f t="shared" si="72"/>
        <v>19</v>
      </c>
      <c r="F213" s="53">
        <f t="shared" si="72"/>
        <v>6</v>
      </c>
      <c r="G213" s="53">
        <f t="shared" si="72"/>
        <v>9</v>
      </c>
      <c r="H213" s="53">
        <f t="shared" si="72"/>
        <v>3</v>
      </c>
      <c r="I213" s="53">
        <f t="shared" si="72"/>
        <v>2</v>
      </c>
      <c r="J213" s="53">
        <f t="shared" si="72"/>
        <v>3</v>
      </c>
      <c r="K213" s="53">
        <f t="shared" si="72"/>
        <v>0</v>
      </c>
      <c r="L213" s="53">
        <f t="shared" si="72"/>
        <v>0</v>
      </c>
      <c r="M213" s="53">
        <f t="shared" si="72"/>
        <v>40</v>
      </c>
      <c r="N213" s="28">
        <f t="shared" si="72"/>
        <v>93.023255813953483</v>
      </c>
      <c r="O213" s="53">
        <f t="shared" si="72"/>
        <v>43</v>
      </c>
      <c r="P213" s="28">
        <f t="shared" si="72"/>
        <v>100</v>
      </c>
    </row>
    <row r="214" spans="1:16" ht="18.600000000000001" customHeight="1">
      <c r="A214" s="227" t="s">
        <v>127</v>
      </c>
      <c r="B214" s="228"/>
      <c r="C214" s="54">
        <f t="shared" ref="C214:P214" si="73">C133</f>
        <v>23</v>
      </c>
      <c r="D214" s="53">
        <f t="shared" si="73"/>
        <v>0</v>
      </c>
      <c r="E214" s="53">
        <f t="shared" si="73"/>
        <v>2</v>
      </c>
      <c r="F214" s="53">
        <f t="shared" si="73"/>
        <v>2</v>
      </c>
      <c r="G214" s="53">
        <f t="shared" si="73"/>
        <v>3</v>
      </c>
      <c r="H214" s="53">
        <f t="shared" si="73"/>
        <v>3</v>
      </c>
      <c r="I214" s="53">
        <f t="shared" si="73"/>
        <v>3</v>
      </c>
      <c r="J214" s="53">
        <f t="shared" si="73"/>
        <v>9</v>
      </c>
      <c r="K214" s="53">
        <f t="shared" si="73"/>
        <v>0</v>
      </c>
      <c r="L214" s="53">
        <f t="shared" si="73"/>
        <v>1</v>
      </c>
      <c r="M214" s="53">
        <f t="shared" si="73"/>
        <v>13</v>
      </c>
      <c r="N214" s="28">
        <f t="shared" si="73"/>
        <v>56.521739130434781</v>
      </c>
      <c r="O214" s="53">
        <f t="shared" si="73"/>
        <v>22</v>
      </c>
      <c r="P214" s="28">
        <f t="shared" si="73"/>
        <v>95.652173913043484</v>
      </c>
    </row>
    <row r="215" spans="1:16" ht="18.600000000000001" customHeight="1">
      <c r="A215" s="239" t="s">
        <v>128</v>
      </c>
      <c r="B215" s="239"/>
      <c r="C215" s="53">
        <f t="shared" ref="C215:P215" si="74">C146</f>
        <v>17</v>
      </c>
      <c r="D215" s="53">
        <f t="shared" si="74"/>
        <v>0</v>
      </c>
      <c r="E215" s="53">
        <f t="shared" si="74"/>
        <v>0</v>
      </c>
      <c r="F215" s="53">
        <f t="shared" si="74"/>
        <v>0</v>
      </c>
      <c r="G215" s="53">
        <f t="shared" si="74"/>
        <v>2</v>
      </c>
      <c r="H215" s="53">
        <f t="shared" si="74"/>
        <v>1</v>
      </c>
      <c r="I215" s="53">
        <f t="shared" si="74"/>
        <v>1</v>
      </c>
      <c r="J215" s="53">
        <f t="shared" si="74"/>
        <v>3</v>
      </c>
      <c r="K215" s="53">
        <f t="shared" si="74"/>
        <v>5</v>
      </c>
      <c r="L215" s="53">
        <f t="shared" si="74"/>
        <v>5</v>
      </c>
      <c r="M215" s="53">
        <f t="shared" si="74"/>
        <v>4</v>
      </c>
      <c r="N215" s="28">
        <f t="shared" si="74"/>
        <v>23.52941176470588</v>
      </c>
      <c r="O215" s="55">
        <f t="shared" si="74"/>
        <v>12</v>
      </c>
      <c r="P215" s="105">
        <f t="shared" si="74"/>
        <v>70.588235294117652</v>
      </c>
    </row>
    <row r="216" spans="1:16" ht="18.600000000000001" customHeight="1">
      <c r="A216" s="239" t="s">
        <v>129</v>
      </c>
      <c r="B216" s="239"/>
      <c r="C216" s="25">
        <f t="shared" ref="C216:P216" si="75">C159</f>
        <v>21</v>
      </c>
      <c r="D216" s="25">
        <f t="shared" si="75"/>
        <v>0</v>
      </c>
      <c r="E216" s="25">
        <f t="shared" si="75"/>
        <v>0</v>
      </c>
      <c r="F216" s="25">
        <f t="shared" si="75"/>
        <v>0</v>
      </c>
      <c r="G216" s="25">
        <f t="shared" si="75"/>
        <v>1</v>
      </c>
      <c r="H216" s="25">
        <f t="shared" si="75"/>
        <v>9</v>
      </c>
      <c r="I216" s="25">
        <f t="shared" si="75"/>
        <v>7</v>
      </c>
      <c r="J216" s="25">
        <f t="shared" si="75"/>
        <v>3</v>
      </c>
      <c r="K216" s="25">
        <f t="shared" si="75"/>
        <v>0</v>
      </c>
      <c r="L216" s="25">
        <f t="shared" si="75"/>
        <v>1</v>
      </c>
      <c r="M216" s="25">
        <f t="shared" si="75"/>
        <v>17</v>
      </c>
      <c r="N216" s="26">
        <f t="shared" si="75"/>
        <v>80.952380952380949</v>
      </c>
      <c r="O216" s="53">
        <f t="shared" si="75"/>
        <v>20</v>
      </c>
      <c r="P216" s="26">
        <f t="shared" si="75"/>
        <v>95.238095238095227</v>
      </c>
    </row>
    <row r="217" spans="1:16" ht="18.600000000000001" customHeight="1">
      <c r="A217" s="239" t="s">
        <v>130</v>
      </c>
      <c r="B217" s="239"/>
      <c r="C217" s="25">
        <f t="shared" ref="C217:P217" si="76">C175</f>
        <v>18</v>
      </c>
      <c r="D217" s="25">
        <f t="shared" si="76"/>
        <v>0</v>
      </c>
      <c r="E217" s="25">
        <f t="shared" si="76"/>
        <v>0</v>
      </c>
      <c r="F217" s="25">
        <f t="shared" si="76"/>
        <v>0</v>
      </c>
      <c r="G217" s="25">
        <f t="shared" si="76"/>
        <v>0</v>
      </c>
      <c r="H217" s="25">
        <f t="shared" si="76"/>
        <v>1</v>
      </c>
      <c r="I217" s="25">
        <f t="shared" si="76"/>
        <v>2</v>
      </c>
      <c r="J217" s="25">
        <f t="shared" si="76"/>
        <v>3</v>
      </c>
      <c r="K217" s="25">
        <f t="shared" si="76"/>
        <v>3</v>
      </c>
      <c r="L217" s="25">
        <f t="shared" si="76"/>
        <v>9</v>
      </c>
      <c r="M217" s="25">
        <f t="shared" si="76"/>
        <v>3</v>
      </c>
      <c r="N217" s="26">
        <f t="shared" si="76"/>
        <v>16.666666666666664</v>
      </c>
      <c r="O217" s="53">
        <f t="shared" si="76"/>
        <v>9</v>
      </c>
      <c r="P217" s="26">
        <f t="shared" si="76"/>
        <v>50</v>
      </c>
    </row>
    <row r="218" spans="1:16" ht="18.600000000000001" customHeight="1">
      <c r="A218" s="227" t="s">
        <v>131</v>
      </c>
      <c r="B218" s="228"/>
      <c r="C218" s="25">
        <f t="shared" ref="C218:P218" si="77">C167</f>
        <v>43</v>
      </c>
      <c r="D218" s="25">
        <f t="shared" si="77"/>
        <v>0</v>
      </c>
      <c r="E218" s="25">
        <f t="shared" si="77"/>
        <v>3</v>
      </c>
      <c r="F218" s="25">
        <f t="shared" si="77"/>
        <v>1</v>
      </c>
      <c r="G218" s="25">
        <f t="shared" si="77"/>
        <v>8</v>
      </c>
      <c r="H218" s="25">
        <f t="shared" si="77"/>
        <v>6</v>
      </c>
      <c r="I218" s="25">
        <f t="shared" si="77"/>
        <v>3</v>
      </c>
      <c r="J218" s="25">
        <f t="shared" si="77"/>
        <v>13</v>
      </c>
      <c r="K218" s="25">
        <f t="shared" si="77"/>
        <v>6</v>
      </c>
      <c r="L218" s="25">
        <f t="shared" si="77"/>
        <v>3</v>
      </c>
      <c r="M218" s="25">
        <f t="shared" si="77"/>
        <v>21</v>
      </c>
      <c r="N218" s="26">
        <f t="shared" si="77"/>
        <v>48.837209302325576</v>
      </c>
      <c r="O218" s="53">
        <f t="shared" si="77"/>
        <v>40</v>
      </c>
      <c r="P218" s="26">
        <f t="shared" si="77"/>
        <v>93.023255813953483</v>
      </c>
    </row>
    <row r="219" spans="1:16" ht="18.600000000000001" customHeight="1">
      <c r="A219" s="227" t="s">
        <v>132</v>
      </c>
      <c r="B219" s="228"/>
      <c r="C219" s="25">
        <f t="shared" ref="C219:P219" si="78">C18</f>
        <v>38</v>
      </c>
      <c r="D219" s="25">
        <f t="shared" si="78"/>
        <v>1</v>
      </c>
      <c r="E219" s="25">
        <f t="shared" si="78"/>
        <v>2</v>
      </c>
      <c r="F219" s="25">
        <f t="shared" si="78"/>
        <v>4</v>
      </c>
      <c r="G219" s="25">
        <f t="shared" si="78"/>
        <v>5</v>
      </c>
      <c r="H219" s="25">
        <f t="shared" si="78"/>
        <v>2</v>
      </c>
      <c r="I219" s="25">
        <f t="shared" si="78"/>
        <v>4</v>
      </c>
      <c r="J219" s="25">
        <f t="shared" si="78"/>
        <v>11</v>
      </c>
      <c r="K219" s="25">
        <f t="shared" si="78"/>
        <v>4</v>
      </c>
      <c r="L219" s="25">
        <f t="shared" si="78"/>
        <v>3</v>
      </c>
      <c r="M219" s="25">
        <f t="shared" si="78"/>
        <v>18</v>
      </c>
      <c r="N219" s="26">
        <f t="shared" si="78"/>
        <v>47.368421052631575</v>
      </c>
      <c r="O219" s="53">
        <f t="shared" si="78"/>
        <v>33</v>
      </c>
      <c r="P219" s="26">
        <f t="shared" si="78"/>
        <v>86.842105263157904</v>
      </c>
    </row>
    <row r="220" spans="1:16" ht="18.600000000000001" customHeight="1">
      <c r="A220" s="227" t="s">
        <v>133</v>
      </c>
      <c r="B220" s="228"/>
      <c r="C220" s="25">
        <f t="shared" ref="C220:P220" si="79">C189</f>
        <v>31</v>
      </c>
      <c r="D220" s="25">
        <f t="shared" si="79"/>
        <v>1</v>
      </c>
      <c r="E220" s="25">
        <f t="shared" si="79"/>
        <v>0</v>
      </c>
      <c r="F220" s="25">
        <f t="shared" si="79"/>
        <v>3</v>
      </c>
      <c r="G220" s="25">
        <f t="shared" si="79"/>
        <v>5</v>
      </c>
      <c r="H220" s="25">
        <f t="shared" si="79"/>
        <v>4</v>
      </c>
      <c r="I220" s="25">
        <f t="shared" si="79"/>
        <v>8</v>
      </c>
      <c r="J220" s="25">
        <f t="shared" si="79"/>
        <v>6</v>
      </c>
      <c r="K220" s="25">
        <f t="shared" si="79"/>
        <v>4</v>
      </c>
      <c r="L220" s="25">
        <f t="shared" si="79"/>
        <v>0</v>
      </c>
      <c r="M220" s="25">
        <f t="shared" si="79"/>
        <v>21</v>
      </c>
      <c r="N220" s="26">
        <f t="shared" si="79"/>
        <v>67.741935483870961</v>
      </c>
      <c r="O220" s="53">
        <f t="shared" si="79"/>
        <v>31</v>
      </c>
      <c r="P220" s="26">
        <f t="shared" si="79"/>
        <v>100</v>
      </c>
    </row>
    <row r="221" spans="1:16" ht="18.600000000000001" customHeight="1">
      <c r="A221" s="239" t="s">
        <v>134</v>
      </c>
      <c r="B221" s="239"/>
      <c r="C221" s="25">
        <f t="shared" ref="C221:P221" si="80">C182</f>
        <v>0</v>
      </c>
      <c r="D221" s="25">
        <f t="shared" si="80"/>
        <v>0</v>
      </c>
      <c r="E221" s="25">
        <f t="shared" si="80"/>
        <v>0</v>
      </c>
      <c r="F221" s="25">
        <f t="shared" si="80"/>
        <v>0</v>
      </c>
      <c r="G221" s="25">
        <f t="shared" si="80"/>
        <v>0</v>
      </c>
      <c r="H221" s="25">
        <f t="shared" si="80"/>
        <v>0</v>
      </c>
      <c r="I221" s="25">
        <f t="shared" si="80"/>
        <v>0</v>
      </c>
      <c r="J221" s="25">
        <f t="shared" si="80"/>
        <v>0</v>
      </c>
      <c r="K221" s="25">
        <f t="shared" si="80"/>
        <v>0</v>
      </c>
      <c r="L221" s="25">
        <f t="shared" si="80"/>
        <v>0</v>
      </c>
      <c r="M221" s="25">
        <f t="shared" si="80"/>
        <v>0</v>
      </c>
      <c r="N221" s="26" t="e">
        <f t="shared" si="80"/>
        <v>#DIV/0!</v>
      </c>
      <c r="O221" s="25">
        <f t="shared" si="80"/>
        <v>0</v>
      </c>
      <c r="P221" s="26" t="e">
        <f t="shared" si="80"/>
        <v>#DIV/0!</v>
      </c>
    </row>
    <row r="222" spans="1:16" ht="20.100000000000001" customHeight="1">
      <c r="B222" s="148"/>
      <c r="C222" s="148"/>
      <c r="D222" s="148"/>
      <c r="E222" s="148"/>
      <c r="F222" s="148"/>
      <c r="G222" s="148"/>
      <c r="H222" s="148"/>
      <c r="I222" s="148"/>
      <c r="J222" s="148"/>
      <c r="K222" s="148"/>
      <c r="L222" s="240" t="s">
        <v>135</v>
      </c>
      <c r="M222" s="241"/>
      <c r="N222" s="78" t="e">
        <f>AVERAGE(N202:N221)</f>
        <v>#DIV/0!</v>
      </c>
      <c r="O222" s="19"/>
      <c r="P222" s="78" t="e">
        <f>AVERAGE(P202:P221)</f>
        <v>#DIV/0!</v>
      </c>
    </row>
    <row r="223" spans="1:16" ht="9.75" customHeight="1">
      <c r="L223" s="20"/>
      <c r="N223" s="21"/>
      <c r="O223" s="21"/>
      <c r="P223" s="21"/>
    </row>
    <row r="224" spans="1:16" ht="36.75" customHeight="1"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7"/>
      <c r="O224" s="52"/>
      <c r="P224" s="115"/>
    </row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6.25" customHeight="1"/>
    <row r="243" ht="12.75"/>
    <row r="244" ht="12.75"/>
    <row r="245" ht="12.75"/>
    <row r="246" ht="12.75"/>
    <row r="250" ht="12.75"/>
    <row r="251" ht="12.75"/>
  </sheetData>
  <mergeCells count="70">
    <mergeCell ref="L222:M222"/>
    <mergeCell ref="A201:B201"/>
    <mergeCell ref="A202:B202"/>
    <mergeCell ref="A203:B203"/>
    <mergeCell ref="A205:B205"/>
    <mergeCell ref="A221:B221"/>
    <mergeCell ref="A211:B211"/>
    <mergeCell ref="A212:B212"/>
    <mergeCell ref="A213:B213"/>
    <mergeCell ref="A218:B218"/>
    <mergeCell ref="A219:B219"/>
    <mergeCell ref="A220:B220"/>
    <mergeCell ref="A206:B206"/>
    <mergeCell ref="A207:B207"/>
    <mergeCell ref="A208:B208"/>
    <mergeCell ref="J102:K102"/>
    <mergeCell ref="A215:B215"/>
    <mergeCell ref="A216:B216"/>
    <mergeCell ref="A217:B217"/>
    <mergeCell ref="A214:B214"/>
    <mergeCell ref="A209:B209"/>
    <mergeCell ref="A210:B210"/>
    <mergeCell ref="D149:E149"/>
    <mergeCell ref="D102:E102"/>
    <mergeCell ref="F102:I102"/>
    <mergeCell ref="D142:E142"/>
    <mergeCell ref="F142:I142"/>
    <mergeCell ref="J142:K142"/>
    <mergeCell ref="D130:E130"/>
    <mergeCell ref="D114:E114"/>
    <mergeCell ref="F114:I114"/>
    <mergeCell ref="J2:K2"/>
    <mergeCell ref="J14:K14"/>
    <mergeCell ref="D46:E46"/>
    <mergeCell ref="F46:I46"/>
    <mergeCell ref="J46:K46"/>
    <mergeCell ref="D21:E21"/>
    <mergeCell ref="D14:E14"/>
    <mergeCell ref="D38:I38"/>
    <mergeCell ref="J32:K32"/>
    <mergeCell ref="D63:E63"/>
    <mergeCell ref="F63:I63"/>
    <mergeCell ref="F69:I69"/>
    <mergeCell ref="F80:I80"/>
    <mergeCell ref="D2:E2"/>
    <mergeCell ref="F2:I2"/>
    <mergeCell ref="D32:E32"/>
    <mergeCell ref="F32:I32"/>
    <mergeCell ref="D69:E69"/>
    <mergeCell ref="F88:I88"/>
    <mergeCell ref="D95:E95"/>
    <mergeCell ref="D88:E88"/>
    <mergeCell ref="D193:I193"/>
    <mergeCell ref="F149:I149"/>
    <mergeCell ref="A204:B204"/>
    <mergeCell ref="J149:K149"/>
    <mergeCell ref="D56:I56"/>
    <mergeCell ref="J200:K200"/>
    <mergeCell ref="J114:K114"/>
    <mergeCell ref="J63:K63"/>
    <mergeCell ref="J69:K69"/>
    <mergeCell ref="J130:K130"/>
    <mergeCell ref="J88:K88"/>
    <mergeCell ref="F95:I95"/>
    <mergeCell ref="J95:K95"/>
    <mergeCell ref="J80:K80"/>
    <mergeCell ref="D80:E80"/>
    <mergeCell ref="F130:I130"/>
    <mergeCell ref="D200:E200"/>
    <mergeCell ref="F200:I200"/>
  </mergeCells>
  <phoneticPr fontId="0" type="noConversion"/>
  <pageMargins left="0.23622047244094491" right="0.11811023622047245" top="0.74803149606299213" bottom="0.27559055118110237" header="0.31496062992125984" footer="0.23622047244094491"/>
  <pageSetup paperSize="5" firstPageNumber="17" orientation="landscape" useFirstPageNumber="1" horizontalDpi="360" verticalDpi="360" r:id="rId1"/>
  <headerFooter scaleWithDoc="0" alignWithMargins="0">
    <oddHeader xml:space="preserve">&amp;C&amp;"Arial Narrow,Bold"&amp;12SEKOLAH MENENGAH PENGIRAN ANAK PUTERI HAJAH MASNA
YEAR 9, ASSESSMENT 1 2025
</oddHeader>
    <oddFooter>&amp;L&amp;8Exam Dept SMPAPHM&amp;CY9 2025</oddFooter>
  </headerFooter>
  <rowBreaks count="1" manualBreakCount="1">
    <brk id="198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23"/>
  <sheetViews>
    <sheetView view="pageLayout" zoomScale="90" zoomScaleNormal="100" zoomScalePageLayoutView="90" workbookViewId="0">
      <selection activeCell="AE15" sqref="AE15"/>
    </sheetView>
  </sheetViews>
  <sheetFormatPr defaultRowHeight="12.6"/>
  <cols>
    <col min="1" max="1" width="17.42578125" bestFit="1" customWidth="1"/>
    <col min="2" max="2" width="8" customWidth="1"/>
    <col min="3" max="3" width="8.5703125" customWidth="1"/>
    <col min="16" max="16" width="15.85546875" customWidth="1"/>
  </cols>
  <sheetData>
    <row r="2" spans="1:3" ht="30.95">
      <c r="A2" s="58" t="s">
        <v>136</v>
      </c>
      <c r="B2" s="14" t="s">
        <v>18</v>
      </c>
      <c r="C2" s="14" t="s">
        <v>20</v>
      </c>
    </row>
    <row r="3" spans="1:3" ht="17.45">
      <c r="A3" s="88" t="s">
        <v>115</v>
      </c>
      <c r="B3" s="26">
        <f>'ANALYSIS BY SUBJECTS'!N202</f>
        <v>63.380281690140848</v>
      </c>
      <c r="C3" s="28">
        <f>'ANALYSIS BY SUBJECTS'!P202</f>
        <v>99.295774647887328</v>
      </c>
    </row>
    <row r="4" spans="1:3" ht="17.45">
      <c r="A4" s="88" t="s">
        <v>116</v>
      </c>
      <c r="B4" s="26">
        <f>'ANALYSIS BY SUBJECTS'!N203</f>
        <v>70.370370370370367</v>
      </c>
      <c r="C4" s="28">
        <f>'ANALYSIS BY SUBJECTS'!P203</f>
        <v>98.76543209876543</v>
      </c>
    </row>
    <row r="5" spans="1:3" ht="17.45">
      <c r="A5" s="88" t="s">
        <v>117</v>
      </c>
      <c r="B5" s="26">
        <f>'ANALYSIS BY SUBJECTS'!N204</f>
        <v>73.68421052631578</v>
      </c>
      <c r="C5" s="28">
        <f>'ANALYSIS BY SUBJECTS'!P204</f>
        <v>94.73684210526315</v>
      </c>
    </row>
    <row r="6" spans="1:3" ht="17.45">
      <c r="A6" s="88" t="s">
        <v>118</v>
      </c>
      <c r="B6" s="26">
        <f>'ANALYSIS BY SUBJECTS'!N205</f>
        <v>59.615384615384613</v>
      </c>
      <c r="C6" s="26">
        <f>'ANALYSIS BY SUBJECTS'!P205</f>
        <v>85.576923076923066</v>
      </c>
    </row>
    <row r="7" spans="1:3" ht="17.45">
      <c r="A7" s="88" t="s">
        <v>120</v>
      </c>
      <c r="B7" s="26">
        <f>'ANALYSIS BY SUBJECTS'!N207</f>
        <v>45.679012345679013</v>
      </c>
      <c r="C7" s="26">
        <f>'ANALYSIS BY SUBJECTS'!P207</f>
        <v>71.604938271604937</v>
      </c>
    </row>
    <row r="8" spans="1:3" ht="17.45">
      <c r="A8" s="88" t="s">
        <v>121</v>
      </c>
      <c r="B8" s="26">
        <f>'ANALYSIS BY SUBJECTS'!N208</f>
        <v>40.983606557377051</v>
      </c>
      <c r="C8" s="26">
        <f>'ANALYSIS BY SUBJECTS'!P208</f>
        <v>75.409836065573771</v>
      </c>
    </row>
    <row r="9" spans="1:3" ht="17.45">
      <c r="A9" s="88" t="s">
        <v>122</v>
      </c>
      <c r="B9" s="26">
        <f>'ANALYSIS BY SUBJECTS'!N209</f>
        <v>18.421052631578945</v>
      </c>
      <c r="C9" s="26">
        <f>'ANALYSIS BY SUBJECTS'!P209</f>
        <v>73.68421052631578</v>
      </c>
    </row>
    <row r="10" spans="1:3" ht="17.45">
      <c r="A10" s="88" t="s">
        <v>123</v>
      </c>
      <c r="B10" s="26">
        <f>'ANALYSIS BY SUBJECTS'!N210</f>
        <v>10.526315789473683</v>
      </c>
      <c r="C10" s="26">
        <f>'ANALYSIS BY SUBJECTS'!P210</f>
        <v>68.421052631578945</v>
      </c>
    </row>
    <row r="11" spans="1:3" ht="17.45">
      <c r="A11" s="88" t="s">
        <v>124</v>
      </c>
      <c r="B11" s="26">
        <f>'ANALYSIS BY SUBJECTS'!N211</f>
        <v>42.857142857142854</v>
      </c>
      <c r="C11" s="26">
        <f>'ANALYSIS BY SUBJECTS'!P211</f>
        <v>73.80952380952381</v>
      </c>
    </row>
    <row r="12" spans="1:3" ht="17.45">
      <c r="A12" s="88" t="s">
        <v>125</v>
      </c>
      <c r="B12" s="26">
        <f>'ANALYSIS BY SUBJECTS'!N212</f>
        <v>79.577464788732399</v>
      </c>
      <c r="C12" s="26">
        <f>'ANALYSIS BY SUBJECTS'!P212</f>
        <v>92.25352112676056</v>
      </c>
    </row>
    <row r="13" spans="1:3" ht="17.45">
      <c r="A13" s="88" t="s">
        <v>126</v>
      </c>
      <c r="B13" s="26">
        <f>'ANALYSIS BY SUBJECTS'!N213</f>
        <v>93.023255813953483</v>
      </c>
      <c r="C13" s="28">
        <f>'ANALYSIS BY SUBJECTS'!P213</f>
        <v>100</v>
      </c>
    </row>
    <row r="14" spans="1:3" ht="17.45">
      <c r="A14" s="88" t="s">
        <v>127</v>
      </c>
      <c r="B14" s="26">
        <f>'ANALYSIS BY SUBJECTS'!N214</f>
        <v>56.521739130434781</v>
      </c>
      <c r="C14" s="116">
        <f>'ANALYSIS BY SUBJECTS'!P214</f>
        <v>95.652173913043484</v>
      </c>
    </row>
    <row r="15" spans="1:3" ht="17.45">
      <c r="A15" s="88" t="s">
        <v>128</v>
      </c>
      <c r="B15" s="26">
        <f>'ANALYSIS BY SUBJECTS'!N215</f>
        <v>23.52941176470588</v>
      </c>
      <c r="C15" s="105">
        <f>'ANALYSIS BY SUBJECTS'!P215</f>
        <v>70.588235294117652</v>
      </c>
    </row>
    <row r="16" spans="1:3" ht="17.45">
      <c r="A16" s="88" t="s">
        <v>129</v>
      </c>
      <c r="B16" s="26">
        <f>'ANALYSIS BY SUBJECTS'!N216</f>
        <v>80.952380952380949</v>
      </c>
      <c r="C16" s="26">
        <f>'ANALYSIS BY SUBJECTS'!P216</f>
        <v>95.238095238095227</v>
      </c>
    </row>
    <row r="17" spans="1:3" ht="17.45">
      <c r="A17" s="88" t="s">
        <v>130</v>
      </c>
      <c r="B17" s="26">
        <f>'ANALYSIS BY SUBJECTS'!N217</f>
        <v>16.666666666666664</v>
      </c>
      <c r="C17" s="26">
        <f>'ANALYSIS BY SUBJECTS'!P217</f>
        <v>50</v>
      </c>
    </row>
    <row r="18" spans="1:3" ht="17.45">
      <c r="A18" s="88" t="s">
        <v>131</v>
      </c>
      <c r="B18" s="26">
        <f>'ANALYSIS BY SUBJECTS'!N218</f>
        <v>48.837209302325576</v>
      </c>
      <c r="C18" s="26">
        <f>'ANALYSIS BY SUBJECTS'!P218</f>
        <v>93.023255813953483</v>
      </c>
    </row>
    <row r="19" spans="1:3" ht="17.45">
      <c r="A19" s="88" t="s">
        <v>132</v>
      </c>
      <c r="B19" s="26">
        <f>'ANALYSIS BY SUBJECTS'!N219</f>
        <v>47.368421052631575</v>
      </c>
      <c r="C19" s="26">
        <f>'ANALYSIS BY SUBJECTS'!P219</f>
        <v>86.842105263157904</v>
      </c>
    </row>
    <row r="20" spans="1:3" ht="17.45">
      <c r="A20" s="88" t="s">
        <v>133</v>
      </c>
      <c r="B20" s="26">
        <f>'ANALYSIS BY SUBJECTS'!N220</f>
        <v>67.741935483870961</v>
      </c>
      <c r="C20" s="26">
        <f>'ANALYSIS BY SUBJECTS'!P220</f>
        <v>100</v>
      </c>
    </row>
    <row r="21" spans="1:3" ht="17.45">
      <c r="A21" s="88" t="s">
        <v>134</v>
      </c>
      <c r="B21" s="26" t="e">
        <f>'ANALYSIS BY SUBJECTS'!N221</f>
        <v>#DIV/0!</v>
      </c>
      <c r="C21" s="26" t="e">
        <f>'ANALYSIS BY SUBJECTS'!P221</f>
        <v>#DIV/0!</v>
      </c>
    </row>
    <row r="22" spans="1:3" ht="12.75"/>
    <row r="23" spans="1:3" ht="12.75"/>
  </sheetData>
  <phoneticPr fontId="0" type="noConversion"/>
  <pageMargins left="0.48032407407407401" right="0.36400462962962998" top="1" bottom="1" header="0.5" footer="0.5"/>
  <pageSetup paperSize="5" scale="85" orientation="landscape" r:id="rId1"/>
  <headerFooter alignWithMargins="0">
    <oddHeader xml:space="preserve">&amp;CSEKOLAH MENENGAH PENGIRAN ANAK PUTERI HAJAH MASNA
YEAR 9, ASSESSMENT 1 2025
</oddHeader>
    <oddFooter>&amp;LExam Dept SMPAPHM&amp;CY9 2025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9"/>
  <sheetViews>
    <sheetView view="pageLayout" zoomScale="80" zoomScaleNormal="100" zoomScalePageLayoutView="80" workbookViewId="0">
      <selection activeCell="B20" sqref="B20"/>
    </sheetView>
  </sheetViews>
  <sheetFormatPr defaultRowHeight="12.6"/>
  <cols>
    <col min="1" max="1" width="14.5703125" customWidth="1"/>
    <col min="2" max="2" width="9.7109375" customWidth="1"/>
  </cols>
  <sheetData>
    <row r="2" spans="1:2" ht="26.1">
      <c r="A2" s="48" t="s">
        <v>137</v>
      </c>
      <c r="B2" s="47" t="s">
        <v>138</v>
      </c>
    </row>
    <row r="3" spans="1:2">
      <c r="A3" s="141" t="s">
        <v>139</v>
      </c>
      <c r="B3" s="144"/>
    </row>
    <row r="4" spans="1:2">
      <c r="A4" s="141" t="s">
        <v>140</v>
      </c>
      <c r="B4" s="144"/>
    </row>
    <row r="5" spans="1:2">
      <c r="A5" s="141" t="s">
        <v>141</v>
      </c>
      <c r="B5" s="144"/>
    </row>
    <row r="6" spans="1:2">
      <c r="A6" s="141" t="s">
        <v>142</v>
      </c>
      <c r="B6" s="144"/>
    </row>
    <row r="7" spans="1:2">
      <c r="A7" s="141" t="s">
        <v>143</v>
      </c>
      <c r="B7" s="144"/>
    </row>
    <row r="8" spans="1:2">
      <c r="A8" s="141" t="s">
        <v>144</v>
      </c>
      <c r="B8" s="144"/>
    </row>
    <row r="9" spans="1:2">
      <c r="A9" s="141" t="s">
        <v>145</v>
      </c>
      <c r="B9" s="144"/>
    </row>
  </sheetData>
  <phoneticPr fontId="0" type="noConversion"/>
  <pageMargins left="0.75" right="0.55000000000000004" top="1" bottom="1" header="0.5" footer="0.5"/>
  <pageSetup orientation="landscape" r:id="rId1"/>
  <headerFooter alignWithMargins="0">
    <oddHeader>&amp;CSEKOLAH MENENGAH PENGIRAN ANAK PUTERI HAJAH MASNA
MID YEAR EXAMINATION 2016, YEAR 10</oddHeader>
    <oddFooter>&amp;LExam Dept SMPAPHM&amp;CY9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182"/>
  <sheetViews>
    <sheetView zoomScaleNormal="75" workbookViewId="0">
      <selection activeCell="C11" sqref="C11"/>
    </sheetView>
  </sheetViews>
  <sheetFormatPr defaultRowHeight="12.6"/>
  <cols>
    <col min="1" max="1" width="16.42578125" customWidth="1"/>
    <col min="2" max="2" width="13.42578125" customWidth="1"/>
    <col min="3" max="3" width="9" customWidth="1"/>
    <col min="4" max="12" width="6.140625" customWidth="1"/>
    <col min="13" max="16" width="7.85546875" customWidth="1"/>
  </cols>
  <sheetData>
    <row r="1" spans="1:16" ht="15.6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ht="15.6">
      <c r="A2" s="40" t="s">
        <v>146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3" spans="1:16" s="5" customFormat="1" ht="15.6">
      <c r="A3" s="40"/>
      <c r="B3" s="40"/>
      <c r="C3" s="41"/>
      <c r="D3" s="244" t="s">
        <v>110</v>
      </c>
      <c r="E3" s="245"/>
      <c r="F3" s="244" t="s">
        <v>111</v>
      </c>
      <c r="G3" s="246"/>
      <c r="H3" s="246"/>
      <c r="I3" s="245"/>
      <c r="J3" s="244" t="s">
        <v>112</v>
      </c>
      <c r="K3" s="245"/>
      <c r="L3" s="42" t="s">
        <v>4</v>
      </c>
      <c r="M3" s="40"/>
      <c r="N3" s="40"/>
      <c r="O3" s="40"/>
      <c r="P3" s="40"/>
    </row>
    <row r="4" spans="1:16" s="36" customFormat="1" ht="30.95">
      <c r="A4" s="166" t="s">
        <v>136</v>
      </c>
      <c r="B4" s="166" t="s">
        <v>6</v>
      </c>
      <c r="C4" s="166" t="s">
        <v>7</v>
      </c>
      <c r="D4" s="166">
        <v>1</v>
      </c>
      <c r="E4" s="166">
        <v>2</v>
      </c>
      <c r="F4" s="166">
        <v>3</v>
      </c>
      <c r="G4" s="166">
        <v>4</v>
      </c>
      <c r="H4" s="166">
        <v>5</v>
      </c>
      <c r="I4" s="166">
        <v>6</v>
      </c>
      <c r="J4" s="166">
        <v>7</v>
      </c>
      <c r="K4" s="166">
        <v>8</v>
      </c>
      <c r="L4" s="166">
        <v>9</v>
      </c>
      <c r="M4" s="43" t="s">
        <v>17</v>
      </c>
      <c r="N4" s="43" t="s">
        <v>18</v>
      </c>
      <c r="O4" s="43" t="s">
        <v>19</v>
      </c>
      <c r="P4" s="43" t="s">
        <v>20</v>
      </c>
    </row>
    <row r="5" spans="1:16" s="5" customFormat="1" ht="15.6">
      <c r="A5" s="44" t="s">
        <v>115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2" t="e">
        <f t="shared" ref="N5:N13" si="0">((M5/C5)*100)</f>
        <v>#DIV/0!</v>
      </c>
      <c r="O5" s="35">
        <f t="shared" ref="O5:O13" si="1">SUM(D5:K5)</f>
        <v>0</v>
      </c>
      <c r="P5" s="32" t="e">
        <f t="shared" ref="P5:P13" si="2">((O5/C5)*100)</f>
        <v>#DIV/0!</v>
      </c>
    </row>
    <row r="6" spans="1:16" ht="15.6">
      <c r="A6" s="44" t="s">
        <v>147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2" t="e">
        <f t="shared" si="0"/>
        <v>#DIV/0!</v>
      </c>
      <c r="O6" s="35">
        <f t="shared" si="1"/>
        <v>0</v>
      </c>
      <c r="P6" s="32" t="e">
        <f t="shared" si="2"/>
        <v>#DIV/0!</v>
      </c>
    </row>
    <row r="7" spans="1:16" ht="15.6">
      <c r="A7" s="44" t="s">
        <v>148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2" t="e">
        <f t="shared" si="0"/>
        <v>#DIV/0!</v>
      </c>
      <c r="O7" s="35">
        <f t="shared" si="1"/>
        <v>0</v>
      </c>
      <c r="P7" s="32" t="e">
        <f t="shared" si="2"/>
        <v>#DIV/0!</v>
      </c>
    </row>
    <row r="8" spans="1:16" ht="15.6">
      <c r="A8" s="44" t="s">
        <v>149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2" t="e">
        <f t="shared" si="0"/>
        <v>#DIV/0!</v>
      </c>
      <c r="O8" s="35">
        <f t="shared" si="1"/>
        <v>0</v>
      </c>
      <c r="P8" s="32" t="e">
        <f t="shared" si="2"/>
        <v>#DIV/0!</v>
      </c>
    </row>
    <row r="9" spans="1:16" ht="15.6">
      <c r="A9" s="44" t="s">
        <v>120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2" t="e">
        <f t="shared" si="0"/>
        <v>#DIV/0!</v>
      </c>
      <c r="O9" s="35">
        <f t="shared" si="1"/>
        <v>0</v>
      </c>
      <c r="P9" s="32" t="e">
        <f t="shared" si="2"/>
        <v>#DIV/0!</v>
      </c>
    </row>
    <row r="10" spans="1:16" ht="15.6">
      <c r="A10" s="44" t="s">
        <v>121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2" t="e">
        <f t="shared" si="0"/>
        <v>#DIV/0!</v>
      </c>
      <c r="O10" s="35">
        <f t="shared" si="1"/>
        <v>0</v>
      </c>
      <c r="P10" s="32" t="e">
        <f t="shared" si="2"/>
        <v>#DIV/0!</v>
      </c>
    </row>
    <row r="11" spans="1:16" ht="15.6">
      <c r="A11" s="44" t="s">
        <v>122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2" t="e">
        <f t="shared" si="0"/>
        <v>#DIV/0!</v>
      </c>
      <c r="O11" s="35">
        <f t="shared" si="1"/>
        <v>0</v>
      </c>
      <c r="P11" s="32" t="e">
        <f t="shared" si="2"/>
        <v>#DIV/0!</v>
      </c>
    </row>
    <row r="12" spans="1:16" ht="15.6">
      <c r="A12" s="44" t="s">
        <v>124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2" t="e">
        <f t="shared" si="0"/>
        <v>#DIV/0!</v>
      </c>
      <c r="O12" s="35">
        <f t="shared" si="1"/>
        <v>0</v>
      </c>
      <c r="P12" s="32" t="e">
        <f t="shared" si="2"/>
        <v>#DIV/0!</v>
      </c>
    </row>
    <row r="13" spans="1:16" ht="15.6">
      <c r="A13" s="45" t="s">
        <v>150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2" t="e">
        <f t="shared" si="0"/>
        <v>#DIV/0!</v>
      </c>
      <c r="O13" s="35">
        <f t="shared" si="1"/>
        <v>0</v>
      </c>
      <c r="P13" s="32" t="e">
        <f t="shared" si="2"/>
        <v>#DIV/0!</v>
      </c>
    </row>
    <row r="14" spans="1:16" ht="15.6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37" t="e">
        <f>AVERAGE(N5:N13)</f>
        <v>#DIV/0!</v>
      </c>
      <c r="O14" s="38"/>
      <c r="P14" s="37" t="e">
        <f>AVERAGE(P5:P13)</f>
        <v>#DIV/0!</v>
      </c>
    </row>
    <row r="15" spans="1:16" ht="15.6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</row>
    <row r="16" spans="1:16" ht="15.6">
      <c r="A16" s="40" t="s">
        <v>151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</row>
    <row r="17" spans="1:16" s="5" customFormat="1" ht="15.6">
      <c r="A17" s="40"/>
      <c r="B17" s="40"/>
      <c r="C17" s="41"/>
      <c r="D17" s="244" t="s">
        <v>110</v>
      </c>
      <c r="E17" s="245"/>
      <c r="F17" s="244" t="s">
        <v>111</v>
      </c>
      <c r="G17" s="246"/>
      <c r="H17" s="246"/>
      <c r="I17" s="245"/>
      <c r="J17" s="244" t="s">
        <v>112</v>
      </c>
      <c r="K17" s="245"/>
      <c r="L17" s="42" t="s">
        <v>4</v>
      </c>
      <c r="M17" s="40"/>
      <c r="N17" s="40"/>
      <c r="O17" s="40"/>
      <c r="P17" s="40"/>
    </row>
    <row r="18" spans="1:16" s="36" customFormat="1" ht="30.95">
      <c r="A18" s="166" t="s">
        <v>136</v>
      </c>
      <c r="B18" s="166" t="s">
        <v>6</v>
      </c>
      <c r="C18" s="166" t="s">
        <v>7</v>
      </c>
      <c r="D18" s="166">
        <v>1</v>
      </c>
      <c r="E18" s="166">
        <v>2</v>
      </c>
      <c r="F18" s="166">
        <v>3</v>
      </c>
      <c r="G18" s="166">
        <v>4</v>
      </c>
      <c r="H18" s="166">
        <v>5</v>
      </c>
      <c r="I18" s="166">
        <v>6</v>
      </c>
      <c r="J18" s="166">
        <v>7</v>
      </c>
      <c r="K18" s="166">
        <v>8</v>
      </c>
      <c r="L18" s="166">
        <v>9</v>
      </c>
      <c r="M18" s="43" t="s">
        <v>17</v>
      </c>
      <c r="N18" s="43" t="s">
        <v>18</v>
      </c>
      <c r="O18" s="43" t="s">
        <v>19</v>
      </c>
      <c r="P18" s="43" t="s">
        <v>20</v>
      </c>
    </row>
    <row r="19" spans="1:16" ht="15.6">
      <c r="A19" s="44" t="s">
        <v>115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2" t="e">
        <f>((M19/C19)*100)</f>
        <v>#DIV/0!</v>
      </c>
      <c r="O19" s="35">
        <f>SUM(D19:K19)</f>
        <v>0</v>
      </c>
      <c r="P19" s="32" t="e">
        <f>((O19/C19)*100)</f>
        <v>#DIV/0!</v>
      </c>
    </row>
    <row r="20" spans="1:16" ht="15.6">
      <c r="A20" s="44" t="s">
        <v>147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2" t="e">
        <f>((M20/C20)*100)</f>
        <v>#DIV/0!</v>
      </c>
      <c r="O20" s="35">
        <f>SUM(D20:K20)</f>
        <v>0</v>
      </c>
      <c r="P20" s="32" t="e">
        <f>((O20/C20)*100)</f>
        <v>#DIV/0!</v>
      </c>
    </row>
    <row r="21" spans="1:16" ht="15.6">
      <c r="A21" s="44" t="s">
        <v>148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2" t="e">
        <f>((M21/C21)*100)</f>
        <v>#DIV/0!</v>
      </c>
      <c r="O21" s="35">
        <f>SUM(D21:K21)</f>
        <v>0</v>
      </c>
      <c r="P21" s="32" t="e">
        <f>((O21/C21)*100)</f>
        <v>#DIV/0!</v>
      </c>
    </row>
    <row r="22" spans="1:16" ht="15.6">
      <c r="A22" s="44" t="s">
        <v>120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2" t="e">
        <f t="shared" ref="N22:N28" si="3">((M22/C22)*100)</f>
        <v>#DIV/0!</v>
      </c>
      <c r="O22" s="35">
        <v>10</v>
      </c>
      <c r="P22" s="32" t="e">
        <f t="shared" ref="P22:P28" si="4">((O22/C22)*100)</f>
        <v>#DIV/0!</v>
      </c>
    </row>
    <row r="23" spans="1:16" ht="15.6">
      <c r="A23" s="44" t="s">
        <v>121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2" t="e">
        <f t="shared" si="3"/>
        <v>#DIV/0!</v>
      </c>
      <c r="O23" s="35">
        <v>10</v>
      </c>
      <c r="P23" s="32" t="e">
        <f t="shared" si="4"/>
        <v>#DIV/0!</v>
      </c>
    </row>
    <row r="24" spans="1:16" ht="15.6">
      <c r="A24" s="44" t="s">
        <v>122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2" t="e">
        <f t="shared" si="3"/>
        <v>#DIV/0!</v>
      </c>
      <c r="O24" s="35">
        <v>19</v>
      </c>
      <c r="P24" s="32" t="e">
        <f t="shared" si="4"/>
        <v>#DIV/0!</v>
      </c>
    </row>
    <row r="25" spans="1:16" ht="15.6">
      <c r="A25" s="44" t="s">
        <v>124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2" t="e">
        <f t="shared" si="3"/>
        <v>#DIV/0!</v>
      </c>
      <c r="O25" s="35">
        <v>19</v>
      </c>
      <c r="P25" s="32" t="e">
        <f t="shared" si="4"/>
        <v>#DIV/0!</v>
      </c>
    </row>
    <row r="26" spans="1:16" ht="15.6">
      <c r="A26" s="35" t="s">
        <v>152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2" t="e">
        <f t="shared" si="3"/>
        <v>#DIV/0!</v>
      </c>
      <c r="O26" s="35">
        <v>3</v>
      </c>
      <c r="P26" s="32" t="e">
        <f t="shared" si="4"/>
        <v>#DIV/0!</v>
      </c>
    </row>
    <row r="27" spans="1:16" ht="15.6">
      <c r="A27" s="45" t="s">
        <v>150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2" t="e">
        <f t="shared" si="3"/>
        <v>#DIV/0!</v>
      </c>
      <c r="O27" s="35">
        <v>2</v>
      </c>
      <c r="P27" s="32" t="e">
        <f t="shared" si="4"/>
        <v>#DIV/0!</v>
      </c>
    </row>
    <row r="28" spans="1:16" ht="15.6">
      <c r="A28" s="45" t="s">
        <v>153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2" t="e">
        <f t="shared" si="3"/>
        <v>#DIV/0!</v>
      </c>
      <c r="O28" s="35">
        <v>12</v>
      </c>
      <c r="P28" s="32" t="e">
        <f t="shared" si="4"/>
        <v>#DIV/0!</v>
      </c>
    </row>
    <row r="29" spans="1:16" ht="15.6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37" t="e">
        <f>AVERAGE(N19:N28)</f>
        <v>#DIV/0!</v>
      </c>
      <c r="O29" s="38"/>
      <c r="P29" s="37" t="e">
        <f>AVERAGE(P19:P28)</f>
        <v>#DIV/0!</v>
      </c>
    </row>
    <row r="30" spans="1:16" ht="15.6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6"/>
      <c r="O30" s="41"/>
      <c r="P30" s="46"/>
    </row>
    <row r="31" spans="1:16" ht="15.6">
      <c r="A31" s="40" t="s">
        <v>154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</row>
    <row r="32" spans="1:16" s="5" customFormat="1" ht="15.6">
      <c r="A32" s="40"/>
      <c r="B32" s="40"/>
      <c r="C32" s="41"/>
      <c r="D32" s="244" t="s">
        <v>110</v>
      </c>
      <c r="E32" s="245"/>
      <c r="F32" s="244" t="s">
        <v>111</v>
      </c>
      <c r="G32" s="246"/>
      <c r="H32" s="246"/>
      <c r="I32" s="245"/>
      <c r="J32" s="244" t="s">
        <v>112</v>
      </c>
      <c r="K32" s="245"/>
      <c r="L32" s="42" t="s">
        <v>4</v>
      </c>
      <c r="M32" s="40"/>
      <c r="N32" s="40"/>
      <c r="O32" s="40"/>
      <c r="P32" s="40"/>
    </row>
    <row r="33" spans="1:16" s="36" customFormat="1" ht="30.95">
      <c r="A33" s="166" t="s">
        <v>136</v>
      </c>
      <c r="B33" s="166" t="s">
        <v>6</v>
      </c>
      <c r="C33" s="166" t="s">
        <v>7</v>
      </c>
      <c r="D33" s="166">
        <v>1</v>
      </c>
      <c r="E33" s="166">
        <v>2</v>
      </c>
      <c r="F33" s="166">
        <v>3</v>
      </c>
      <c r="G33" s="166">
        <v>4</v>
      </c>
      <c r="H33" s="166">
        <v>5</v>
      </c>
      <c r="I33" s="166">
        <v>6</v>
      </c>
      <c r="J33" s="166">
        <v>7</v>
      </c>
      <c r="K33" s="166">
        <v>8</v>
      </c>
      <c r="L33" s="166">
        <v>9</v>
      </c>
      <c r="M33" s="43" t="s">
        <v>17</v>
      </c>
      <c r="N33" s="43" t="s">
        <v>18</v>
      </c>
      <c r="O33" s="43" t="s">
        <v>19</v>
      </c>
      <c r="P33" s="43" t="s">
        <v>20</v>
      </c>
    </row>
    <row r="34" spans="1:16" ht="15.6">
      <c r="A34" s="44" t="s">
        <v>115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2" t="e">
        <f t="shared" ref="N34:N42" si="5">((M34/C34)*100)</f>
        <v>#DIV/0!</v>
      </c>
      <c r="O34" s="35">
        <v>18</v>
      </c>
      <c r="P34" s="32" t="e">
        <f t="shared" ref="P34:P42" si="6">((O34/C34)*100)</f>
        <v>#DIV/0!</v>
      </c>
    </row>
    <row r="35" spans="1:16" ht="15.6">
      <c r="A35" s="44" t="s">
        <v>147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2" t="e">
        <f t="shared" si="5"/>
        <v>#DIV/0!</v>
      </c>
      <c r="O35" s="35">
        <v>15</v>
      </c>
      <c r="P35" s="32" t="e">
        <f t="shared" si="6"/>
        <v>#DIV/0!</v>
      </c>
    </row>
    <row r="36" spans="1:16" ht="15.6">
      <c r="A36" s="44" t="s">
        <v>148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2" t="e">
        <f t="shared" si="5"/>
        <v>#DIV/0!</v>
      </c>
      <c r="O36" s="35">
        <v>9</v>
      </c>
      <c r="P36" s="32" t="e">
        <f t="shared" si="6"/>
        <v>#DIV/0!</v>
      </c>
    </row>
    <row r="37" spans="1:16" ht="15.6">
      <c r="A37" s="44" t="s">
        <v>155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2" t="e">
        <f t="shared" si="5"/>
        <v>#DIV/0!</v>
      </c>
      <c r="O37" s="35">
        <v>6</v>
      </c>
      <c r="P37" s="32" t="e">
        <f t="shared" si="6"/>
        <v>#DIV/0!</v>
      </c>
    </row>
    <row r="38" spans="1:16" ht="15.6">
      <c r="A38" s="44" t="s">
        <v>124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2" t="e">
        <f t="shared" si="5"/>
        <v>#DIV/0!</v>
      </c>
      <c r="O38" s="35">
        <v>7</v>
      </c>
      <c r="P38" s="32" t="e">
        <f t="shared" si="6"/>
        <v>#DIV/0!</v>
      </c>
    </row>
    <row r="39" spans="1:16" ht="15.6">
      <c r="A39" s="44" t="s">
        <v>126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2" t="e">
        <f t="shared" si="5"/>
        <v>#DIV/0!</v>
      </c>
      <c r="O39" s="35">
        <v>14</v>
      </c>
      <c r="P39" s="32" t="e">
        <f t="shared" si="6"/>
        <v>#DIV/0!</v>
      </c>
    </row>
    <row r="40" spans="1:16" ht="15.6">
      <c r="A40" s="44" t="s">
        <v>125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2" t="e">
        <f t="shared" si="5"/>
        <v>#DIV/0!</v>
      </c>
      <c r="O40" s="35">
        <v>16</v>
      </c>
      <c r="P40" s="32" t="e">
        <f t="shared" si="6"/>
        <v>#DIV/0!</v>
      </c>
    </row>
    <row r="41" spans="1:16" ht="15.6">
      <c r="A41" s="45" t="s">
        <v>127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2" t="e">
        <f t="shared" si="5"/>
        <v>#DIV/0!</v>
      </c>
      <c r="O41" s="35">
        <v>14</v>
      </c>
      <c r="P41" s="32" t="e">
        <f t="shared" si="6"/>
        <v>#DIV/0!</v>
      </c>
    </row>
    <row r="42" spans="1:16" ht="15.6">
      <c r="A42" s="45" t="s">
        <v>156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2" t="e">
        <f t="shared" si="5"/>
        <v>#DIV/0!</v>
      </c>
      <c r="O42" s="35">
        <v>2</v>
      </c>
      <c r="P42" s="32" t="e">
        <f t="shared" si="6"/>
        <v>#DIV/0!</v>
      </c>
    </row>
    <row r="43" spans="1:16" ht="15.6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37" t="e">
        <f>AVERAGE(N34:N42)</f>
        <v>#DIV/0!</v>
      </c>
      <c r="O43" s="38"/>
      <c r="P43" s="37" t="e">
        <f>AVERAGE(P34:P42)</f>
        <v>#DIV/0!</v>
      </c>
    </row>
    <row r="44" spans="1:16" ht="15.6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6"/>
      <c r="O44" s="41"/>
      <c r="P44" s="46"/>
    </row>
    <row r="45" spans="1:16" ht="15.6">
      <c r="A45" s="40" t="s">
        <v>157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</row>
    <row r="46" spans="1:16" s="5" customFormat="1" ht="15.6">
      <c r="A46" s="40"/>
      <c r="B46" s="40"/>
      <c r="C46" s="41"/>
      <c r="D46" s="244" t="s">
        <v>110</v>
      </c>
      <c r="E46" s="245"/>
      <c r="F46" s="244" t="s">
        <v>111</v>
      </c>
      <c r="G46" s="246"/>
      <c r="H46" s="246"/>
      <c r="I46" s="245"/>
      <c r="J46" s="244" t="s">
        <v>112</v>
      </c>
      <c r="K46" s="245"/>
      <c r="L46" s="42" t="s">
        <v>4</v>
      </c>
      <c r="M46" s="40"/>
      <c r="N46" s="40"/>
      <c r="O46" s="40"/>
      <c r="P46" s="40"/>
    </row>
    <row r="47" spans="1:16" s="36" customFormat="1" ht="30.95">
      <c r="A47" s="166" t="s">
        <v>136</v>
      </c>
      <c r="B47" s="166" t="s">
        <v>6</v>
      </c>
      <c r="C47" s="166" t="s">
        <v>7</v>
      </c>
      <c r="D47" s="166">
        <v>1</v>
      </c>
      <c r="E47" s="166">
        <v>2</v>
      </c>
      <c r="F47" s="166">
        <v>3</v>
      </c>
      <c r="G47" s="166">
        <v>4</v>
      </c>
      <c r="H47" s="166">
        <v>5</v>
      </c>
      <c r="I47" s="166">
        <v>6</v>
      </c>
      <c r="J47" s="166">
        <v>7</v>
      </c>
      <c r="K47" s="166">
        <v>8</v>
      </c>
      <c r="L47" s="166">
        <v>9</v>
      </c>
      <c r="M47" s="43" t="s">
        <v>17</v>
      </c>
      <c r="N47" s="43" t="s">
        <v>18</v>
      </c>
      <c r="O47" s="43" t="s">
        <v>19</v>
      </c>
      <c r="P47" s="43" t="s">
        <v>20</v>
      </c>
    </row>
    <row r="48" spans="1:16" ht="15.6">
      <c r="A48" s="44" t="s">
        <v>115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2" t="e">
        <f t="shared" ref="N48:N56" si="7">((M48/C48)*100)</f>
        <v>#DIV/0!</v>
      </c>
      <c r="O48" s="35">
        <v>24</v>
      </c>
      <c r="P48" s="32" t="e">
        <f t="shared" ref="P48:P56" si="8">((O48/C48)*100)</f>
        <v>#DIV/0!</v>
      </c>
    </row>
    <row r="49" spans="1:16" ht="15.6">
      <c r="A49" s="44" t="s">
        <v>147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2" t="e">
        <f t="shared" si="7"/>
        <v>#DIV/0!</v>
      </c>
      <c r="O49" s="35">
        <v>20</v>
      </c>
      <c r="P49" s="32" t="e">
        <f t="shared" si="8"/>
        <v>#DIV/0!</v>
      </c>
    </row>
    <row r="50" spans="1:16" ht="15.6">
      <c r="A50" s="44" t="s">
        <v>148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2" t="e">
        <f t="shared" si="7"/>
        <v>#DIV/0!</v>
      </c>
      <c r="O50" s="35">
        <v>5</v>
      </c>
      <c r="P50" s="32" t="e">
        <f t="shared" si="8"/>
        <v>#DIV/0!</v>
      </c>
    </row>
    <row r="51" spans="1:16" ht="15.6">
      <c r="A51" s="44" t="s">
        <v>155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2" t="e">
        <f t="shared" si="7"/>
        <v>#DIV/0!</v>
      </c>
      <c r="O51" s="35">
        <v>10</v>
      </c>
      <c r="P51" s="32" t="e">
        <f t="shared" si="8"/>
        <v>#DIV/0!</v>
      </c>
    </row>
    <row r="52" spans="1:16" ht="15.6">
      <c r="A52" s="44" t="s">
        <v>124</v>
      </c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2" t="e">
        <f t="shared" si="7"/>
        <v>#DIV/0!</v>
      </c>
      <c r="O52" s="35">
        <v>12</v>
      </c>
      <c r="P52" s="32" t="e">
        <f t="shared" si="8"/>
        <v>#DIV/0!</v>
      </c>
    </row>
    <row r="53" spans="1:16" ht="15.6">
      <c r="A53" s="44" t="s">
        <v>126</v>
      </c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2" t="e">
        <f t="shared" si="7"/>
        <v>#DIV/0!</v>
      </c>
      <c r="O53" s="35">
        <v>13</v>
      </c>
      <c r="P53" s="32" t="e">
        <f t="shared" si="8"/>
        <v>#DIV/0!</v>
      </c>
    </row>
    <row r="54" spans="1:16" ht="15.6">
      <c r="A54" s="44" t="s">
        <v>125</v>
      </c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2" t="e">
        <f t="shared" si="7"/>
        <v>#DIV/0!</v>
      </c>
      <c r="O54" s="35">
        <v>22</v>
      </c>
      <c r="P54" s="32" t="e">
        <f t="shared" si="8"/>
        <v>#DIV/0!</v>
      </c>
    </row>
    <row r="55" spans="1:16" ht="15.6">
      <c r="A55" s="45" t="s">
        <v>158</v>
      </c>
      <c r="B55" s="35"/>
      <c r="C55" s="35"/>
      <c r="D55" s="42"/>
      <c r="E55" s="35"/>
      <c r="F55" s="35"/>
      <c r="G55" s="35"/>
      <c r="H55" s="35"/>
      <c r="I55" s="35"/>
      <c r="J55" s="42"/>
      <c r="K55" s="42"/>
      <c r="L55" s="42"/>
      <c r="M55" s="35"/>
      <c r="N55" s="32" t="e">
        <f t="shared" si="7"/>
        <v>#DIV/0!</v>
      </c>
      <c r="O55" s="35">
        <v>10</v>
      </c>
      <c r="P55" s="32" t="e">
        <f t="shared" si="8"/>
        <v>#DIV/0!</v>
      </c>
    </row>
    <row r="56" spans="1:16" ht="15.6">
      <c r="A56" s="45" t="s">
        <v>153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2" t="e">
        <f t="shared" si="7"/>
        <v>#DIV/0!</v>
      </c>
      <c r="O56" s="35">
        <v>8</v>
      </c>
      <c r="P56" s="32" t="e">
        <f t="shared" si="8"/>
        <v>#DIV/0!</v>
      </c>
    </row>
    <row r="57" spans="1:16" ht="15.6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37" t="e">
        <f>AVERAGE(N48:N56)</f>
        <v>#DIV/0!</v>
      </c>
      <c r="O57" s="38"/>
      <c r="P57" s="37" t="e">
        <f>AVERAGE(P48:P56)</f>
        <v>#DIV/0!</v>
      </c>
    </row>
    <row r="58" spans="1:16" ht="15.6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6"/>
      <c r="O58" s="41"/>
      <c r="P58" s="46"/>
    </row>
    <row r="59" spans="1:16" ht="15.6">
      <c r="A59" s="40" t="s">
        <v>159</v>
      </c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</row>
    <row r="60" spans="1:16" s="5" customFormat="1" ht="15.6">
      <c r="A60" s="40"/>
      <c r="B60" s="40"/>
      <c r="C60" s="41"/>
      <c r="D60" s="244" t="s">
        <v>110</v>
      </c>
      <c r="E60" s="245"/>
      <c r="F60" s="244" t="s">
        <v>111</v>
      </c>
      <c r="G60" s="246"/>
      <c r="H60" s="246"/>
      <c r="I60" s="245"/>
      <c r="J60" s="244" t="s">
        <v>112</v>
      </c>
      <c r="K60" s="245"/>
      <c r="L60" s="42" t="s">
        <v>4</v>
      </c>
      <c r="M60" s="40"/>
      <c r="N60" s="40"/>
      <c r="O60" s="40"/>
      <c r="P60" s="40"/>
    </row>
    <row r="61" spans="1:16" s="36" customFormat="1" ht="30.95">
      <c r="A61" s="166" t="s">
        <v>136</v>
      </c>
      <c r="B61" s="166" t="s">
        <v>6</v>
      </c>
      <c r="C61" s="166" t="s">
        <v>7</v>
      </c>
      <c r="D61" s="166">
        <v>1</v>
      </c>
      <c r="E61" s="166">
        <v>2</v>
      </c>
      <c r="F61" s="166">
        <v>3</v>
      </c>
      <c r="G61" s="166">
        <v>4</v>
      </c>
      <c r="H61" s="166">
        <v>5</v>
      </c>
      <c r="I61" s="166">
        <v>6</v>
      </c>
      <c r="J61" s="166">
        <v>7</v>
      </c>
      <c r="K61" s="166">
        <v>8</v>
      </c>
      <c r="L61" s="166">
        <v>9</v>
      </c>
      <c r="M61" s="43" t="s">
        <v>17</v>
      </c>
      <c r="N61" s="43" t="s">
        <v>18</v>
      </c>
      <c r="O61" s="43" t="s">
        <v>19</v>
      </c>
      <c r="P61" s="43" t="s">
        <v>20</v>
      </c>
    </row>
    <row r="62" spans="1:16" ht="15.6">
      <c r="A62" s="44" t="s">
        <v>115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2" t="e">
        <f t="shared" ref="N62:N69" si="9">((M62/C62)*100)</f>
        <v>#DIV/0!</v>
      </c>
      <c r="O62" s="35">
        <v>18</v>
      </c>
      <c r="P62" s="32" t="e">
        <f t="shared" ref="P62:P69" si="10">((O62/C62)*100)</f>
        <v>#DIV/0!</v>
      </c>
    </row>
    <row r="63" spans="1:16" ht="15.6">
      <c r="A63" s="44" t="s">
        <v>147</v>
      </c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2" t="e">
        <f t="shared" si="9"/>
        <v>#DIV/0!</v>
      </c>
      <c r="O63" s="35">
        <v>7</v>
      </c>
      <c r="P63" s="32" t="e">
        <f t="shared" si="10"/>
        <v>#DIV/0!</v>
      </c>
    </row>
    <row r="64" spans="1:16" ht="15.6">
      <c r="A64" s="44" t="s">
        <v>148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2" t="e">
        <f t="shared" si="9"/>
        <v>#DIV/0!</v>
      </c>
      <c r="O64" s="35">
        <v>2</v>
      </c>
      <c r="P64" s="32" t="e">
        <f t="shared" si="10"/>
        <v>#DIV/0!</v>
      </c>
    </row>
    <row r="65" spans="1:16" ht="15.6">
      <c r="A65" s="44" t="s">
        <v>155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2" t="e">
        <f t="shared" si="9"/>
        <v>#DIV/0!</v>
      </c>
      <c r="O65" s="35">
        <v>1</v>
      </c>
      <c r="P65" s="32" t="e">
        <f t="shared" si="10"/>
        <v>#DIV/0!</v>
      </c>
    </row>
    <row r="66" spans="1:16" ht="15.6">
      <c r="A66" s="44" t="s">
        <v>124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2" t="e">
        <f t="shared" si="9"/>
        <v>#DIV/0!</v>
      </c>
      <c r="O66" s="35">
        <v>9</v>
      </c>
      <c r="P66" s="32" t="e">
        <f t="shared" si="10"/>
        <v>#DIV/0!</v>
      </c>
    </row>
    <row r="67" spans="1:16" ht="15.6">
      <c r="A67" s="44" t="s">
        <v>125</v>
      </c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2" t="e">
        <f t="shared" si="9"/>
        <v>#DIV/0!</v>
      </c>
      <c r="O67" s="35">
        <v>15</v>
      </c>
      <c r="P67" s="32" t="e">
        <f t="shared" si="10"/>
        <v>#DIV/0!</v>
      </c>
    </row>
    <row r="68" spans="1:16" ht="15.6">
      <c r="A68" s="35" t="s">
        <v>127</v>
      </c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2" t="e">
        <f t="shared" si="9"/>
        <v>#DIV/0!</v>
      </c>
      <c r="O68" s="35">
        <v>17</v>
      </c>
      <c r="P68" s="32" t="e">
        <f t="shared" si="10"/>
        <v>#DIV/0!</v>
      </c>
    </row>
    <row r="69" spans="1:16" ht="15.6">
      <c r="A69" s="44" t="s">
        <v>132</v>
      </c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2" t="e">
        <f t="shared" si="9"/>
        <v>#DIV/0!</v>
      </c>
      <c r="O69" s="35">
        <v>17</v>
      </c>
      <c r="P69" s="32" t="e">
        <f t="shared" si="10"/>
        <v>#DIV/0!</v>
      </c>
    </row>
    <row r="70" spans="1:16" ht="15.6">
      <c r="A70" s="40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37" t="e">
        <f>AVERAGE(N62:N69)</f>
        <v>#DIV/0!</v>
      </c>
      <c r="O70" s="38"/>
      <c r="P70" s="37" t="e">
        <f>AVERAGE(P62:P69)</f>
        <v>#DIV/0!</v>
      </c>
    </row>
    <row r="71" spans="1:16" ht="15.6">
      <c r="A71" s="40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6"/>
      <c r="O71" s="41"/>
      <c r="P71" s="46"/>
    </row>
    <row r="72" spans="1:16" ht="15.6">
      <c r="A72" s="40" t="s">
        <v>160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</row>
    <row r="73" spans="1:16" ht="18" customHeight="1">
      <c r="A73" s="40"/>
      <c r="B73" s="40"/>
      <c r="C73" s="41"/>
      <c r="D73" s="244" t="s">
        <v>110</v>
      </c>
      <c r="E73" s="245"/>
      <c r="F73" s="244" t="s">
        <v>111</v>
      </c>
      <c r="G73" s="246"/>
      <c r="H73" s="246"/>
      <c r="I73" s="245"/>
      <c r="J73" s="244" t="s">
        <v>112</v>
      </c>
      <c r="K73" s="245"/>
      <c r="L73" s="42" t="s">
        <v>4</v>
      </c>
      <c r="M73" s="40"/>
      <c r="N73" s="40"/>
      <c r="O73" s="40"/>
      <c r="P73" s="40"/>
    </row>
    <row r="74" spans="1:16" s="5" customFormat="1" ht="30.95">
      <c r="A74" s="166" t="s">
        <v>136</v>
      </c>
      <c r="B74" s="166" t="s">
        <v>6</v>
      </c>
      <c r="C74" s="166" t="s">
        <v>7</v>
      </c>
      <c r="D74" s="166">
        <v>1</v>
      </c>
      <c r="E74" s="166">
        <v>2</v>
      </c>
      <c r="F74" s="166">
        <v>3</v>
      </c>
      <c r="G74" s="166">
        <v>4</v>
      </c>
      <c r="H74" s="166">
        <v>5</v>
      </c>
      <c r="I74" s="166">
        <v>6</v>
      </c>
      <c r="J74" s="166">
        <v>7</v>
      </c>
      <c r="K74" s="166">
        <v>8</v>
      </c>
      <c r="L74" s="166">
        <v>9</v>
      </c>
      <c r="M74" s="43" t="s">
        <v>17</v>
      </c>
      <c r="N74" s="43" t="s">
        <v>18</v>
      </c>
      <c r="O74" s="43" t="s">
        <v>19</v>
      </c>
      <c r="P74" s="43" t="s">
        <v>20</v>
      </c>
    </row>
    <row r="75" spans="1:16" s="36" customFormat="1" ht="15.6">
      <c r="A75" s="44" t="s">
        <v>115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2" t="e">
        <f t="shared" ref="N75:N82" si="11">((M75/C75)*100)</f>
        <v>#DIV/0!</v>
      </c>
      <c r="O75" s="35">
        <v>25</v>
      </c>
      <c r="P75" s="32" t="e">
        <f t="shared" ref="P75:P82" si="12">((O75/C75)*100)</f>
        <v>#DIV/0!</v>
      </c>
    </row>
    <row r="76" spans="1:16" ht="15.6">
      <c r="A76" s="44" t="s">
        <v>147</v>
      </c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2" t="e">
        <f t="shared" si="11"/>
        <v>#DIV/0!</v>
      </c>
      <c r="O76" s="35">
        <v>7</v>
      </c>
      <c r="P76" s="32" t="e">
        <f t="shared" si="12"/>
        <v>#DIV/0!</v>
      </c>
    </row>
    <row r="77" spans="1:16" ht="15.6">
      <c r="A77" s="44" t="s">
        <v>148</v>
      </c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2" t="e">
        <f t="shared" si="11"/>
        <v>#DIV/0!</v>
      </c>
      <c r="O77" s="35">
        <v>2</v>
      </c>
      <c r="P77" s="32" t="e">
        <f t="shared" si="12"/>
        <v>#DIV/0!</v>
      </c>
    </row>
    <row r="78" spans="1:16" ht="15.6">
      <c r="A78" s="44" t="s">
        <v>155</v>
      </c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2" t="e">
        <f t="shared" si="11"/>
        <v>#DIV/0!</v>
      </c>
      <c r="O78" s="35">
        <v>9</v>
      </c>
      <c r="P78" s="32" t="e">
        <f t="shared" si="12"/>
        <v>#DIV/0!</v>
      </c>
    </row>
    <row r="79" spans="1:16" ht="15.6">
      <c r="A79" s="44" t="s">
        <v>124</v>
      </c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2" t="e">
        <f t="shared" si="11"/>
        <v>#DIV/0!</v>
      </c>
      <c r="O79" s="35">
        <v>3</v>
      </c>
      <c r="P79" s="32" t="e">
        <f t="shared" si="12"/>
        <v>#DIV/0!</v>
      </c>
    </row>
    <row r="80" spans="1:16" s="5" customFormat="1" ht="15.6">
      <c r="A80" s="44" t="s">
        <v>125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2" t="e">
        <f t="shared" si="11"/>
        <v>#DIV/0!</v>
      </c>
      <c r="O80" s="35">
        <v>24</v>
      </c>
      <c r="P80" s="32" t="e">
        <f t="shared" si="12"/>
        <v>#DIV/0!</v>
      </c>
    </row>
    <row r="81" spans="1:17" ht="15.6">
      <c r="A81" s="45" t="s">
        <v>153</v>
      </c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2" t="e">
        <f t="shared" si="11"/>
        <v>#DIV/0!</v>
      </c>
      <c r="O81" s="35">
        <v>2</v>
      </c>
      <c r="P81" s="32" t="e">
        <f t="shared" si="12"/>
        <v>#DIV/0!</v>
      </c>
    </row>
    <row r="82" spans="1:17" s="5" customFormat="1" ht="15.6">
      <c r="A82" s="44" t="s">
        <v>132</v>
      </c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2" t="e">
        <f t="shared" si="11"/>
        <v>#DIV/0!</v>
      </c>
      <c r="O82" s="35">
        <v>24</v>
      </c>
      <c r="P82" s="32" t="e">
        <f t="shared" si="12"/>
        <v>#DIV/0!</v>
      </c>
      <c r="Q82"/>
    </row>
    <row r="83" spans="1:17" s="5" customFormat="1" ht="15.6">
      <c r="A83" s="40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37" t="e">
        <f>AVERAGE(N75:N82)</f>
        <v>#DIV/0!</v>
      </c>
      <c r="O83" s="38"/>
      <c r="P83" s="37" t="e">
        <f>AVERAGE(P75:P82)</f>
        <v>#DIV/0!</v>
      </c>
      <c r="Q83"/>
    </row>
    <row r="84" spans="1:17" s="5" customFormat="1" ht="15.6">
      <c r="A84" s="40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37"/>
      <c r="O84" s="38"/>
      <c r="P84" s="37"/>
      <c r="Q84"/>
    </row>
    <row r="85" spans="1:17" s="5" customFormat="1" ht="15.6">
      <c r="A85" s="40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37"/>
      <c r="O85" s="38"/>
      <c r="P85" s="37"/>
      <c r="Q85"/>
    </row>
    <row r="86" spans="1:17" ht="15.6">
      <c r="A86" s="40" t="s">
        <v>161</v>
      </c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</row>
    <row r="87" spans="1:17" s="5" customFormat="1" ht="15.6">
      <c r="A87" s="40"/>
      <c r="B87" s="40"/>
      <c r="C87" s="41"/>
      <c r="D87" s="244" t="s">
        <v>110</v>
      </c>
      <c r="E87" s="245"/>
      <c r="F87" s="244" t="s">
        <v>111</v>
      </c>
      <c r="G87" s="246"/>
      <c r="H87" s="246"/>
      <c r="I87" s="245"/>
      <c r="J87" s="244" t="s">
        <v>112</v>
      </c>
      <c r="K87" s="245"/>
      <c r="L87" s="42" t="s">
        <v>4</v>
      </c>
      <c r="M87" s="40"/>
      <c r="N87" s="40"/>
      <c r="O87" s="40"/>
      <c r="P87" s="40"/>
    </row>
    <row r="88" spans="1:17" s="36" customFormat="1" ht="30.95">
      <c r="A88" s="166" t="s">
        <v>136</v>
      </c>
      <c r="B88" s="166" t="s">
        <v>6</v>
      </c>
      <c r="C88" s="166" t="s">
        <v>7</v>
      </c>
      <c r="D88" s="166">
        <v>1</v>
      </c>
      <c r="E88" s="166">
        <v>2</v>
      </c>
      <c r="F88" s="166">
        <v>3</v>
      </c>
      <c r="G88" s="166">
        <v>4</v>
      </c>
      <c r="H88" s="166">
        <v>5</v>
      </c>
      <c r="I88" s="166">
        <v>6</v>
      </c>
      <c r="J88" s="166">
        <v>7</v>
      </c>
      <c r="K88" s="166">
        <v>8</v>
      </c>
      <c r="L88" s="166">
        <v>9</v>
      </c>
      <c r="M88" s="43" t="s">
        <v>17</v>
      </c>
      <c r="N88" s="43" t="s">
        <v>18</v>
      </c>
      <c r="O88" s="43" t="s">
        <v>19</v>
      </c>
      <c r="P88" s="43" t="s">
        <v>20</v>
      </c>
    </row>
    <row r="89" spans="1:17" ht="15.6">
      <c r="A89" s="44" t="s">
        <v>115</v>
      </c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2" t="e">
        <f t="shared" ref="N89:N95" si="13">((M89/C89)*100)</f>
        <v>#DIV/0!</v>
      </c>
      <c r="O89" s="35">
        <v>15</v>
      </c>
      <c r="P89" s="32" t="e">
        <f t="shared" ref="P89:P95" si="14">((O89/C89)*100)</f>
        <v>#DIV/0!</v>
      </c>
      <c r="Q89" s="5"/>
    </row>
    <row r="90" spans="1:17" s="5" customFormat="1" ht="15.6">
      <c r="A90" s="44" t="s">
        <v>147</v>
      </c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2" t="e">
        <f t="shared" si="13"/>
        <v>#DIV/0!</v>
      </c>
      <c r="O90" s="35">
        <v>1</v>
      </c>
      <c r="P90" s="32" t="e">
        <f t="shared" si="14"/>
        <v>#DIV/0!</v>
      </c>
      <c r="Q90"/>
    </row>
    <row r="91" spans="1:17" s="5" customFormat="1" ht="15.6">
      <c r="A91" s="44" t="s">
        <v>148</v>
      </c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2" t="e">
        <f t="shared" si="13"/>
        <v>#DIV/0!</v>
      </c>
      <c r="O91" s="35">
        <v>1</v>
      </c>
      <c r="P91" s="32" t="e">
        <f t="shared" si="14"/>
        <v>#DIV/0!</v>
      </c>
      <c r="Q91"/>
    </row>
    <row r="92" spans="1:17" s="5" customFormat="1" ht="15.6">
      <c r="A92" s="44" t="s">
        <v>155</v>
      </c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2" t="e">
        <f t="shared" si="13"/>
        <v>#DIV/0!</v>
      </c>
      <c r="O92" s="35">
        <v>0</v>
      </c>
      <c r="P92" s="32" t="e">
        <f t="shared" si="14"/>
        <v>#DIV/0!</v>
      </c>
      <c r="Q92"/>
    </row>
    <row r="93" spans="1:17" s="5" customFormat="1" ht="15.6">
      <c r="A93" s="44" t="s">
        <v>158</v>
      </c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2" t="e">
        <f t="shared" si="13"/>
        <v>#DIV/0!</v>
      </c>
      <c r="O93" s="35">
        <v>15</v>
      </c>
      <c r="P93" s="32" t="e">
        <f t="shared" si="14"/>
        <v>#DIV/0!</v>
      </c>
    </row>
    <row r="94" spans="1:17" s="5" customFormat="1" ht="15.6">
      <c r="A94" s="44" t="s">
        <v>125</v>
      </c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2" t="e">
        <f t="shared" si="13"/>
        <v>#DIV/0!</v>
      </c>
      <c r="O94" s="35">
        <v>12</v>
      </c>
      <c r="P94" s="32" t="e">
        <f t="shared" si="14"/>
        <v>#DIV/0!</v>
      </c>
    </row>
    <row r="95" spans="1:17" ht="13.5" customHeight="1">
      <c r="A95" s="44" t="s">
        <v>132</v>
      </c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2" t="e">
        <f t="shared" si="13"/>
        <v>#DIV/0!</v>
      </c>
      <c r="O95" s="35">
        <v>13</v>
      </c>
      <c r="P95" s="32" t="e">
        <f t="shared" si="14"/>
        <v>#DIV/0!</v>
      </c>
    </row>
    <row r="96" spans="1:17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37" t="e">
        <f>AVERAGE(N89:N95)</f>
        <v>#DIV/0!</v>
      </c>
      <c r="O96" s="38"/>
      <c r="P96" s="37" t="e">
        <f>AVERAGE(P89:P95)</f>
        <v>#DIV/0!</v>
      </c>
    </row>
    <row r="97" spans="1:16" ht="15" customHeight="1">
      <c r="A97" s="40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37"/>
      <c r="O97" s="38"/>
      <c r="P97" s="37"/>
    </row>
    <row r="98" spans="1:16" ht="15" customHeight="1">
      <c r="A98" s="40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37"/>
      <c r="O98" s="38"/>
      <c r="P98" s="37"/>
    </row>
    <row r="99" spans="1:16" ht="19.5" customHeight="1">
      <c r="A99" s="40" t="s">
        <v>162</v>
      </c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</row>
    <row r="100" spans="1:16" ht="18" customHeight="1">
      <c r="A100" s="40"/>
      <c r="B100" s="40"/>
      <c r="C100" s="41"/>
      <c r="D100" s="244" t="s">
        <v>110</v>
      </c>
      <c r="E100" s="245"/>
      <c r="F100" s="244" t="s">
        <v>111</v>
      </c>
      <c r="G100" s="246"/>
      <c r="H100" s="246"/>
      <c r="I100" s="245"/>
      <c r="J100" s="244" t="s">
        <v>112</v>
      </c>
      <c r="K100" s="245"/>
      <c r="L100" s="42" t="s">
        <v>4</v>
      </c>
      <c r="M100" s="40"/>
      <c r="N100" s="40"/>
      <c r="O100" s="40"/>
      <c r="P100" s="40"/>
    </row>
    <row r="101" spans="1:16" ht="35.25" customHeight="1">
      <c r="A101" s="166" t="s">
        <v>136</v>
      </c>
      <c r="B101" s="166" t="s">
        <v>6</v>
      </c>
      <c r="C101" s="166" t="s">
        <v>7</v>
      </c>
      <c r="D101" s="166">
        <v>1</v>
      </c>
      <c r="E101" s="166">
        <v>2</v>
      </c>
      <c r="F101" s="166">
        <v>3</v>
      </c>
      <c r="G101" s="166">
        <v>4</v>
      </c>
      <c r="H101" s="166">
        <v>5</v>
      </c>
      <c r="I101" s="166">
        <v>6</v>
      </c>
      <c r="J101" s="166">
        <v>7</v>
      </c>
      <c r="K101" s="166">
        <v>8</v>
      </c>
      <c r="L101" s="166">
        <v>9</v>
      </c>
      <c r="M101" s="43" t="s">
        <v>17</v>
      </c>
      <c r="N101" s="43" t="s">
        <v>18</v>
      </c>
      <c r="O101" s="43" t="s">
        <v>19</v>
      </c>
      <c r="P101" s="43" t="s">
        <v>20</v>
      </c>
    </row>
    <row r="102" spans="1:16" ht="15" customHeight="1">
      <c r="A102" s="44" t="s">
        <v>115</v>
      </c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2" t="e">
        <f t="shared" ref="N102:N108" si="15">((M102/C102)*100)</f>
        <v>#DIV/0!</v>
      </c>
      <c r="O102" s="35">
        <v>16</v>
      </c>
      <c r="P102" s="32" t="e">
        <f t="shared" ref="P102:P108" si="16">((O102/C102)*100)</f>
        <v>#DIV/0!</v>
      </c>
    </row>
    <row r="103" spans="1:16" ht="15" customHeight="1">
      <c r="A103" s="44" t="s">
        <v>147</v>
      </c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2" t="e">
        <f t="shared" si="15"/>
        <v>#DIV/0!</v>
      </c>
      <c r="O103" s="35">
        <v>6</v>
      </c>
      <c r="P103" s="32" t="e">
        <f t="shared" si="16"/>
        <v>#DIV/0!</v>
      </c>
    </row>
    <row r="104" spans="1:16" ht="15" customHeight="1">
      <c r="A104" s="44" t="s">
        <v>148</v>
      </c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2" t="e">
        <f t="shared" si="15"/>
        <v>#DIV/0!</v>
      </c>
      <c r="O104" s="35">
        <v>0</v>
      </c>
      <c r="P104" s="32" t="e">
        <f t="shared" si="16"/>
        <v>#DIV/0!</v>
      </c>
    </row>
    <row r="105" spans="1:16" ht="15" customHeight="1">
      <c r="A105" s="44" t="s">
        <v>155</v>
      </c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2" t="e">
        <f t="shared" si="15"/>
        <v>#DIV/0!</v>
      </c>
      <c r="O105" s="35">
        <v>0</v>
      </c>
      <c r="P105" s="32" t="e">
        <f t="shared" si="16"/>
        <v>#DIV/0!</v>
      </c>
    </row>
    <row r="106" spans="1:16" ht="15.75" customHeight="1">
      <c r="A106" s="44" t="s">
        <v>158</v>
      </c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2" t="e">
        <f t="shared" si="15"/>
        <v>#DIV/0!</v>
      </c>
      <c r="O106" s="35">
        <v>16</v>
      </c>
      <c r="P106" s="32" t="e">
        <f t="shared" si="16"/>
        <v>#DIV/0!</v>
      </c>
    </row>
    <row r="107" spans="1:16" ht="15" customHeight="1">
      <c r="A107" s="44" t="s">
        <v>125</v>
      </c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2" t="e">
        <f t="shared" si="15"/>
        <v>#DIV/0!</v>
      </c>
      <c r="O107" s="35">
        <v>11</v>
      </c>
      <c r="P107" s="32" t="e">
        <f t="shared" si="16"/>
        <v>#DIV/0!</v>
      </c>
    </row>
    <row r="108" spans="1:16" ht="15" customHeight="1">
      <c r="A108" s="44" t="s">
        <v>132</v>
      </c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2" t="e">
        <f t="shared" si="15"/>
        <v>#DIV/0!</v>
      </c>
      <c r="O108" s="35">
        <v>12</v>
      </c>
      <c r="P108" s="32" t="e">
        <f t="shared" si="16"/>
        <v>#DIV/0!</v>
      </c>
    </row>
    <row r="109" spans="1:16" ht="18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37" t="e">
        <f>AVERAGE(N102:N108)</f>
        <v>#DIV/0!</v>
      </c>
      <c r="O109" s="38"/>
      <c r="P109" s="37" t="e">
        <f>AVERAGE(P102:P108)</f>
        <v>#DIV/0!</v>
      </c>
    </row>
    <row r="110" spans="1:16" ht="21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</row>
    <row r="111" spans="1:16" ht="21" customHeight="1"/>
    <row r="112" spans="1:16" ht="21" customHeight="1"/>
    <row r="113" spans="2:18" ht="21" customHeight="1"/>
    <row r="114" spans="2:18" ht="12.75" customHeight="1">
      <c r="Q114" s="10"/>
      <c r="R114" s="11"/>
    </row>
    <row r="115" spans="2:18" ht="18.75" customHeight="1">
      <c r="B115" s="29"/>
      <c r="C115" s="29"/>
      <c r="D115" s="247" t="s">
        <v>110</v>
      </c>
      <c r="E115" s="248"/>
      <c r="F115" s="247" t="s">
        <v>111</v>
      </c>
      <c r="G115" s="249"/>
      <c r="H115" s="249"/>
      <c r="I115" s="248"/>
      <c r="J115" s="247" t="s">
        <v>112</v>
      </c>
      <c r="K115" s="248"/>
      <c r="L115" s="166" t="s">
        <v>4</v>
      </c>
      <c r="M115" s="29"/>
      <c r="N115" s="29"/>
      <c r="O115" s="29"/>
      <c r="P115" s="29"/>
    </row>
    <row r="116" spans="2:18" ht="30" customHeight="1">
      <c r="B116" s="149"/>
      <c r="C116" s="149"/>
      <c r="D116" s="232" t="s">
        <v>110</v>
      </c>
      <c r="E116" s="233"/>
      <c r="F116" s="232" t="s">
        <v>111</v>
      </c>
      <c r="G116" s="237"/>
      <c r="H116" s="237"/>
      <c r="I116" s="233"/>
      <c r="J116" s="232" t="s">
        <v>112</v>
      </c>
      <c r="K116" s="233"/>
      <c r="L116" s="13" t="s">
        <v>4</v>
      </c>
      <c r="M116" s="149"/>
      <c r="N116" s="149"/>
      <c r="O116" s="149"/>
      <c r="P116" s="149"/>
    </row>
    <row r="117" spans="2:18" ht="32.25" customHeight="1">
      <c r="B117" s="13" t="s">
        <v>113</v>
      </c>
      <c r="C117" s="13" t="s">
        <v>7</v>
      </c>
      <c r="D117" s="13">
        <v>1</v>
      </c>
      <c r="E117" s="13">
        <v>2</v>
      </c>
      <c r="F117" s="13">
        <v>3</v>
      </c>
      <c r="G117" s="13">
        <v>4</v>
      </c>
      <c r="H117" s="13">
        <v>5</v>
      </c>
      <c r="I117" s="13">
        <v>6</v>
      </c>
      <c r="J117" s="13">
        <v>7</v>
      </c>
      <c r="K117" s="13">
        <v>8</v>
      </c>
      <c r="L117" s="13">
        <v>9</v>
      </c>
      <c r="M117" s="14" t="s">
        <v>17</v>
      </c>
      <c r="N117" s="14" t="s">
        <v>18</v>
      </c>
      <c r="O117" s="14" t="s">
        <v>19</v>
      </c>
      <c r="P117" s="14" t="s">
        <v>20</v>
      </c>
    </row>
    <row r="118" spans="2:18" ht="21.75" customHeight="1">
      <c r="B118" s="23" t="s">
        <v>163</v>
      </c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30"/>
      <c r="O118" s="23"/>
      <c r="P118" s="30"/>
    </row>
    <row r="119" spans="2:18" ht="21" customHeight="1">
      <c r="B119" s="23" t="s">
        <v>164</v>
      </c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1"/>
      <c r="O119" s="33"/>
      <c r="P119" s="31"/>
    </row>
    <row r="120" spans="2:18" ht="21" customHeight="1">
      <c r="B120" s="23" t="s">
        <v>148</v>
      </c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30"/>
      <c r="O120" s="23"/>
      <c r="P120" s="30"/>
    </row>
    <row r="121" spans="2:18" ht="21" customHeight="1">
      <c r="B121" s="23" t="s">
        <v>165</v>
      </c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30"/>
      <c r="O121" s="23"/>
      <c r="P121" s="30"/>
    </row>
    <row r="122" spans="2:18" ht="21" customHeight="1">
      <c r="B122" s="23" t="s">
        <v>166</v>
      </c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30"/>
      <c r="O122" s="23"/>
      <c r="P122" s="30"/>
    </row>
    <row r="123" spans="2:18" ht="15.6">
      <c r="B123" s="23" t="s">
        <v>167</v>
      </c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30"/>
      <c r="O123" s="23"/>
      <c r="P123" s="30"/>
    </row>
    <row r="124" spans="2:18" ht="21" customHeight="1">
      <c r="B124" s="23" t="s">
        <v>168</v>
      </c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30"/>
      <c r="O124" s="23"/>
      <c r="P124" s="30"/>
    </row>
    <row r="125" spans="2:18" ht="15.6">
      <c r="B125" s="23" t="s">
        <v>169</v>
      </c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30"/>
      <c r="O125" s="23"/>
      <c r="P125" s="30"/>
    </row>
    <row r="126" spans="2:18" ht="15.6">
      <c r="B126" s="23" t="s">
        <v>170</v>
      </c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30"/>
      <c r="O126" s="23"/>
      <c r="P126" s="30"/>
    </row>
    <row r="127" spans="2:18" ht="15.6">
      <c r="B127" s="23" t="s">
        <v>171</v>
      </c>
      <c r="C127" s="34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2"/>
    </row>
    <row r="128" spans="2:18" ht="15.6">
      <c r="B128" s="23" t="s">
        <v>125</v>
      </c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30"/>
      <c r="O128" s="23"/>
      <c r="P128" s="30"/>
    </row>
    <row r="129" spans="2:16" ht="15.6">
      <c r="B129" s="23" t="s">
        <v>172</v>
      </c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30"/>
      <c r="O129" s="23"/>
      <c r="P129" s="30"/>
    </row>
    <row r="130" spans="2:16" ht="15.6">
      <c r="B130" s="23" t="s">
        <v>173</v>
      </c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30"/>
      <c r="O130" s="33"/>
      <c r="P130" s="30"/>
    </row>
    <row r="131" spans="2:16" ht="15.6">
      <c r="B131" s="23" t="s">
        <v>174</v>
      </c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30"/>
      <c r="O131" s="33"/>
      <c r="P131" s="30"/>
    </row>
    <row r="132" spans="2:16" ht="15.6">
      <c r="B132" s="23" t="s">
        <v>153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1"/>
      <c r="O132" s="33"/>
      <c r="P132" s="31"/>
    </row>
    <row r="133" spans="2:16" ht="15.6">
      <c r="B133" s="23" t="s">
        <v>175</v>
      </c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30"/>
      <c r="O133" s="33"/>
      <c r="P133" s="30"/>
    </row>
    <row r="134" spans="2:16" ht="15.6">
      <c r="B134" s="23" t="s">
        <v>158</v>
      </c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30"/>
      <c r="O134" s="33"/>
      <c r="P134" s="30"/>
    </row>
    <row r="135" spans="2:16" ht="15.6">
      <c r="B135" s="23" t="s">
        <v>176</v>
      </c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30"/>
      <c r="O135" s="23"/>
      <c r="P135" s="30"/>
    </row>
    <row r="136" spans="2:16" ht="20.100000000000001">
      <c r="B136" s="148"/>
      <c r="C136" s="148"/>
      <c r="D136" s="148"/>
      <c r="E136" s="148"/>
      <c r="F136" s="148"/>
      <c r="G136" s="148"/>
      <c r="H136" s="148"/>
      <c r="I136" s="148"/>
      <c r="J136" s="148"/>
      <c r="K136" s="148"/>
      <c r="L136" s="18" t="s">
        <v>135</v>
      </c>
      <c r="M136" s="148"/>
      <c r="N136" s="19" t="e">
        <f>AVERAGE(N118:N135)</f>
        <v>#DIV/0!</v>
      </c>
      <c r="O136" s="19"/>
      <c r="P136" s="19" t="e">
        <f>AVERAGE(P118:P135)</f>
        <v>#DIV/0!</v>
      </c>
    </row>
    <row r="137" spans="2:16" ht="20.100000000000001">
      <c r="L137" s="20"/>
      <c r="N137" s="21"/>
      <c r="O137" s="21"/>
      <c r="P137" s="21"/>
    </row>
    <row r="142" spans="2:16" ht="30.95">
      <c r="B142" s="13"/>
      <c r="C142" s="14" t="s">
        <v>18</v>
      </c>
      <c r="D142" s="14" t="s">
        <v>20</v>
      </c>
    </row>
    <row r="143" spans="2:16" ht="18">
      <c r="B143" s="15" t="s">
        <v>163</v>
      </c>
      <c r="C143" s="16"/>
      <c r="D143" s="22"/>
    </row>
    <row r="144" spans="2:16" ht="18">
      <c r="B144" s="15" t="s">
        <v>164</v>
      </c>
      <c r="C144" s="17"/>
      <c r="D144" s="17"/>
    </row>
    <row r="145" spans="2:4" ht="18">
      <c r="B145" s="15" t="s">
        <v>148</v>
      </c>
      <c r="C145" s="16"/>
      <c r="D145" s="16"/>
    </row>
    <row r="146" spans="2:4" ht="18">
      <c r="B146" s="15" t="s">
        <v>165</v>
      </c>
      <c r="C146" s="16"/>
      <c r="D146" s="16"/>
    </row>
    <row r="147" spans="2:4" ht="18">
      <c r="B147" s="15" t="s">
        <v>166</v>
      </c>
      <c r="C147" s="16"/>
      <c r="D147" s="16"/>
    </row>
    <row r="148" spans="2:4" ht="18">
      <c r="B148" s="15" t="s">
        <v>167</v>
      </c>
      <c r="C148" s="16"/>
      <c r="D148" s="16"/>
    </row>
    <row r="149" spans="2:4" ht="18">
      <c r="B149" s="15" t="s">
        <v>168</v>
      </c>
      <c r="C149" s="16"/>
      <c r="D149" s="22"/>
    </row>
    <row r="150" spans="2:4" ht="18">
      <c r="B150" s="15" t="s">
        <v>169</v>
      </c>
      <c r="C150" s="16"/>
      <c r="D150" s="16"/>
    </row>
    <row r="151" spans="2:4" ht="18">
      <c r="B151" s="15" t="s">
        <v>170</v>
      </c>
      <c r="C151" s="16"/>
      <c r="D151" s="16"/>
    </row>
    <row r="152" spans="2:4" ht="18">
      <c r="B152" s="15" t="s">
        <v>171</v>
      </c>
      <c r="C152" s="16"/>
      <c r="D152" s="16"/>
    </row>
    <row r="153" spans="2:4" ht="18">
      <c r="B153" s="15" t="s">
        <v>125</v>
      </c>
      <c r="C153" s="16"/>
      <c r="D153" s="22"/>
    </row>
    <row r="154" spans="2:4" ht="18">
      <c r="B154" s="15" t="s">
        <v>172</v>
      </c>
      <c r="C154" s="22"/>
      <c r="D154" s="22"/>
    </row>
    <row r="155" spans="2:4" ht="18">
      <c r="B155" s="15" t="s">
        <v>173</v>
      </c>
      <c r="C155" s="16"/>
      <c r="D155" s="16"/>
    </row>
    <row r="156" spans="2:4" ht="18">
      <c r="B156" s="15" t="s">
        <v>174</v>
      </c>
      <c r="C156" s="22"/>
      <c r="D156" s="22"/>
    </row>
    <row r="157" spans="2:4" ht="18">
      <c r="B157" s="15" t="s">
        <v>153</v>
      </c>
      <c r="C157" s="17"/>
      <c r="D157" s="17"/>
    </row>
    <row r="158" spans="2:4" ht="18">
      <c r="B158" s="15" t="s">
        <v>175</v>
      </c>
      <c r="C158" s="16"/>
      <c r="D158" s="16"/>
    </row>
    <row r="159" spans="2:4" ht="18">
      <c r="B159" s="15" t="s">
        <v>158</v>
      </c>
      <c r="C159" s="22"/>
      <c r="D159" s="22"/>
    </row>
    <row r="160" spans="2:4" ht="18">
      <c r="B160" s="15" t="s">
        <v>176</v>
      </c>
      <c r="C160" s="16"/>
      <c r="D160" s="16"/>
    </row>
    <row r="163" spans="17:19" ht="30.95">
      <c r="Q163" s="23" t="s">
        <v>177</v>
      </c>
      <c r="R163" s="24" t="s">
        <v>18</v>
      </c>
      <c r="S163" s="24" t="s">
        <v>20</v>
      </c>
    </row>
    <row r="164" spans="17:19" ht="24" customHeight="1">
      <c r="Q164" s="25" t="s">
        <v>163</v>
      </c>
      <c r="R164" s="26">
        <v>97.979797979797979</v>
      </c>
      <c r="S164" s="27">
        <v>100</v>
      </c>
    </row>
    <row r="165" spans="17:19" ht="24" customHeight="1">
      <c r="Q165" s="25" t="s">
        <v>164</v>
      </c>
      <c r="R165" s="28">
        <v>22</v>
      </c>
      <c r="S165" s="28">
        <v>50</v>
      </c>
    </row>
    <row r="166" spans="17:19" ht="24" customHeight="1">
      <c r="Q166" s="25" t="s">
        <v>148</v>
      </c>
      <c r="R166" s="26">
        <v>40</v>
      </c>
      <c r="S166" s="26">
        <v>63</v>
      </c>
    </row>
    <row r="167" spans="17:19" ht="24" customHeight="1">
      <c r="Q167" s="25" t="s">
        <v>165</v>
      </c>
      <c r="R167" s="26">
        <v>81.818181818181827</v>
      </c>
      <c r="S167" s="26">
        <v>90.909090909090907</v>
      </c>
    </row>
    <row r="168" spans="17:19" ht="24" customHeight="1">
      <c r="Q168" s="25" t="s">
        <v>166</v>
      </c>
      <c r="R168" s="26">
        <v>76.666666666666671</v>
      </c>
      <c r="S168" s="26">
        <v>93.333333333333329</v>
      </c>
    </row>
    <row r="169" spans="17:19" ht="24" customHeight="1">
      <c r="Q169" s="25" t="s">
        <v>167</v>
      </c>
      <c r="R169" s="26">
        <v>64</v>
      </c>
      <c r="S169" s="26">
        <v>84</v>
      </c>
    </row>
    <row r="170" spans="17:19" ht="24" customHeight="1">
      <c r="Q170" s="25" t="s">
        <v>168</v>
      </c>
      <c r="R170" s="26">
        <v>93.333333333333329</v>
      </c>
      <c r="S170" s="27">
        <v>100</v>
      </c>
    </row>
    <row r="171" spans="17:19" ht="24" customHeight="1">
      <c r="Q171" s="25" t="s">
        <v>169</v>
      </c>
      <c r="R171" s="26">
        <v>84</v>
      </c>
      <c r="S171" s="26">
        <v>98</v>
      </c>
    </row>
    <row r="172" spans="17:19" ht="24" customHeight="1">
      <c r="Q172" s="25" t="s">
        <v>170</v>
      </c>
      <c r="R172" s="26">
        <v>52</v>
      </c>
      <c r="S172" s="26">
        <v>68</v>
      </c>
    </row>
    <row r="173" spans="17:19" ht="24" customHeight="1">
      <c r="Q173" s="25" t="s">
        <v>171</v>
      </c>
      <c r="R173" s="26">
        <v>20</v>
      </c>
      <c r="S173" s="26">
        <v>65</v>
      </c>
    </row>
    <row r="174" spans="17:19" ht="24" customHeight="1">
      <c r="Q174" s="25" t="s">
        <v>125</v>
      </c>
      <c r="R174" s="26">
        <v>97.368421052631575</v>
      </c>
      <c r="S174" s="27">
        <v>100</v>
      </c>
    </row>
    <row r="175" spans="17:19" ht="24" customHeight="1">
      <c r="Q175" s="25" t="s">
        <v>172</v>
      </c>
      <c r="R175" s="27">
        <v>100</v>
      </c>
      <c r="S175" s="27">
        <v>100</v>
      </c>
    </row>
    <row r="176" spans="17:19" ht="24" customHeight="1">
      <c r="Q176" s="25" t="s">
        <v>173</v>
      </c>
      <c r="R176" s="26">
        <v>15.384615384615385</v>
      </c>
      <c r="S176" s="26">
        <v>76.923076923076934</v>
      </c>
    </row>
    <row r="177" spans="17:19" ht="24" customHeight="1">
      <c r="Q177" s="25" t="s">
        <v>174</v>
      </c>
      <c r="R177" s="27">
        <v>100</v>
      </c>
      <c r="S177" s="27">
        <v>100</v>
      </c>
    </row>
    <row r="178" spans="17:19" ht="24" customHeight="1">
      <c r="Q178" s="25" t="s">
        <v>153</v>
      </c>
      <c r="R178" s="28">
        <v>43.478260869565219</v>
      </c>
      <c r="S178" s="28">
        <v>73.91304347826086</v>
      </c>
    </row>
    <row r="179" spans="17:19" ht="24" customHeight="1">
      <c r="Q179" s="25" t="s">
        <v>175</v>
      </c>
      <c r="R179" s="26">
        <v>80</v>
      </c>
      <c r="S179" s="26">
        <v>80</v>
      </c>
    </row>
    <row r="180" spans="17:19" ht="24" customHeight="1">
      <c r="Q180" s="25" t="s">
        <v>158</v>
      </c>
      <c r="R180" s="27">
        <v>100</v>
      </c>
      <c r="S180" s="27">
        <v>100</v>
      </c>
    </row>
    <row r="181" spans="17:19" ht="24" customHeight="1">
      <c r="Q181" s="25" t="s">
        <v>176</v>
      </c>
      <c r="R181" s="26">
        <v>86.956521739130437</v>
      </c>
      <c r="S181" s="26">
        <v>95.652173913043484</v>
      </c>
    </row>
    <row r="182" spans="17:19">
      <c r="Q182" s="150"/>
      <c r="R182" s="150"/>
      <c r="S182" s="150"/>
    </row>
  </sheetData>
  <mergeCells count="30">
    <mergeCell ref="D3:E3"/>
    <mergeCell ref="F3:I3"/>
    <mergeCell ref="J3:K3"/>
    <mergeCell ref="D116:E116"/>
    <mergeCell ref="F116:I116"/>
    <mergeCell ref="J116:K116"/>
    <mergeCell ref="D115:E115"/>
    <mergeCell ref="F115:I115"/>
    <mergeCell ref="J115:K115"/>
    <mergeCell ref="D46:E46"/>
    <mergeCell ref="D60:E60"/>
    <mergeCell ref="F60:I60"/>
    <mergeCell ref="J60:K60"/>
    <mergeCell ref="F46:I46"/>
    <mergeCell ref="J46:K46"/>
    <mergeCell ref="D17:E17"/>
    <mergeCell ref="F17:I17"/>
    <mergeCell ref="J17:K17"/>
    <mergeCell ref="D32:E32"/>
    <mergeCell ref="F32:I32"/>
    <mergeCell ref="J32:K32"/>
    <mergeCell ref="D100:E100"/>
    <mergeCell ref="F100:I100"/>
    <mergeCell ref="J100:K100"/>
    <mergeCell ref="F73:I73"/>
    <mergeCell ref="J73:K73"/>
    <mergeCell ref="D87:E87"/>
    <mergeCell ref="F87:I87"/>
    <mergeCell ref="J87:K87"/>
    <mergeCell ref="D73:E73"/>
  </mergeCells>
  <phoneticPr fontId="0" type="noConversion"/>
  <pageMargins left="0.75" right="0.67" top="1.07" bottom="0.44" header="0.45" footer="0.25"/>
  <pageSetup paperSize="9" firstPageNumber="17" orientation="landscape" useFirstPageNumber="1" horizontalDpi="360" verticalDpi="360" r:id="rId1"/>
  <headerFooter alignWithMargins="0">
    <oddHeader>&amp;C&amp;"Arial Narrow,Bold"&amp;12SEKOLAH MENENGAH PENGIRAN ANAK PUTERI HAJAH MASNA
END OF YEAR EXAMINATION ANALYSIS 2007, MEN 4 O LEVEL</oddHeader>
    <oddFooter>&amp;L&amp;8Exam Dept SMPAPHM&amp;CM4'O'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2"/>
  <sheetViews>
    <sheetView view="pageLayout" zoomScaleNormal="100" workbookViewId="0">
      <selection activeCell="M11" sqref="M11"/>
    </sheetView>
  </sheetViews>
  <sheetFormatPr defaultRowHeight="12.6"/>
  <sheetData>
    <row r="1" spans="1:20" ht="36">
      <c r="A1" s="256" t="s">
        <v>178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</row>
    <row r="2" spans="1:20" ht="28.5">
      <c r="A2" s="257" t="s">
        <v>179</v>
      </c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</row>
    <row r="4" spans="1:20" s="80" customFormat="1" ht="18" customHeight="1">
      <c r="A4" s="79" t="s">
        <v>180</v>
      </c>
    </row>
    <row r="5" spans="1:20" s="80" customFormat="1" ht="18" customHeight="1">
      <c r="A5" s="79"/>
    </row>
    <row r="6" spans="1:20" s="80" customFormat="1" ht="18" customHeight="1">
      <c r="A6" s="150"/>
      <c r="B6" s="150"/>
      <c r="C6" s="258" t="s">
        <v>181</v>
      </c>
      <c r="D6" s="258"/>
      <c r="E6" s="258"/>
      <c r="F6" s="258"/>
      <c r="G6" s="258"/>
      <c r="H6" s="258"/>
      <c r="I6" s="258"/>
      <c r="J6" s="258"/>
      <c r="K6" s="258"/>
      <c r="L6" s="258"/>
      <c r="M6" s="258"/>
      <c r="N6" s="258"/>
      <c r="O6" s="258" t="s">
        <v>182</v>
      </c>
      <c r="P6" s="258"/>
      <c r="Q6" s="258"/>
      <c r="R6" s="258"/>
      <c r="S6" s="258"/>
      <c r="T6" s="258"/>
    </row>
    <row r="7" spans="1:20" s="80" customFormat="1" ht="18" customHeight="1">
      <c r="A7" s="149"/>
      <c r="B7" s="149"/>
      <c r="C7" s="259" t="s">
        <v>183</v>
      </c>
      <c r="D7" s="259"/>
      <c r="E7" s="254" t="s">
        <v>110</v>
      </c>
      <c r="F7" s="255"/>
      <c r="G7" s="259" t="s">
        <v>111</v>
      </c>
      <c r="H7" s="259"/>
      <c r="I7" s="254" t="s">
        <v>112</v>
      </c>
      <c r="J7" s="260"/>
      <c r="K7" s="260"/>
      <c r="L7" s="255"/>
      <c r="M7" s="167" t="s">
        <v>4</v>
      </c>
      <c r="N7" s="81" t="s">
        <v>184</v>
      </c>
      <c r="O7" s="82" t="s">
        <v>110</v>
      </c>
      <c r="P7" s="82" t="s">
        <v>111</v>
      </c>
      <c r="Q7" s="82" t="s">
        <v>112</v>
      </c>
      <c r="R7" s="82" t="s">
        <v>4</v>
      </c>
      <c r="S7" s="151" t="s">
        <v>111</v>
      </c>
      <c r="T7" s="151" t="s">
        <v>112</v>
      </c>
    </row>
    <row r="8" spans="1:20" s="80" customFormat="1" ht="23.25" customHeight="1">
      <c r="A8" s="254" t="s">
        <v>113</v>
      </c>
      <c r="B8" s="255"/>
      <c r="C8" s="81" t="s">
        <v>185</v>
      </c>
      <c r="D8" s="167" t="s">
        <v>186</v>
      </c>
      <c r="E8" s="167" t="s">
        <v>8</v>
      </c>
      <c r="F8" s="167" t="s">
        <v>187</v>
      </c>
      <c r="G8" s="167" t="s">
        <v>188</v>
      </c>
      <c r="H8" s="167" t="s">
        <v>43</v>
      </c>
      <c r="I8" s="167" t="s">
        <v>44</v>
      </c>
      <c r="J8" s="167" t="s">
        <v>45</v>
      </c>
      <c r="K8" s="167" t="s">
        <v>46</v>
      </c>
      <c r="L8" s="167" t="s">
        <v>47</v>
      </c>
      <c r="M8" s="167" t="s">
        <v>16</v>
      </c>
      <c r="N8" s="167" t="s">
        <v>189</v>
      </c>
      <c r="O8" s="83" t="s">
        <v>190</v>
      </c>
      <c r="P8" s="83" t="s">
        <v>191</v>
      </c>
      <c r="Q8" s="83" t="s">
        <v>192</v>
      </c>
      <c r="R8" s="83" t="s">
        <v>16</v>
      </c>
      <c r="S8" s="84" t="s">
        <v>193</v>
      </c>
      <c r="T8" s="84" t="s">
        <v>194</v>
      </c>
    </row>
    <row r="9" spans="1:20" s="80" customFormat="1" ht="28.7" customHeight="1">
      <c r="A9" s="252" t="s">
        <v>195</v>
      </c>
      <c r="B9" s="253"/>
      <c r="C9" s="33">
        <f>'ANALYSIS BY SUBJECTS'!$C$43</f>
        <v>0</v>
      </c>
      <c r="D9" s="33">
        <f>'ANALYSIS BY SUBJECTS'!$C$43</f>
        <v>0</v>
      </c>
      <c r="E9" s="85"/>
      <c r="F9" s="85"/>
      <c r="G9" s="85"/>
      <c r="H9" s="33">
        <f>'ANALYSIS BY SUBJECTS'!D43</f>
        <v>0</v>
      </c>
      <c r="I9" s="33">
        <f>'ANALYSIS BY SUBJECTS'!E43</f>
        <v>0</v>
      </c>
      <c r="J9" s="33">
        <f>'ANALYSIS BY SUBJECTS'!F43</f>
        <v>0</v>
      </c>
      <c r="K9" s="33">
        <f>'ANALYSIS BY SUBJECTS'!G43</f>
        <v>0</v>
      </c>
      <c r="L9" s="33">
        <f>'ANALYSIS BY SUBJECTS'!H43</f>
        <v>0</v>
      </c>
      <c r="M9" s="33">
        <f>'ANALYSIS BY SUBJECTS'!I43</f>
        <v>0</v>
      </c>
      <c r="N9" s="33"/>
      <c r="O9" s="86" t="e">
        <f>((E9+F9)/C9)</f>
        <v>#DIV/0!</v>
      </c>
      <c r="P9" s="86" t="e">
        <f>(SUM(G9:H9)/C9)</f>
        <v>#DIV/0!</v>
      </c>
      <c r="Q9" s="86" t="e">
        <f>(SUM(I9:L9)/C9)</f>
        <v>#DIV/0!</v>
      </c>
      <c r="R9" s="86" t="e">
        <f>M9/C9</f>
        <v>#DIV/0!</v>
      </c>
      <c r="S9" s="87" t="e">
        <f>(SUM(E9:H9)/C9)</f>
        <v>#DIV/0!</v>
      </c>
      <c r="T9" s="87" t="e">
        <f>(SUM(E9:L9)/D9)</f>
        <v>#DIV/0!</v>
      </c>
    </row>
    <row r="10" spans="1:20" s="80" customFormat="1" ht="28.7" customHeight="1">
      <c r="A10" s="250" t="s">
        <v>196</v>
      </c>
      <c r="B10" s="251"/>
      <c r="C10" s="33">
        <f>'ANALYSIS BY SUBJECTS'!$C$60</f>
        <v>38</v>
      </c>
      <c r="D10" s="33">
        <f>'ANALYSIS BY SUBJECTS'!$C$60</f>
        <v>38</v>
      </c>
      <c r="E10" s="85"/>
      <c r="F10" s="85"/>
      <c r="G10" s="85"/>
      <c r="H10" s="33">
        <v>1</v>
      </c>
      <c r="I10" s="33" t="e">
        <f>'ANALYSIS BY SUBJECTS'!#REF!</f>
        <v>#REF!</v>
      </c>
      <c r="J10" s="33">
        <v>2</v>
      </c>
      <c r="K10" s="33">
        <v>15</v>
      </c>
      <c r="L10" s="33">
        <v>38</v>
      </c>
      <c r="M10" s="33">
        <v>27</v>
      </c>
      <c r="N10" s="33"/>
      <c r="O10" s="86">
        <f>((E10+F10)/C10)</f>
        <v>0</v>
      </c>
      <c r="P10" s="86">
        <f>(SUM(G10:H10)/C10)</f>
        <v>2.6315789473684209E-2</v>
      </c>
      <c r="Q10" s="86" t="e">
        <f>(SUM(I10:L10)/C10)</f>
        <v>#REF!</v>
      </c>
      <c r="R10" s="86">
        <f>M10/C10</f>
        <v>0.71052631578947367</v>
      </c>
      <c r="S10" s="87">
        <f>(SUM(E10:H10)/C10)</f>
        <v>2.6315789473684209E-2</v>
      </c>
      <c r="T10" s="87" t="e">
        <f>(SUM(E10:L10)/D10)</f>
        <v>#REF!</v>
      </c>
    </row>
    <row r="11" spans="1:20" s="80" customFormat="1" ht="28.7" customHeight="1">
      <c r="A11" s="252" t="s">
        <v>197</v>
      </c>
      <c r="B11" s="253"/>
      <c r="C11" s="33">
        <v>21</v>
      </c>
      <c r="D11" s="33">
        <v>21</v>
      </c>
      <c r="E11" s="104" t="e">
        <f>'ANALYSIS BY SUBJECTS'!#REF!</f>
        <v>#REF!</v>
      </c>
      <c r="F11" s="104" t="e">
        <f>'ANALYSIS BY SUBJECTS'!#REF!</f>
        <v>#REF!</v>
      </c>
      <c r="G11" s="104">
        <v>2</v>
      </c>
      <c r="H11" s="33">
        <v>7</v>
      </c>
      <c r="I11" s="33">
        <v>4</v>
      </c>
      <c r="J11" s="33">
        <v>1</v>
      </c>
      <c r="K11" s="33">
        <v>0</v>
      </c>
      <c r="L11" s="33">
        <v>0</v>
      </c>
      <c r="M11" s="33" t="e">
        <f>'ANALYSIS BY SUBJECTS'!#REF!</f>
        <v>#REF!</v>
      </c>
      <c r="N11" s="33"/>
      <c r="O11" s="86" t="e">
        <f>((E11+F11)/C11)</f>
        <v>#REF!</v>
      </c>
      <c r="P11" s="86">
        <f>(SUM(G11:H11)/C11)</f>
        <v>0.42857142857142855</v>
      </c>
      <c r="Q11" s="86">
        <f>(SUM(I11:L11)/C11)</f>
        <v>0.23809523809523808</v>
      </c>
      <c r="R11" s="86" t="e">
        <f>M11/C11</f>
        <v>#REF!</v>
      </c>
      <c r="S11" s="87" t="e">
        <f>(SUM(E11:H11)/C11)</f>
        <v>#REF!</v>
      </c>
      <c r="T11" s="87" t="e">
        <f>(SUM(E11:L11)/D11)</f>
        <v>#REF!</v>
      </c>
    </row>
    <row r="12" spans="1:20" s="80" customFormat="1" ht="28.7" hidden="1" customHeight="1">
      <c r="A12" s="252" t="s">
        <v>198</v>
      </c>
      <c r="B12" s="253"/>
      <c r="C12" s="33"/>
      <c r="D12" s="33"/>
      <c r="E12" s="33"/>
      <c r="F12" s="33"/>
      <c r="G12" s="33"/>
      <c r="H12" s="33"/>
      <c r="I12" s="33"/>
      <c r="J12" s="33"/>
      <c r="K12" s="85"/>
      <c r="L12" s="85"/>
      <c r="M12" s="33"/>
      <c r="N12" s="33"/>
      <c r="O12" s="86" t="e">
        <f>((E12+F12)/C12)</f>
        <v>#DIV/0!</v>
      </c>
      <c r="P12" s="86" t="e">
        <f>(SUM(G12:H12)/C12)</f>
        <v>#DIV/0!</v>
      </c>
      <c r="Q12" s="86" t="e">
        <f>(SUM(I12:L12)/C12)</f>
        <v>#DIV/0!</v>
      </c>
      <c r="R12" s="86" t="e">
        <f>M12/C12</f>
        <v>#DIV/0!</v>
      </c>
      <c r="S12" s="87" t="e">
        <f>(SUM(E12:H12)/C12)</f>
        <v>#DIV/0!</v>
      </c>
      <c r="T12" s="87" t="e">
        <f>(SUM(E12:L12)/D12)</f>
        <v>#DIV/0!</v>
      </c>
    </row>
  </sheetData>
  <mergeCells count="13">
    <mergeCell ref="A1:T1"/>
    <mergeCell ref="A2:T2"/>
    <mergeCell ref="C6:N6"/>
    <mergeCell ref="O6:T6"/>
    <mergeCell ref="C7:D7"/>
    <mergeCell ref="E7:F7"/>
    <mergeCell ref="G7:H7"/>
    <mergeCell ref="I7:L7"/>
    <mergeCell ref="A10:B10"/>
    <mergeCell ref="A12:B12"/>
    <mergeCell ref="A8:B8"/>
    <mergeCell ref="A9:B9"/>
    <mergeCell ref="A11:B11"/>
  </mergeCells>
  <pageMargins left="0.7" right="0.7" top="0.75" bottom="0.75" header="0.3" footer="0.3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6"/>
  <sheetViews>
    <sheetView view="pageLayout" topLeftCell="A10" zoomScaleNormal="100" workbookViewId="0">
      <selection activeCell="X29" sqref="X29"/>
    </sheetView>
  </sheetViews>
  <sheetFormatPr defaultColWidth="9.140625" defaultRowHeight="9.9499999999999993"/>
  <cols>
    <col min="1" max="1" width="14.7109375" style="90" customWidth="1"/>
    <col min="2" max="2" width="8.28515625" style="90" customWidth="1"/>
    <col min="3" max="3" width="12.7109375" style="90" bestFit="1" customWidth="1"/>
    <col min="4" max="13" width="5.7109375" style="90" customWidth="1"/>
    <col min="14" max="14" width="8.42578125" style="90" bestFit="1" customWidth="1"/>
    <col min="15" max="18" width="8.42578125" style="90" customWidth="1"/>
    <col min="19" max="19" width="14.42578125" style="90" customWidth="1"/>
    <col min="20" max="23" width="8.7109375" style="90" customWidth="1"/>
    <col min="24" max="16384" width="9.140625" style="90"/>
  </cols>
  <sheetData>
    <row r="1" spans="1:21" ht="24.95">
      <c r="A1" s="225" t="s">
        <v>199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</row>
    <row r="2" spans="1:21" ht="23.1">
      <c r="A2" s="226" t="s">
        <v>200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</row>
    <row r="4" spans="1:21" ht="18" customHeight="1">
      <c r="A4" s="72"/>
      <c r="B4" s="72"/>
      <c r="C4" s="214" t="s">
        <v>181</v>
      </c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 t="s">
        <v>182</v>
      </c>
      <c r="P4" s="214"/>
      <c r="Q4" s="214"/>
      <c r="R4" s="214"/>
      <c r="S4" s="214"/>
      <c r="T4" s="214"/>
      <c r="U4" s="91" t="s">
        <v>201</v>
      </c>
    </row>
    <row r="5" spans="1:21" ht="18" customHeight="1">
      <c r="A5" s="92"/>
      <c r="B5" s="92"/>
      <c r="C5" s="215" t="s">
        <v>183</v>
      </c>
      <c r="D5" s="215"/>
      <c r="E5" s="216" t="s">
        <v>110</v>
      </c>
      <c r="F5" s="217"/>
      <c r="G5" s="216" t="s">
        <v>111</v>
      </c>
      <c r="H5" s="218"/>
      <c r="I5" s="218"/>
      <c r="J5" s="217"/>
      <c r="K5" s="216" t="s">
        <v>112</v>
      </c>
      <c r="L5" s="217"/>
      <c r="M5" s="168" t="s">
        <v>4</v>
      </c>
      <c r="N5" s="168" t="s">
        <v>184</v>
      </c>
      <c r="O5" s="93" t="s">
        <v>110</v>
      </c>
      <c r="P5" s="93" t="s">
        <v>111</v>
      </c>
      <c r="Q5" s="93" t="s">
        <v>112</v>
      </c>
      <c r="R5" s="93" t="s">
        <v>4</v>
      </c>
      <c r="S5" s="94" t="s">
        <v>111</v>
      </c>
      <c r="T5" s="94" t="s">
        <v>112</v>
      </c>
      <c r="U5" s="95"/>
    </row>
    <row r="6" spans="1:21" ht="26.25" customHeight="1">
      <c r="A6" s="216" t="s">
        <v>113</v>
      </c>
      <c r="B6" s="217"/>
      <c r="C6" s="168" t="s">
        <v>185</v>
      </c>
      <c r="D6" s="168" t="s">
        <v>186</v>
      </c>
      <c r="E6" s="13" t="s">
        <v>114</v>
      </c>
      <c r="F6" s="13" t="s">
        <v>9</v>
      </c>
      <c r="G6" s="13" t="s">
        <v>10</v>
      </c>
      <c r="H6" s="13" t="s">
        <v>11</v>
      </c>
      <c r="I6" s="13" t="s">
        <v>12</v>
      </c>
      <c r="J6" s="13" t="s">
        <v>13</v>
      </c>
      <c r="K6" s="13" t="s">
        <v>14</v>
      </c>
      <c r="L6" s="13" t="s">
        <v>15</v>
      </c>
      <c r="M6" s="13" t="s">
        <v>16</v>
      </c>
      <c r="N6" s="168" t="s">
        <v>189</v>
      </c>
      <c r="O6" s="96" t="s">
        <v>202</v>
      </c>
      <c r="P6" s="96" t="s">
        <v>203</v>
      </c>
      <c r="Q6" s="96" t="s">
        <v>204</v>
      </c>
      <c r="R6" s="96" t="s">
        <v>205</v>
      </c>
      <c r="S6" s="97" t="s">
        <v>18</v>
      </c>
      <c r="T6" s="97" t="s">
        <v>20</v>
      </c>
      <c r="U6" s="95"/>
    </row>
    <row r="7" spans="1:21" ht="18" customHeight="1">
      <c r="A7" s="212" t="s">
        <v>115</v>
      </c>
      <c r="B7" s="213"/>
      <c r="C7" s="98">
        <f>'ANALYSIS BY SUBJECTS'!C202</f>
        <v>142</v>
      </c>
      <c r="D7" s="98">
        <f>'ANALYSIS BY SUBJECTS'!C202</f>
        <v>142</v>
      </c>
      <c r="E7" s="98">
        <f>'ANALYSIS BY SUBJECTS'!D202</f>
        <v>2</v>
      </c>
      <c r="F7" s="98">
        <f>'ANALYSIS BY SUBJECTS'!E202</f>
        <v>6</v>
      </c>
      <c r="G7" s="98">
        <f>'ANALYSIS BY SUBJECTS'!F202</f>
        <v>18</v>
      </c>
      <c r="H7" s="98">
        <f>'ANALYSIS BY SUBJECTS'!G202</f>
        <v>16</v>
      </c>
      <c r="I7" s="98">
        <f>'ANALYSIS BY SUBJECTS'!H202</f>
        <v>24</v>
      </c>
      <c r="J7" s="98">
        <f>'ANALYSIS BY SUBJECTS'!I202</f>
        <v>24</v>
      </c>
      <c r="K7" s="98">
        <f>'ANALYSIS BY SUBJECTS'!J202</f>
        <v>42</v>
      </c>
      <c r="L7" s="98">
        <f>'ANALYSIS BY SUBJECTS'!K202</f>
        <v>9</v>
      </c>
      <c r="M7" s="98">
        <f>'ANALYSIS BY SUBJECTS'!L202</f>
        <v>1</v>
      </c>
      <c r="N7" s="98">
        <v>0</v>
      </c>
      <c r="O7" s="99">
        <f>((E7+F7)/C7)</f>
        <v>5.6338028169014086E-2</v>
      </c>
      <c r="P7" s="99">
        <f>(SUM(G7:J7)/C7)</f>
        <v>0.57746478873239437</v>
      </c>
      <c r="Q7" s="99">
        <f>(SUM(K7:L7)/C7)</f>
        <v>0.35915492957746481</v>
      </c>
      <c r="R7" s="99">
        <f>M7/C7</f>
        <v>7.0422535211267607E-3</v>
      </c>
      <c r="S7" s="100">
        <f>'OVERALL PERFORMANCES'!B3</f>
        <v>63.380281690140848</v>
      </c>
      <c r="T7" s="100">
        <f>'OVERALL PERFORMANCES'!C3</f>
        <v>99.295774647887328</v>
      </c>
      <c r="U7" s="95"/>
    </row>
    <row r="8" spans="1:21" ht="18" customHeight="1">
      <c r="A8" s="212" t="s">
        <v>116</v>
      </c>
      <c r="B8" s="213"/>
      <c r="C8" s="98">
        <f>'ANALYSIS BY SUBJECTS'!C203</f>
        <v>81</v>
      </c>
      <c r="D8" s="98">
        <f>'ANALYSIS BY SUBJECTS'!C203</f>
        <v>81</v>
      </c>
      <c r="E8" s="98">
        <f>'ANALYSIS BY SUBJECTS'!D203</f>
        <v>4</v>
      </c>
      <c r="F8" s="98">
        <f>'ANALYSIS BY SUBJECTS'!E203</f>
        <v>27</v>
      </c>
      <c r="G8" s="98">
        <f>'ANALYSIS BY SUBJECTS'!F203</f>
        <v>4</v>
      </c>
      <c r="H8" s="98">
        <f>'ANALYSIS BY SUBJECTS'!G203</f>
        <v>5</v>
      </c>
      <c r="I8" s="98">
        <f>'ANALYSIS BY SUBJECTS'!H203</f>
        <v>5</v>
      </c>
      <c r="J8" s="98">
        <f>'ANALYSIS BY SUBJECTS'!I203</f>
        <v>12</v>
      </c>
      <c r="K8" s="98">
        <f>'ANALYSIS BY SUBJECTS'!J203</f>
        <v>13</v>
      </c>
      <c r="L8" s="98">
        <f>'ANALYSIS BY SUBJECTS'!K203</f>
        <v>10</v>
      </c>
      <c r="M8" s="98">
        <f>'ANALYSIS BY SUBJECTS'!L203</f>
        <v>1</v>
      </c>
      <c r="N8" s="98">
        <v>0</v>
      </c>
      <c r="O8" s="99">
        <f>((E8+F8)/C8)</f>
        <v>0.38271604938271603</v>
      </c>
      <c r="P8" s="99">
        <f>(SUM(G8:J8)/C8)</f>
        <v>0.32098765432098764</v>
      </c>
      <c r="Q8" s="99">
        <f>(SUM(K8:L8)/C8)</f>
        <v>0.2839506172839506</v>
      </c>
      <c r="R8" s="99">
        <f>M8/C8</f>
        <v>1.2345679012345678E-2</v>
      </c>
      <c r="S8" s="100">
        <f>'OVERALL PERFORMANCES'!B4</f>
        <v>70.370370370370367</v>
      </c>
      <c r="T8" s="100">
        <f>'OVERALL PERFORMANCES'!C4</f>
        <v>98.76543209876543</v>
      </c>
      <c r="U8" s="95"/>
    </row>
    <row r="9" spans="1:21" ht="18" customHeight="1">
      <c r="A9" s="212" t="s">
        <v>117</v>
      </c>
      <c r="B9" s="213"/>
      <c r="C9" s="98">
        <f>'ANALYSIS BY SUBJECTS'!C204</f>
        <v>19</v>
      </c>
      <c r="D9" s="98">
        <f>'ANALYSIS BY SUBJECTS'!C204</f>
        <v>19</v>
      </c>
      <c r="E9" s="98">
        <f>'ANALYSIS BY SUBJECTS'!D204</f>
        <v>0</v>
      </c>
      <c r="F9" s="98">
        <f>'ANALYSIS BY SUBJECTS'!E204</f>
        <v>3</v>
      </c>
      <c r="G9" s="98">
        <f>'ANALYSIS BY SUBJECTS'!F204</f>
        <v>11</v>
      </c>
      <c r="H9" s="98">
        <f>'ANALYSIS BY SUBJECTS'!G204</f>
        <v>0</v>
      </c>
      <c r="I9" s="98">
        <f>'ANALYSIS BY SUBJECTS'!H204</f>
        <v>0</v>
      </c>
      <c r="J9" s="98">
        <f>'ANALYSIS BY SUBJECTS'!I204</f>
        <v>0</v>
      </c>
      <c r="K9" s="98">
        <f>'ANALYSIS BY SUBJECTS'!J204</f>
        <v>4</v>
      </c>
      <c r="L9" s="98">
        <f>'ANALYSIS BY SUBJECTS'!K204</f>
        <v>0</v>
      </c>
      <c r="M9" s="98">
        <f>'ANALYSIS BY SUBJECTS'!L204</f>
        <v>1</v>
      </c>
      <c r="N9" s="98">
        <v>0</v>
      </c>
      <c r="O9" s="99">
        <f>((E9+F9)/C9)</f>
        <v>0.15789473684210525</v>
      </c>
      <c r="P9" s="99">
        <f>(SUM(G9:J9)/C9)</f>
        <v>0.57894736842105265</v>
      </c>
      <c r="Q9" s="99">
        <f>(SUM(K9:L9)/C9)</f>
        <v>0.21052631578947367</v>
      </c>
      <c r="R9" s="99">
        <f>M9/C9</f>
        <v>5.2631578947368418E-2</v>
      </c>
      <c r="S9" s="100">
        <f>'ANALYSIS BY SUBJECTS'!N204</f>
        <v>73.68421052631578</v>
      </c>
      <c r="T9" s="100">
        <f>'ANALYSIS BY SUBJECTS'!P204</f>
        <v>94.73684210526315</v>
      </c>
      <c r="U9" s="95"/>
    </row>
    <row r="10" spans="1:21" ht="18" customHeight="1">
      <c r="A10" s="212" t="s">
        <v>118</v>
      </c>
      <c r="B10" s="213"/>
      <c r="C10" s="98">
        <f>'ANALYSIS BY SUBJECTS'!C205</f>
        <v>104</v>
      </c>
      <c r="D10" s="98">
        <f>'ANALYSIS BY SUBJECTS'!C205</f>
        <v>104</v>
      </c>
      <c r="E10" s="98">
        <f>'ANALYSIS BY SUBJECTS'!D205</f>
        <v>6</v>
      </c>
      <c r="F10" s="98">
        <f>'ANALYSIS BY SUBJECTS'!E205</f>
        <v>22</v>
      </c>
      <c r="G10" s="98">
        <f>'ANALYSIS BY SUBJECTS'!F205</f>
        <v>12</v>
      </c>
      <c r="H10" s="98">
        <f>'ANALYSIS BY SUBJECTS'!G205</f>
        <v>7</v>
      </c>
      <c r="I10" s="98">
        <f>'ANALYSIS BY SUBJECTS'!H205</f>
        <v>8</v>
      </c>
      <c r="J10" s="98">
        <f>'ANALYSIS BY SUBJECTS'!I205</f>
        <v>7</v>
      </c>
      <c r="K10" s="98">
        <f>'ANALYSIS BY SUBJECTS'!J205</f>
        <v>19</v>
      </c>
      <c r="L10" s="98">
        <f>'ANALYSIS BY SUBJECTS'!K205</f>
        <v>8</v>
      </c>
      <c r="M10" s="98">
        <f>'ANALYSIS BY SUBJECTS'!L205</f>
        <v>15</v>
      </c>
      <c r="N10" s="98">
        <v>0</v>
      </c>
      <c r="O10" s="99">
        <f t="shared" ref="O10:O26" si="0">((E10+F10)/C10)</f>
        <v>0.26923076923076922</v>
      </c>
      <c r="P10" s="99">
        <f t="shared" ref="P10:P26" si="1">(SUM(G10:J10)/C10)</f>
        <v>0.32692307692307693</v>
      </c>
      <c r="Q10" s="99">
        <f t="shared" ref="Q10:Q26" si="2">(SUM(K10:L10)/C10)</f>
        <v>0.25961538461538464</v>
      </c>
      <c r="R10" s="99">
        <f t="shared" ref="R10:R26" si="3">M10/C10</f>
        <v>0.14423076923076922</v>
      </c>
      <c r="S10" s="100">
        <f>'OVERALL PERFORMANCES'!B6</f>
        <v>59.615384615384613</v>
      </c>
      <c r="T10" s="100">
        <f>'OVERALL PERFORMANCES'!C6</f>
        <v>85.576923076923066</v>
      </c>
      <c r="U10" s="95"/>
    </row>
    <row r="11" spans="1:21" ht="18" customHeight="1">
      <c r="A11" s="212" t="s">
        <v>120</v>
      </c>
      <c r="B11" s="213"/>
      <c r="C11" s="98">
        <f>'ANALYSIS BY SUBJECTS'!C207</f>
        <v>81</v>
      </c>
      <c r="D11" s="98">
        <f>'ANALYSIS BY SUBJECTS'!C207</f>
        <v>81</v>
      </c>
      <c r="E11" s="98">
        <f>'ANALYSIS BY SUBJECTS'!D207</f>
        <v>4</v>
      </c>
      <c r="F11" s="98">
        <f>'ANALYSIS BY SUBJECTS'!E207</f>
        <v>13</v>
      </c>
      <c r="G11" s="98">
        <f>'ANALYSIS BY SUBJECTS'!F207</f>
        <v>10</v>
      </c>
      <c r="H11" s="98">
        <f>'ANALYSIS BY SUBJECTS'!G207</f>
        <v>5</v>
      </c>
      <c r="I11" s="98">
        <f>'ANALYSIS BY SUBJECTS'!H207</f>
        <v>3</v>
      </c>
      <c r="J11" s="98">
        <f>'ANALYSIS BY SUBJECTS'!I207</f>
        <v>2</v>
      </c>
      <c r="K11" s="98">
        <f>'ANALYSIS BY SUBJECTS'!J207</f>
        <v>14</v>
      </c>
      <c r="L11" s="98">
        <f>'ANALYSIS BY SUBJECTS'!K207</f>
        <v>7</v>
      </c>
      <c r="M11" s="98">
        <f>'ANALYSIS BY SUBJECTS'!L207</f>
        <v>23</v>
      </c>
      <c r="N11" s="98">
        <v>0</v>
      </c>
      <c r="O11" s="99">
        <f t="shared" si="0"/>
        <v>0.20987654320987653</v>
      </c>
      <c r="P11" s="99">
        <f t="shared" si="1"/>
        <v>0.24691358024691357</v>
      </c>
      <c r="Q11" s="99">
        <f t="shared" si="2"/>
        <v>0.25925925925925924</v>
      </c>
      <c r="R11" s="99">
        <f t="shared" si="3"/>
        <v>0.2839506172839506</v>
      </c>
      <c r="S11" s="100">
        <f>'OVERALL PERFORMANCES'!B7</f>
        <v>45.679012345679013</v>
      </c>
      <c r="T11" s="100">
        <f>'OVERALL PERFORMANCES'!C7</f>
        <v>71.604938271604937</v>
      </c>
      <c r="U11" s="95"/>
    </row>
    <row r="12" spans="1:21" ht="18" customHeight="1">
      <c r="A12" s="212" t="s">
        <v>121</v>
      </c>
      <c r="B12" s="213"/>
      <c r="C12" s="98">
        <f>'ANALYSIS BY SUBJECTS'!C208</f>
        <v>61</v>
      </c>
      <c r="D12" s="98">
        <f>'ANALYSIS BY SUBJECTS'!C208</f>
        <v>61</v>
      </c>
      <c r="E12" s="98">
        <f>'ANALYSIS BY SUBJECTS'!D208</f>
        <v>1</v>
      </c>
      <c r="F12" s="98">
        <f>'ANALYSIS BY SUBJECTS'!E208</f>
        <v>4</v>
      </c>
      <c r="G12" s="98">
        <f>'ANALYSIS BY SUBJECTS'!F208</f>
        <v>3</v>
      </c>
      <c r="H12" s="98">
        <f>'ANALYSIS BY SUBJECTS'!G208</f>
        <v>2</v>
      </c>
      <c r="I12" s="98">
        <f>'ANALYSIS BY SUBJECTS'!H208</f>
        <v>8</v>
      </c>
      <c r="J12" s="98">
        <f>'ANALYSIS BY SUBJECTS'!I208</f>
        <v>7</v>
      </c>
      <c r="K12" s="98">
        <f>'ANALYSIS BY SUBJECTS'!J208</f>
        <v>8</v>
      </c>
      <c r="L12" s="98">
        <f>'ANALYSIS BY SUBJECTS'!K208</f>
        <v>13</v>
      </c>
      <c r="M12" s="98">
        <f>'ANALYSIS BY SUBJECTS'!L208</f>
        <v>15</v>
      </c>
      <c r="N12" s="98">
        <v>0</v>
      </c>
      <c r="O12" s="99">
        <f t="shared" si="0"/>
        <v>8.1967213114754092E-2</v>
      </c>
      <c r="P12" s="99">
        <f t="shared" si="1"/>
        <v>0.32786885245901637</v>
      </c>
      <c r="Q12" s="99">
        <f t="shared" si="2"/>
        <v>0.34426229508196721</v>
      </c>
      <c r="R12" s="99">
        <f t="shared" si="3"/>
        <v>0.24590163934426229</v>
      </c>
      <c r="S12" s="100">
        <f>'OVERALL PERFORMANCES'!B8</f>
        <v>40.983606557377051</v>
      </c>
      <c r="T12" s="100">
        <f>'OVERALL PERFORMANCES'!C8</f>
        <v>75.409836065573771</v>
      </c>
      <c r="U12" s="95"/>
    </row>
    <row r="13" spans="1:21" ht="18" customHeight="1">
      <c r="A13" s="212" t="s">
        <v>122</v>
      </c>
      <c r="B13" s="213"/>
      <c r="C13" s="98">
        <f>'ANALYSIS BY SUBJECTS'!C209</f>
        <v>38</v>
      </c>
      <c r="D13" s="98">
        <f>'ANALYSIS BY SUBJECTS'!C209</f>
        <v>38</v>
      </c>
      <c r="E13" s="98">
        <f>'ANALYSIS BY SUBJECTS'!D209</f>
        <v>1</v>
      </c>
      <c r="F13" s="98">
        <f>'ANALYSIS BY SUBJECTS'!E209</f>
        <v>1</v>
      </c>
      <c r="G13" s="98">
        <f>'ANALYSIS BY SUBJECTS'!F209</f>
        <v>1</v>
      </c>
      <c r="H13" s="98">
        <f>'ANALYSIS BY SUBJECTS'!G209</f>
        <v>2</v>
      </c>
      <c r="I13" s="98">
        <f>'ANALYSIS BY SUBJECTS'!H209</f>
        <v>1</v>
      </c>
      <c r="J13" s="98">
        <f>'ANALYSIS BY SUBJECTS'!I209</f>
        <v>1</v>
      </c>
      <c r="K13" s="98">
        <f>'ANALYSIS BY SUBJECTS'!J209</f>
        <v>11</v>
      </c>
      <c r="L13" s="98">
        <f>'ANALYSIS BY SUBJECTS'!K209</f>
        <v>10</v>
      </c>
      <c r="M13" s="98">
        <f>'ANALYSIS BY SUBJECTS'!L209</f>
        <v>10</v>
      </c>
      <c r="N13" s="98">
        <v>0</v>
      </c>
      <c r="O13" s="99">
        <f t="shared" si="0"/>
        <v>5.2631578947368418E-2</v>
      </c>
      <c r="P13" s="99">
        <f t="shared" si="1"/>
        <v>0.13157894736842105</v>
      </c>
      <c r="Q13" s="99">
        <f t="shared" si="2"/>
        <v>0.55263157894736847</v>
      </c>
      <c r="R13" s="99">
        <f t="shared" si="3"/>
        <v>0.26315789473684209</v>
      </c>
      <c r="S13" s="100">
        <f>'OVERALL PERFORMANCES'!B9</f>
        <v>18.421052631578945</v>
      </c>
      <c r="T13" s="100">
        <f>'OVERALL PERFORMANCES'!C9</f>
        <v>73.68421052631578</v>
      </c>
      <c r="U13" s="95"/>
    </row>
    <row r="14" spans="1:21" ht="18" customHeight="1">
      <c r="A14" s="212" t="s">
        <v>123</v>
      </c>
      <c r="B14" s="213"/>
      <c r="C14" s="98">
        <f>'ANALYSIS BY SUBJECTS'!C210</f>
        <v>38</v>
      </c>
      <c r="D14" s="98">
        <f>'ANALYSIS BY SUBJECTS'!C210</f>
        <v>38</v>
      </c>
      <c r="E14" s="98">
        <f>'ANALYSIS BY SUBJECTS'!D210</f>
        <v>0</v>
      </c>
      <c r="F14" s="98">
        <f>'ANALYSIS BY SUBJECTS'!E210</f>
        <v>0</v>
      </c>
      <c r="G14" s="98">
        <f>'ANALYSIS BY SUBJECTS'!F210</f>
        <v>0</v>
      </c>
      <c r="H14" s="98">
        <f>'ANALYSIS BY SUBJECTS'!G210</f>
        <v>0</v>
      </c>
      <c r="I14" s="98">
        <f>'ANALYSIS BY SUBJECTS'!H210</f>
        <v>0</v>
      </c>
      <c r="J14" s="98">
        <f>'ANALYSIS BY SUBJECTS'!I210</f>
        <v>4</v>
      </c>
      <c r="K14" s="98">
        <f>'ANALYSIS BY SUBJECTS'!J210</f>
        <v>9</v>
      </c>
      <c r="L14" s="98">
        <f>'ANALYSIS BY SUBJECTS'!K210</f>
        <v>13</v>
      </c>
      <c r="M14" s="98">
        <f>'ANALYSIS BY SUBJECTS'!L210</f>
        <v>12</v>
      </c>
      <c r="N14" s="98">
        <v>0</v>
      </c>
      <c r="O14" s="99">
        <f t="shared" si="0"/>
        <v>0</v>
      </c>
      <c r="P14" s="99">
        <f t="shared" si="1"/>
        <v>0.10526315789473684</v>
      </c>
      <c r="Q14" s="99">
        <f t="shared" si="2"/>
        <v>0.57894736842105265</v>
      </c>
      <c r="R14" s="99">
        <f t="shared" si="3"/>
        <v>0.31578947368421051</v>
      </c>
      <c r="S14" s="100">
        <f>'OVERALL PERFORMANCES'!B10</f>
        <v>10.526315789473683</v>
      </c>
      <c r="T14" s="100">
        <f>'OVERALL PERFORMANCES'!C10</f>
        <v>68.421052631578945</v>
      </c>
      <c r="U14" s="95"/>
    </row>
    <row r="15" spans="1:21" ht="18" customHeight="1">
      <c r="A15" s="212" t="s">
        <v>124</v>
      </c>
      <c r="B15" s="213"/>
      <c r="C15" s="98">
        <f>'ANALYSIS BY SUBJECTS'!C211</f>
        <v>42</v>
      </c>
      <c r="D15" s="98">
        <f>'ANALYSIS BY SUBJECTS'!C211</f>
        <v>42</v>
      </c>
      <c r="E15" s="98">
        <f>'ANALYSIS BY SUBJECTS'!D211</f>
        <v>1</v>
      </c>
      <c r="F15" s="98">
        <f>'ANALYSIS BY SUBJECTS'!E211</f>
        <v>6</v>
      </c>
      <c r="G15" s="98">
        <f>'ANALYSIS BY SUBJECTS'!F211</f>
        <v>1</v>
      </c>
      <c r="H15" s="98">
        <f>'ANALYSIS BY SUBJECTS'!G211</f>
        <v>4</v>
      </c>
      <c r="I15" s="98">
        <f>'ANALYSIS BY SUBJECTS'!H211</f>
        <v>3</v>
      </c>
      <c r="J15" s="98">
        <f>'ANALYSIS BY SUBJECTS'!I211</f>
        <v>3</v>
      </c>
      <c r="K15" s="98">
        <f>'ANALYSIS BY SUBJECTS'!J211</f>
        <v>7</v>
      </c>
      <c r="L15" s="98">
        <f>'ANALYSIS BY SUBJECTS'!K211</f>
        <v>6</v>
      </c>
      <c r="M15" s="98">
        <f>'ANALYSIS BY SUBJECTS'!L211</f>
        <v>11</v>
      </c>
      <c r="N15" s="98">
        <v>0</v>
      </c>
      <c r="O15" s="99">
        <f t="shared" si="0"/>
        <v>0.16666666666666666</v>
      </c>
      <c r="P15" s="99">
        <f t="shared" si="1"/>
        <v>0.26190476190476192</v>
      </c>
      <c r="Q15" s="99">
        <f t="shared" si="2"/>
        <v>0.30952380952380953</v>
      </c>
      <c r="R15" s="99">
        <f t="shared" si="3"/>
        <v>0.26190476190476192</v>
      </c>
      <c r="S15" s="100">
        <f>'OVERALL PERFORMANCES'!B11</f>
        <v>42.857142857142854</v>
      </c>
      <c r="T15" s="100">
        <f>'OVERALL PERFORMANCES'!C11</f>
        <v>73.80952380952381</v>
      </c>
      <c r="U15" s="95"/>
    </row>
    <row r="16" spans="1:21" ht="18" customHeight="1">
      <c r="A16" s="212" t="s">
        <v>125</v>
      </c>
      <c r="B16" s="213"/>
      <c r="C16" s="98">
        <f>'ANALYSIS BY SUBJECTS'!C212</f>
        <v>142</v>
      </c>
      <c r="D16" s="98">
        <f>'ANALYSIS BY SUBJECTS'!C212</f>
        <v>142</v>
      </c>
      <c r="E16" s="98">
        <f>'ANALYSIS BY SUBJECTS'!D212</f>
        <v>57</v>
      </c>
      <c r="F16" s="98">
        <f>'ANALYSIS BY SUBJECTS'!E212</f>
        <v>20</v>
      </c>
      <c r="G16" s="98">
        <f>'ANALYSIS BY SUBJECTS'!F212</f>
        <v>8</v>
      </c>
      <c r="H16" s="98">
        <f>'ANALYSIS BY SUBJECTS'!G212</f>
        <v>13</v>
      </c>
      <c r="I16" s="98">
        <f>'ANALYSIS BY SUBJECTS'!H212</f>
        <v>12</v>
      </c>
      <c r="J16" s="98">
        <f>'ANALYSIS BY SUBJECTS'!I212</f>
        <v>3</v>
      </c>
      <c r="K16" s="98">
        <f>'ANALYSIS BY SUBJECTS'!J212</f>
        <v>13</v>
      </c>
      <c r="L16" s="98">
        <f>'ANALYSIS BY SUBJECTS'!K212</f>
        <v>5</v>
      </c>
      <c r="M16" s="98">
        <f>'ANALYSIS BY SUBJECTS'!L212</f>
        <v>11</v>
      </c>
      <c r="N16" s="98">
        <v>0</v>
      </c>
      <c r="O16" s="99">
        <f t="shared" si="0"/>
        <v>0.54225352112676062</v>
      </c>
      <c r="P16" s="99">
        <f t="shared" si="1"/>
        <v>0.25352112676056338</v>
      </c>
      <c r="Q16" s="99">
        <f t="shared" si="2"/>
        <v>0.12676056338028169</v>
      </c>
      <c r="R16" s="99">
        <f t="shared" si="3"/>
        <v>7.746478873239436E-2</v>
      </c>
      <c r="S16" s="100">
        <f>'OVERALL PERFORMANCES'!B12</f>
        <v>79.577464788732399</v>
      </c>
      <c r="T16" s="100">
        <f>'OVERALL PERFORMANCES'!C12</f>
        <v>92.25352112676056</v>
      </c>
      <c r="U16" s="95"/>
    </row>
    <row r="17" spans="1:21" ht="18" customHeight="1">
      <c r="A17" s="212" t="s">
        <v>126</v>
      </c>
      <c r="B17" s="213"/>
      <c r="C17" s="98">
        <f>'ANALYSIS BY SUBJECTS'!C213</f>
        <v>43</v>
      </c>
      <c r="D17" s="98">
        <f>'ANALYSIS BY SUBJECTS'!C213</f>
        <v>43</v>
      </c>
      <c r="E17" s="98">
        <f>'ANALYSIS BY SUBJECTS'!D213</f>
        <v>1</v>
      </c>
      <c r="F17" s="98">
        <f>'ANALYSIS BY SUBJECTS'!E213</f>
        <v>19</v>
      </c>
      <c r="G17" s="98">
        <f>'ANALYSIS BY SUBJECTS'!F213</f>
        <v>6</v>
      </c>
      <c r="H17" s="98">
        <f>'ANALYSIS BY SUBJECTS'!G213</f>
        <v>9</v>
      </c>
      <c r="I17" s="98">
        <f>'ANALYSIS BY SUBJECTS'!H213</f>
        <v>3</v>
      </c>
      <c r="J17" s="98">
        <f>'ANALYSIS BY SUBJECTS'!I213</f>
        <v>2</v>
      </c>
      <c r="K17" s="98">
        <f>'ANALYSIS BY SUBJECTS'!J213</f>
        <v>3</v>
      </c>
      <c r="L17" s="98">
        <f>'ANALYSIS BY SUBJECTS'!K213</f>
        <v>0</v>
      </c>
      <c r="M17" s="98">
        <f>'ANALYSIS BY SUBJECTS'!L213</f>
        <v>0</v>
      </c>
      <c r="N17" s="98">
        <v>0</v>
      </c>
      <c r="O17" s="99">
        <f t="shared" si="0"/>
        <v>0.46511627906976744</v>
      </c>
      <c r="P17" s="99">
        <f t="shared" si="1"/>
        <v>0.46511627906976744</v>
      </c>
      <c r="Q17" s="99">
        <f t="shared" si="2"/>
        <v>6.9767441860465115E-2</v>
      </c>
      <c r="R17" s="99">
        <f t="shared" si="3"/>
        <v>0</v>
      </c>
      <c r="S17" s="100">
        <f>'OVERALL PERFORMANCES'!B13</f>
        <v>93.023255813953483</v>
      </c>
      <c r="T17" s="100">
        <f>'OVERALL PERFORMANCES'!C13</f>
        <v>100</v>
      </c>
      <c r="U17" s="95"/>
    </row>
    <row r="18" spans="1:21" ht="18" customHeight="1">
      <c r="A18" s="212" t="s">
        <v>127</v>
      </c>
      <c r="B18" s="213"/>
      <c r="C18" s="98">
        <f>'ANALYSIS BY SUBJECTS'!C214</f>
        <v>23</v>
      </c>
      <c r="D18" s="98">
        <f>'ANALYSIS BY SUBJECTS'!C214</f>
        <v>23</v>
      </c>
      <c r="E18" s="98">
        <f>'ANALYSIS BY SUBJECTS'!D214</f>
        <v>0</v>
      </c>
      <c r="F18" s="98">
        <f>'ANALYSIS BY SUBJECTS'!E214</f>
        <v>2</v>
      </c>
      <c r="G18" s="98">
        <f>'ANALYSIS BY SUBJECTS'!F214</f>
        <v>2</v>
      </c>
      <c r="H18" s="98">
        <f>'ANALYSIS BY SUBJECTS'!G214</f>
        <v>3</v>
      </c>
      <c r="I18" s="98">
        <f>'ANALYSIS BY SUBJECTS'!H214</f>
        <v>3</v>
      </c>
      <c r="J18" s="98">
        <f>'ANALYSIS BY SUBJECTS'!I214</f>
        <v>3</v>
      </c>
      <c r="K18" s="98">
        <f>'ANALYSIS BY SUBJECTS'!J214</f>
        <v>9</v>
      </c>
      <c r="L18" s="98">
        <f>'ANALYSIS BY SUBJECTS'!K214</f>
        <v>0</v>
      </c>
      <c r="M18" s="98">
        <f>'ANALYSIS BY SUBJECTS'!L214</f>
        <v>1</v>
      </c>
      <c r="N18" s="98">
        <v>0</v>
      </c>
      <c r="O18" s="99">
        <f t="shared" si="0"/>
        <v>8.6956521739130432E-2</v>
      </c>
      <c r="P18" s="99">
        <f t="shared" si="1"/>
        <v>0.47826086956521741</v>
      </c>
      <c r="Q18" s="99">
        <f t="shared" si="2"/>
        <v>0.39130434782608697</v>
      </c>
      <c r="R18" s="99">
        <f t="shared" si="3"/>
        <v>4.3478260869565216E-2</v>
      </c>
      <c r="S18" s="100">
        <f>'OVERALL PERFORMANCES'!B14</f>
        <v>56.521739130434781</v>
      </c>
      <c r="T18" s="100">
        <f>'OVERALL PERFORMANCES'!C14</f>
        <v>95.652173913043484</v>
      </c>
      <c r="U18" s="95"/>
    </row>
    <row r="19" spans="1:21" ht="18" customHeight="1">
      <c r="A19" s="212" t="s">
        <v>128</v>
      </c>
      <c r="B19" s="213"/>
      <c r="C19" s="98">
        <f>'ANALYSIS BY SUBJECTS'!C215</f>
        <v>17</v>
      </c>
      <c r="D19" s="98">
        <f>'ANALYSIS BY SUBJECTS'!C215</f>
        <v>17</v>
      </c>
      <c r="E19" s="98">
        <f>'ANALYSIS BY SUBJECTS'!D215</f>
        <v>0</v>
      </c>
      <c r="F19" s="98">
        <f>'ANALYSIS BY SUBJECTS'!E215</f>
        <v>0</v>
      </c>
      <c r="G19" s="98">
        <f>'ANALYSIS BY SUBJECTS'!F215</f>
        <v>0</v>
      </c>
      <c r="H19" s="98">
        <f>'ANALYSIS BY SUBJECTS'!G215</f>
        <v>2</v>
      </c>
      <c r="I19" s="98">
        <f>'ANALYSIS BY SUBJECTS'!H215</f>
        <v>1</v>
      </c>
      <c r="J19" s="98">
        <f>'ANALYSIS BY SUBJECTS'!I215</f>
        <v>1</v>
      </c>
      <c r="K19" s="98">
        <f>'ANALYSIS BY SUBJECTS'!J215</f>
        <v>3</v>
      </c>
      <c r="L19" s="98">
        <f>'ANALYSIS BY SUBJECTS'!K215</f>
        <v>5</v>
      </c>
      <c r="M19" s="98">
        <f>'ANALYSIS BY SUBJECTS'!L215</f>
        <v>5</v>
      </c>
      <c r="N19" s="98">
        <v>0</v>
      </c>
      <c r="O19" s="99">
        <f t="shared" si="0"/>
        <v>0</v>
      </c>
      <c r="P19" s="99">
        <f t="shared" si="1"/>
        <v>0.23529411764705882</v>
      </c>
      <c r="Q19" s="99">
        <f t="shared" si="2"/>
        <v>0.47058823529411764</v>
      </c>
      <c r="R19" s="99">
        <f t="shared" si="3"/>
        <v>0.29411764705882354</v>
      </c>
      <c r="S19" s="100">
        <f>'OVERALL PERFORMANCES'!B15</f>
        <v>23.52941176470588</v>
      </c>
      <c r="T19" s="100">
        <f>'OVERALL PERFORMANCES'!C15</f>
        <v>70.588235294117652</v>
      </c>
      <c r="U19" s="95"/>
    </row>
    <row r="20" spans="1:21" ht="18" customHeight="1">
      <c r="A20" s="212" t="s">
        <v>129</v>
      </c>
      <c r="B20" s="213"/>
      <c r="C20" s="98">
        <f>'ANALYSIS BY SUBJECTS'!C216</f>
        <v>21</v>
      </c>
      <c r="D20" s="98">
        <f>'ANALYSIS BY SUBJECTS'!C216</f>
        <v>21</v>
      </c>
      <c r="E20" s="98">
        <f>'ANALYSIS BY SUBJECTS'!D216</f>
        <v>0</v>
      </c>
      <c r="F20" s="98">
        <f>'ANALYSIS BY SUBJECTS'!E216</f>
        <v>0</v>
      </c>
      <c r="G20" s="98">
        <f>'ANALYSIS BY SUBJECTS'!F216</f>
        <v>0</v>
      </c>
      <c r="H20" s="98">
        <f>'ANALYSIS BY SUBJECTS'!G216</f>
        <v>1</v>
      </c>
      <c r="I20" s="98">
        <f>'ANALYSIS BY SUBJECTS'!H216</f>
        <v>9</v>
      </c>
      <c r="J20" s="98">
        <f>'ANALYSIS BY SUBJECTS'!I216</f>
        <v>7</v>
      </c>
      <c r="K20" s="98">
        <f>'ANALYSIS BY SUBJECTS'!J216</f>
        <v>3</v>
      </c>
      <c r="L20" s="98">
        <f>'ANALYSIS BY SUBJECTS'!K216</f>
        <v>0</v>
      </c>
      <c r="M20" s="98">
        <f>'ANALYSIS BY SUBJECTS'!L216</f>
        <v>1</v>
      </c>
      <c r="N20" s="98">
        <v>0</v>
      </c>
      <c r="O20" s="99">
        <f t="shared" si="0"/>
        <v>0</v>
      </c>
      <c r="P20" s="99">
        <f t="shared" si="1"/>
        <v>0.80952380952380953</v>
      </c>
      <c r="Q20" s="99">
        <f t="shared" si="2"/>
        <v>0.14285714285714285</v>
      </c>
      <c r="R20" s="99">
        <f t="shared" si="3"/>
        <v>4.7619047619047616E-2</v>
      </c>
      <c r="S20" s="100">
        <f>'OVERALL PERFORMANCES'!B16</f>
        <v>80.952380952380949</v>
      </c>
      <c r="T20" s="100">
        <f>'OVERALL PERFORMANCES'!C16</f>
        <v>95.238095238095227</v>
      </c>
      <c r="U20" s="95"/>
    </row>
    <row r="21" spans="1:21" ht="18" customHeight="1">
      <c r="A21" s="212" t="s">
        <v>130</v>
      </c>
      <c r="B21" s="213"/>
      <c r="C21" s="98">
        <f>'ANALYSIS BY SUBJECTS'!C217</f>
        <v>18</v>
      </c>
      <c r="D21" s="98">
        <f>'ANALYSIS BY SUBJECTS'!C217</f>
        <v>18</v>
      </c>
      <c r="E21" s="98">
        <f>'ANALYSIS BY SUBJECTS'!D217</f>
        <v>0</v>
      </c>
      <c r="F21" s="98">
        <f>'ANALYSIS BY SUBJECTS'!E217</f>
        <v>0</v>
      </c>
      <c r="G21" s="98">
        <f>'ANALYSIS BY SUBJECTS'!F217</f>
        <v>0</v>
      </c>
      <c r="H21" s="98">
        <f>'ANALYSIS BY SUBJECTS'!G217</f>
        <v>0</v>
      </c>
      <c r="I21" s="98">
        <f>'ANALYSIS BY SUBJECTS'!H217</f>
        <v>1</v>
      </c>
      <c r="J21" s="98">
        <f>'ANALYSIS BY SUBJECTS'!I217</f>
        <v>2</v>
      </c>
      <c r="K21" s="98">
        <f>'ANALYSIS BY SUBJECTS'!J217</f>
        <v>3</v>
      </c>
      <c r="L21" s="98">
        <f>'ANALYSIS BY SUBJECTS'!K217</f>
        <v>3</v>
      </c>
      <c r="M21" s="98">
        <f>'ANALYSIS BY SUBJECTS'!L217</f>
        <v>9</v>
      </c>
      <c r="N21" s="98">
        <v>0</v>
      </c>
      <c r="O21" s="99">
        <f t="shared" si="0"/>
        <v>0</v>
      </c>
      <c r="P21" s="99">
        <f t="shared" si="1"/>
        <v>0.16666666666666666</v>
      </c>
      <c r="Q21" s="99">
        <f t="shared" si="2"/>
        <v>0.33333333333333331</v>
      </c>
      <c r="R21" s="99">
        <f t="shared" si="3"/>
        <v>0.5</v>
      </c>
      <c r="S21" s="100">
        <f>'OVERALL PERFORMANCES'!B17</f>
        <v>16.666666666666664</v>
      </c>
      <c r="T21" s="100">
        <f>'OVERALL PERFORMANCES'!C17</f>
        <v>50</v>
      </c>
      <c r="U21" s="95"/>
    </row>
    <row r="22" spans="1:21" ht="18" customHeight="1">
      <c r="A22" s="212" t="s">
        <v>131</v>
      </c>
      <c r="B22" s="213"/>
      <c r="C22" s="98">
        <f>'ANALYSIS BY SUBJECTS'!C218</f>
        <v>43</v>
      </c>
      <c r="D22" s="98">
        <f>'ANALYSIS BY SUBJECTS'!C218</f>
        <v>43</v>
      </c>
      <c r="E22" s="98">
        <f>'ANALYSIS BY SUBJECTS'!D218</f>
        <v>0</v>
      </c>
      <c r="F22" s="98">
        <f>'ANALYSIS BY SUBJECTS'!E218</f>
        <v>3</v>
      </c>
      <c r="G22" s="98">
        <f>'ANALYSIS BY SUBJECTS'!F218</f>
        <v>1</v>
      </c>
      <c r="H22" s="98">
        <f>'ANALYSIS BY SUBJECTS'!G218</f>
        <v>8</v>
      </c>
      <c r="I22" s="98">
        <f>'ANALYSIS BY SUBJECTS'!H218</f>
        <v>6</v>
      </c>
      <c r="J22" s="98">
        <f>'ANALYSIS BY SUBJECTS'!I218</f>
        <v>3</v>
      </c>
      <c r="K22" s="98">
        <f>'ANALYSIS BY SUBJECTS'!J218</f>
        <v>13</v>
      </c>
      <c r="L22" s="98">
        <f>'ANALYSIS BY SUBJECTS'!K218</f>
        <v>6</v>
      </c>
      <c r="M22" s="98">
        <f>'ANALYSIS BY SUBJECTS'!L218</f>
        <v>3</v>
      </c>
      <c r="N22" s="98">
        <v>0</v>
      </c>
      <c r="O22" s="99">
        <f t="shared" si="0"/>
        <v>6.9767441860465115E-2</v>
      </c>
      <c r="P22" s="99">
        <f t="shared" si="1"/>
        <v>0.41860465116279072</v>
      </c>
      <c r="Q22" s="99">
        <f t="shared" si="2"/>
        <v>0.44186046511627908</v>
      </c>
      <c r="R22" s="99">
        <f t="shared" si="3"/>
        <v>6.9767441860465115E-2</v>
      </c>
      <c r="S22" s="100">
        <f>'OVERALL PERFORMANCES'!B18</f>
        <v>48.837209302325576</v>
      </c>
      <c r="T22" s="100">
        <f>'OVERALL PERFORMANCES'!C18</f>
        <v>93.023255813953483</v>
      </c>
      <c r="U22" s="95"/>
    </row>
    <row r="23" spans="1:21" ht="18" customHeight="1">
      <c r="A23" s="212" t="s">
        <v>132</v>
      </c>
      <c r="B23" s="213"/>
      <c r="C23" s="98">
        <f>'ANALYSIS BY SUBJECTS'!C219</f>
        <v>38</v>
      </c>
      <c r="D23" s="98">
        <f>'ANALYSIS BY SUBJECTS'!C219</f>
        <v>38</v>
      </c>
      <c r="E23" s="98">
        <f>'ANALYSIS BY SUBJECTS'!D219</f>
        <v>1</v>
      </c>
      <c r="F23" s="98">
        <f>'ANALYSIS BY SUBJECTS'!E219</f>
        <v>2</v>
      </c>
      <c r="G23" s="98">
        <f>'ANALYSIS BY SUBJECTS'!F219</f>
        <v>4</v>
      </c>
      <c r="H23" s="98">
        <f>'ANALYSIS BY SUBJECTS'!G219</f>
        <v>5</v>
      </c>
      <c r="I23" s="98">
        <f>'ANALYSIS BY SUBJECTS'!H219</f>
        <v>2</v>
      </c>
      <c r="J23" s="98">
        <f>'ANALYSIS BY SUBJECTS'!I219</f>
        <v>4</v>
      </c>
      <c r="K23" s="98">
        <f>'ANALYSIS BY SUBJECTS'!J219</f>
        <v>11</v>
      </c>
      <c r="L23" s="98">
        <f>'ANALYSIS BY SUBJECTS'!K219</f>
        <v>4</v>
      </c>
      <c r="M23" s="98">
        <f>'ANALYSIS BY SUBJECTS'!L219</f>
        <v>3</v>
      </c>
      <c r="N23" s="98">
        <v>0</v>
      </c>
      <c r="O23" s="99">
        <f t="shared" si="0"/>
        <v>7.8947368421052627E-2</v>
      </c>
      <c r="P23" s="99">
        <f t="shared" si="1"/>
        <v>0.39473684210526316</v>
      </c>
      <c r="Q23" s="99">
        <f t="shared" si="2"/>
        <v>0.39473684210526316</v>
      </c>
      <c r="R23" s="99">
        <f t="shared" si="3"/>
        <v>7.8947368421052627E-2</v>
      </c>
      <c r="S23" s="100">
        <f>'OVERALL PERFORMANCES'!B19</f>
        <v>47.368421052631575</v>
      </c>
      <c r="T23" s="100">
        <f>'OVERALL PERFORMANCES'!C19</f>
        <v>86.842105263157904</v>
      </c>
      <c r="U23" s="95"/>
    </row>
    <row r="24" spans="1:21" ht="18" customHeight="1">
      <c r="A24" s="212" t="s">
        <v>133</v>
      </c>
      <c r="B24" s="213"/>
      <c r="C24" s="98">
        <f>'ANALYSIS BY SUBJECTS'!C220</f>
        <v>31</v>
      </c>
      <c r="D24" s="98">
        <f>'ANALYSIS BY SUBJECTS'!C220</f>
        <v>31</v>
      </c>
      <c r="E24" s="98">
        <f>'ANALYSIS BY SUBJECTS'!D220</f>
        <v>1</v>
      </c>
      <c r="F24" s="98">
        <f>'ANALYSIS BY SUBJECTS'!E220</f>
        <v>0</v>
      </c>
      <c r="G24" s="98">
        <f>'ANALYSIS BY SUBJECTS'!F220</f>
        <v>3</v>
      </c>
      <c r="H24" s="98">
        <f>'ANALYSIS BY SUBJECTS'!G220</f>
        <v>5</v>
      </c>
      <c r="I24" s="98">
        <f>'ANALYSIS BY SUBJECTS'!H220</f>
        <v>4</v>
      </c>
      <c r="J24" s="98">
        <f>'ANALYSIS BY SUBJECTS'!I220</f>
        <v>8</v>
      </c>
      <c r="K24" s="98">
        <f>'ANALYSIS BY SUBJECTS'!J220</f>
        <v>6</v>
      </c>
      <c r="L24" s="98">
        <f>'ANALYSIS BY SUBJECTS'!K220</f>
        <v>4</v>
      </c>
      <c r="M24" s="98">
        <f>'ANALYSIS BY SUBJECTS'!L220</f>
        <v>0</v>
      </c>
      <c r="N24" s="98">
        <v>0</v>
      </c>
      <c r="O24" s="99">
        <f>((E24+F24)/C24)</f>
        <v>3.2258064516129031E-2</v>
      </c>
      <c r="P24" s="99">
        <f>(SUM(G24:J24)/C24)</f>
        <v>0.64516129032258063</v>
      </c>
      <c r="Q24" s="99">
        <f>(SUM(K24:L24)/C24)</f>
        <v>0.32258064516129031</v>
      </c>
      <c r="R24" s="99">
        <f>M24/C24</f>
        <v>0</v>
      </c>
      <c r="S24" s="100">
        <f>'OVERALL PERFORMANCES'!B20</f>
        <v>67.741935483870961</v>
      </c>
      <c r="T24" s="100">
        <f>'OVERALL PERFORMANCES'!C20</f>
        <v>100</v>
      </c>
      <c r="U24" s="95"/>
    </row>
    <row r="25" spans="1:21" ht="18" customHeight="1">
      <c r="A25" s="212" t="s">
        <v>134</v>
      </c>
      <c r="B25" s="213"/>
      <c r="C25" s="98">
        <f>'ANALYSIS BY SUBJECTS'!C182</f>
        <v>0</v>
      </c>
      <c r="D25" s="98">
        <f>'ANALYSIS BY SUBJECTS'!C182</f>
        <v>0</v>
      </c>
      <c r="E25" s="98">
        <f>'ANALYSIS BY SUBJECTS'!D182</f>
        <v>0</v>
      </c>
      <c r="F25" s="98">
        <f>'ANALYSIS BY SUBJECTS'!E182</f>
        <v>0</v>
      </c>
      <c r="G25" s="98">
        <f>'ANALYSIS BY SUBJECTS'!F182</f>
        <v>0</v>
      </c>
      <c r="H25" s="98">
        <f>'ANALYSIS BY SUBJECTS'!G182</f>
        <v>0</v>
      </c>
      <c r="I25" s="98">
        <f>'ANALYSIS BY SUBJECTS'!H182</f>
        <v>0</v>
      </c>
      <c r="J25" s="98">
        <f>'ANALYSIS BY SUBJECTS'!I182</f>
        <v>0</v>
      </c>
      <c r="K25" s="98">
        <f>'ANALYSIS BY SUBJECTS'!J182</f>
        <v>0</v>
      </c>
      <c r="L25" s="98">
        <f>'ANALYSIS BY SUBJECTS'!K182</f>
        <v>0</v>
      </c>
      <c r="M25" s="98">
        <f>'ANALYSIS BY SUBJECTS'!L182</f>
        <v>0</v>
      </c>
      <c r="N25" s="98">
        <v>0</v>
      </c>
      <c r="O25" s="99" t="e">
        <f>((E25+F25)/C25)</f>
        <v>#DIV/0!</v>
      </c>
      <c r="P25" s="99" t="e">
        <f t="shared" ref="P25" si="4">(SUM(G25:J25)/C25)</f>
        <v>#DIV/0!</v>
      </c>
      <c r="Q25" s="99" t="e">
        <f t="shared" ref="Q25" si="5">(SUM(K25:L25)/C25)</f>
        <v>#DIV/0!</v>
      </c>
      <c r="R25" s="99" t="e">
        <f t="shared" ref="R25" si="6">M25/C25</f>
        <v>#DIV/0!</v>
      </c>
      <c r="S25" s="100" t="e">
        <f>'OVERALL PERFORMANCES'!B21</f>
        <v>#DIV/0!</v>
      </c>
      <c r="T25" s="100" t="e">
        <f>'OVERALL PERFORMANCES'!C21</f>
        <v>#DIV/0!</v>
      </c>
      <c r="U25" s="95"/>
    </row>
    <row r="26" spans="1:21" ht="18" hidden="1" customHeight="1">
      <c r="A26" s="223" t="s">
        <v>206</v>
      </c>
      <c r="B26" s="224"/>
      <c r="C26" s="98">
        <v>4</v>
      </c>
      <c r="D26" s="98">
        <v>4</v>
      </c>
      <c r="E26" s="98">
        <v>0</v>
      </c>
      <c r="F26" s="98">
        <v>0</v>
      </c>
      <c r="G26" s="98">
        <v>1</v>
      </c>
      <c r="H26" s="98">
        <v>1</v>
      </c>
      <c r="I26" s="98">
        <v>1</v>
      </c>
      <c r="J26" s="98">
        <v>1</v>
      </c>
      <c r="K26" s="98">
        <f>'ANALYSIS BY SUBJECTS'!J221</f>
        <v>0</v>
      </c>
      <c r="L26" s="98">
        <f>'ANALYSIS BY SUBJECTS'!K221</f>
        <v>0</v>
      </c>
      <c r="M26" s="98">
        <f>'ANALYSIS BY SUBJECTS'!L221</f>
        <v>0</v>
      </c>
      <c r="N26" s="98">
        <v>0</v>
      </c>
      <c r="O26" s="99">
        <f t="shared" si="0"/>
        <v>0</v>
      </c>
      <c r="P26" s="99">
        <f t="shared" si="1"/>
        <v>1</v>
      </c>
      <c r="Q26" s="99">
        <f t="shared" si="2"/>
        <v>0</v>
      </c>
      <c r="R26" s="99">
        <f t="shared" si="3"/>
        <v>0</v>
      </c>
      <c r="S26" s="100" t="e">
        <f>'OVERALL PERFORMANCES'!B21</f>
        <v>#DIV/0!</v>
      </c>
      <c r="T26" s="100" t="e">
        <f>'OVERALL PERFORMANCES'!C21</f>
        <v>#DIV/0!</v>
      </c>
      <c r="U26" s="95"/>
    </row>
    <row r="27" spans="1:21" ht="24.75" customHeight="1">
      <c r="A27" s="158"/>
      <c r="B27" s="158"/>
    </row>
    <row r="28" spans="1:21" ht="14.25" customHeight="1">
      <c r="A28" s="72"/>
      <c r="B28" s="72"/>
      <c r="C28" s="214" t="s">
        <v>181</v>
      </c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 t="s">
        <v>182</v>
      </c>
      <c r="P28" s="214"/>
      <c r="Q28" s="214"/>
      <c r="R28" s="214"/>
      <c r="S28" s="214"/>
      <c r="T28" s="214"/>
      <c r="U28" s="91" t="s">
        <v>201</v>
      </c>
    </row>
    <row r="29" spans="1:21" ht="15" customHeight="1">
      <c r="A29" s="92"/>
      <c r="B29" s="92"/>
      <c r="C29" s="215" t="s">
        <v>183</v>
      </c>
      <c r="D29" s="215"/>
      <c r="E29" s="216" t="s">
        <v>110</v>
      </c>
      <c r="F29" s="217"/>
      <c r="G29" s="215" t="s">
        <v>111</v>
      </c>
      <c r="H29" s="215"/>
      <c r="I29" s="216" t="s">
        <v>112</v>
      </c>
      <c r="J29" s="218"/>
      <c r="K29" s="218"/>
      <c r="L29" s="217"/>
      <c r="M29" s="168" t="s">
        <v>4</v>
      </c>
      <c r="N29" s="168" t="s">
        <v>184</v>
      </c>
      <c r="O29" s="93" t="s">
        <v>110</v>
      </c>
      <c r="P29" s="93" t="s">
        <v>111</v>
      </c>
      <c r="Q29" s="93" t="s">
        <v>112</v>
      </c>
      <c r="R29" s="93" t="s">
        <v>4</v>
      </c>
      <c r="S29" s="94" t="s">
        <v>111</v>
      </c>
      <c r="T29" s="94" t="s">
        <v>112</v>
      </c>
      <c r="U29" s="95"/>
    </row>
    <row r="30" spans="1:21" ht="23.25" customHeight="1">
      <c r="A30" s="216" t="s">
        <v>113</v>
      </c>
      <c r="B30" s="217"/>
      <c r="C30" s="168" t="s">
        <v>185</v>
      </c>
      <c r="D30" s="168" t="s">
        <v>186</v>
      </c>
      <c r="E30" s="168" t="s">
        <v>8</v>
      </c>
      <c r="F30" s="168" t="s">
        <v>187</v>
      </c>
      <c r="G30" s="168" t="s">
        <v>188</v>
      </c>
      <c r="H30" s="168" t="s">
        <v>43</v>
      </c>
      <c r="I30" s="168" t="s">
        <v>44</v>
      </c>
      <c r="J30" s="168" t="s">
        <v>45</v>
      </c>
      <c r="K30" s="168" t="s">
        <v>46</v>
      </c>
      <c r="L30" s="168" t="s">
        <v>47</v>
      </c>
      <c r="M30" s="168" t="s">
        <v>16</v>
      </c>
      <c r="N30" s="168" t="s">
        <v>189</v>
      </c>
      <c r="O30" s="96" t="s">
        <v>190</v>
      </c>
      <c r="P30" s="96" t="s">
        <v>191</v>
      </c>
      <c r="Q30" s="96" t="s">
        <v>192</v>
      </c>
      <c r="R30" s="96" t="s">
        <v>16</v>
      </c>
      <c r="S30" s="97" t="s">
        <v>193</v>
      </c>
      <c r="T30" s="97" t="s">
        <v>194</v>
      </c>
      <c r="U30" s="95"/>
    </row>
    <row r="31" spans="1:21" ht="28.7" hidden="1" customHeight="1">
      <c r="A31" s="221" t="s">
        <v>195</v>
      </c>
      <c r="B31" s="222"/>
      <c r="C31" s="98">
        <f>'ANALYSIS BY SUBJECTS'!$C$43</f>
        <v>0</v>
      </c>
      <c r="D31" s="98">
        <f>'ANALYSIS BY SUBJECTS'!$C$43</f>
        <v>0</v>
      </c>
      <c r="E31" s="101"/>
      <c r="F31" s="101"/>
      <c r="G31" s="101"/>
      <c r="H31" s="98">
        <f>'ANALYSIS BY SUBJECTS'!D43</f>
        <v>0</v>
      </c>
      <c r="I31" s="98">
        <f>'ANALYSIS BY SUBJECTS'!E43</f>
        <v>0</v>
      </c>
      <c r="J31" s="98">
        <f>'ANALYSIS BY SUBJECTS'!F43</f>
        <v>0</v>
      </c>
      <c r="K31" s="98">
        <f>'ANALYSIS BY SUBJECTS'!G43</f>
        <v>0</v>
      </c>
      <c r="L31" s="98">
        <f>'ANALYSIS BY SUBJECTS'!H43</f>
        <v>0</v>
      </c>
      <c r="M31" s="98">
        <f>'ANALYSIS BY SUBJECTS'!I43</f>
        <v>0</v>
      </c>
      <c r="N31" s="98">
        <v>0</v>
      </c>
      <c r="O31" s="102" t="e">
        <f>((E31+F31)/C31)</f>
        <v>#DIV/0!</v>
      </c>
      <c r="P31" s="102" t="e">
        <f>(SUM(G31:H31)/C31)</f>
        <v>#DIV/0!</v>
      </c>
      <c r="Q31" s="102" t="e">
        <f>(SUM(I31:L31)/C31)</f>
        <v>#DIV/0!</v>
      </c>
      <c r="R31" s="102" t="e">
        <f>M31/C31</f>
        <v>#DIV/0!</v>
      </c>
      <c r="S31" s="103" t="e">
        <f>(SUM(E31:H31)/C31)</f>
        <v>#DIV/0!</v>
      </c>
      <c r="T31" s="103" t="e">
        <f>(SUM(E31:L31)/D31)</f>
        <v>#DIV/0!</v>
      </c>
      <c r="U31" s="95"/>
    </row>
    <row r="32" spans="1:21" ht="28.7" customHeight="1">
      <c r="A32" s="219" t="s">
        <v>196</v>
      </c>
      <c r="B32" s="220"/>
      <c r="C32" s="98">
        <f>'ANALYSIS BY SUBJECTS'!$C$60</f>
        <v>38</v>
      </c>
      <c r="D32" s="98">
        <f>'ANALYSIS BY SUBJECTS'!$C$60</f>
        <v>38</v>
      </c>
      <c r="E32" s="101"/>
      <c r="F32" s="101"/>
      <c r="G32" s="101"/>
      <c r="H32" s="98">
        <f>'ANALYSIS BY SUBJECTS'!D60</f>
        <v>17</v>
      </c>
      <c r="I32" s="98">
        <f>'ANALYSIS BY SUBJECTS'!E60</f>
        <v>8</v>
      </c>
      <c r="J32" s="98">
        <f>'ANALYSIS BY SUBJECTS'!F60</f>
        <v>9</v>
      </c>
      <c r="K32" s="98">
        <f>'ANALYSIS BY SUBJECTS'!G60</f>
        <v>3</v>
      </c>
      <c r="L32" s="98">
        <f>'ANALYSIS BY SUBJECTS'!H60</f>
        <v>0</v>
      </c>
      <c r="M32" s="98">
        <f>'ANALYSIS BY SUBJECTS'!I60</f>
        <v>1</v>
      </c>
      <c r="N32" s="98">
        <v>0</v>
      </c>
      <c r="O32" s="102">
        <f>((E32+F32)/C32)</f>
        <v>0</v>
      </c>
      <c r="P32" s="102">
        <f>(SUM(G32:H32)/C32)</f>
        <v>0.44736842105263158</v>
      </c>
      <c r="Q32" s="102">
        <f>(SUM(I32:L32)/C32)</f>
        <v>0.52631578947368418</v>
      </c>
      <c r="R32" s="102">
        <f>M32/C32</f>
        <v>2.6315789473684209E-2</v>
      </c>
      <c r="S32" s="103">
        <f>(SUM(E32:H32)/C32)</f>
        <v>0.44736842105263158</v>
      </c>
      <c r="T32" s="103">
        <f>(SUM(E32:L32)/D32)</f>
        <v>0.97368421052631582</v>
      </c>
      <c r="U32" s="95"/>
    </row>
    <row r="33" spans="1:21" ht="28.7" customHeight="1">
      <c r="A33" s="219" t="s">
        <v>108</v>
      </c>
      <c r="B33" s="220"/>
      <c r="C33" s="98">
        <f>'ANALYSIS BY SUBJECTS'!$C$197</f>
        <v>26</v>
      </c>
      <c r="D33" s="98">
        <f>'ANALYSIS BY SUBJECTS'!$C$197</f>
        <v>26</v>
      </c>
      <c r="E33" s="211">
        <f>'ANALYSIS BY SUBJECTS'!D197</f>
        <v>0</v>
      </c>
      <c r="F33" s="211">
        <f>'ANALYSIS BY SUBJECTS'!E197</f>
        <v>0</v>
      </c>
      <c r="G33" s="211">
        <f>'ANALYSIS BY SUBJECTS'!F197</f>
        <v>0</v>
      </c>
      <c r="H33" s="211">
        <f>'ANALYSIS BY SUBJECTS'!G197</f>
        <v>0</v>
      </c>
      <c r="I33" s="211">
        <f>'ANALYSIS BY SUBJECTS'!H197</f>
        <v>0</v>
      </c>
      <c r="J33" s="211">
        <f>'ANALYSIS BY SUBJECTS'!I197</f>
        <v>0</v>
      </c>
      <c r="K33" s="211">
        <f>'ANALYSIS BY SUBJECTS'!J197</f>
        <v>1</v>
      </c>
      <c r="L33" s="211">
        <f>'ANALYSIS BY SUBJECTS'!K197</f>
        <v>0</v>
      </c>
      <c r="M33" s="211">
        <f>'ANALYSIS BY SUBJECTS'!L197</f>
        <v>25</v>
      </c>
      <c r="N33" s="211">
        <f>'ANALYSIS BY SUBJECTS'!M197</f>
        <v>0</v>
      </c>
      <c r="O33" s="102">
        <f>((E33+F33)/C33)</f>
        <v>0</v>
      </c>
      <c r="P33" s="102">
        <f>(SUM(G33:H33)/C33)</f>
        <v>0</v>
      </c>
      <c r="Q33" s="102">
        <f>(SUM(I33:L33)/C33)</f>
        <v>3.8461538461538464E-2</v>
      </c>
      <c r="R33" s="102">
        <f>M33/C33</f>
        <v>0.96153846153846156</v>
      </c>
      <c r="S33" s="103">
        <f>(SUM(E33:H33)/C33)</f>
        <v>0</v>
      </c>
      <c r="T33" s="103">
        <f>(SUM(E33:L33)/D33)</f>
        <v>3.8461538461538464E-2</v>
      </c>
      <c r="U33" s="95"/>
    </row>
    <row r="34" spans="1:21">
      <c r="E34" s="106"/>
      <c r="F34" s="106"/>
      <c r="G34" s="106"/>
      <c r="H34" s="106"/>
    </row>
    <row r="35" spans="1:21" ht="11.25"/>
    <row r="36" spans="1:21" ht="11.25"/>
  </sheetData>
  <mergeCells count="39">
    <mergeCell ref="A1:U1"/>
    <mergeCell ref="A2:U2"/>
    <mergeCell ref="C4:N4"/>
    <mergeCell ref="O4:T4"/>
    <mergeCell ref="C5:D5"/>
    <mergeCell ref="E5:F5"/>
    <mergeCell ref="G5:J5"/>
    <mergeCell ref="K5:L5"/>
    <mergeCell ref="A33:B33"/>
    <mergeCell ref="A6:B6"/>
    <mergeCell ref="A7:B7"/>
    <mergeCell ref="A8:B8"/>
    <mergeCell ref="A10:B10"/>
    <mergeCell ref="A11:B11"/>
    <mergeCell ref="A22:B22"/>
    <mergeCell ref="A9:B9"/>
    <mergeCell ref="A30:B30"/>
    <mergeCell ref="A31:B31"/>
    <mergeCell ref="A32:B32"/>
    <mergeCell ref="A26:B26"/>
    <mergeCell ref="A23:B23"/>
    <mergeCell ref="A24:B24"/>
    <mergeCell ref="A25:B25"/>
    <mergeCell ref="C28:N28"/>
    <mergeCell ref="O28:T28"/>
    <mergeCell ref="C29:D29"/>
    <mergeCell ref="E29:F29"/>
    <mergeCell ref="G29:H29"/>
    <mergeCell ref="I29:L29"/>
    <mergeCell ref="A21:B21"/>
    <mergeCell ref="A18:B18"/>
    <mergeCell ref="A17:B17"/>
    <mergeCell ref="A19:B19"/>
    <mergeCell ref="A20:B20"/>
    <mergeCell ref="A12:B12"/>
    <mergeCell ref="A13:B13"/>
    <mergeCell ref="A14:B14"/>
    <mergeCell ref="A15:B15"/>
    <mergeCell ref="A16:B16"/>
  </mergeCells>
  <pageMargins left="0.42708333333333298" right="0.34375" top="0.41249999999999998" bottom="0.30249999999999999" header="0.3" footer="0.3"/>
  <pageSetup paperSize="5" scale="8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4"/>
  <sheetViews>
    <sheetView view="pageLayout" zoomScaleNormal="100" workbookViewId="0">
      <selection activeCell="F5" sqref="F5"/>
    </sheetView>
  </sheetViews>
  <sheetFormatPr defaultColWidth="9.140625" defaultRowHeight="12.6"/>
  <cols>
    <col min="1" max="1" width="10.7109375" customWidth="1"/>
    <col min="2" max="19" width="6.85546875" customWidth="1"/>
  </cols>
  <sheetData>
    <row r="1" spans="1:19" ht="36">
      <c r="A1" s="256" t="s">
        <v>178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</row>
    <row r="2" spans="1:19" ht="28.5">
      <c r="A2" s="257" t="s">
        <v>179</v>
      </c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</row>
    <row r="4" spans="1:19" s="67" customFormat="1" ht="15.6">
      <c r="A4" s="263" t="s">
        <v>207</v>
      </c>
      <c r="B4" s="264"/>
      <c r="C4" s="264"/>
      <c r="D4" s="265"/>
      <c r="E4" s="65">
        <v>195</v>
      </c>
      <c r="F4" s="66"/>
      <c r="G4" s="66"/>
      <c r="H4" s="66"/>
      <c r="I4" s="66"/>
      <c r="J4" s="66"/>
      <c r="K4" s="66"/>
      <c r="L4" s="66"/>
    </row>
    <row r="5" spans="1:19" s="67" customFormat="1" ht="15.6">
      <c r="A5" s="263" t="s">
        <v>208</v>
      </c>
      <c r="B5" s="264"/>
      <c r="C5" s="264"/>
      <c r="D5" s="265"/>
      <c r="E5" s="65">
        <v>195</v>
      </c>
      <c r="F5" s="66"/>
      <c r="G5" s="66"/>
      <c r="H5" s="66"/>
      <c r="I5" s="66"/>
      <c r="J5" s="66"/>
      <c r="K5" s="66"/>
      <c r="L5" s="66"/>
    </row>
    <row r="6" spans="1:19" s="67" customFormat="1" ht="15.6">
      <c r="A6" s="263" t="s">
        <v>209</v>
      </c>
      <c r="B6" s="264"/>
      <c r="C6" s="264"/>
      <c r="D6" s="265"/>
      <c r="E6" s="65">
        <v>0</v>
      </c>
      <c r="F6" s="66"/>
      <c r="G6" s="66"/>
      <c r="H6" s="66"/>
      <c r="I6" s="66"/>
      <c r="J6" s="66"/>
      <c r="K6" s="66"/>
      <c r="L6" s="66"/>
    </row>
    <row r="7" spans="1:19" s="67" customFormat="1" ht="15.6"/>
    <row r="8" spans="1:19" s="67" customFormat="1" ht="63" customHeight="1">
      <c r="A8" s="68" t="s">
        <v>210</v>
      </c>
      <c r="B8" s="266" t="s">
        <v>211</v>
      </c>
      <c r="C8" s="267"/>
      <c r="D8" s="69" t="s">
        <v>212</v>
      </c>
      <c r="E8" s="70"/>
      <c r="F8" s="70"/>
      <c r="G8" s="70"/>
      <c r="H8" s="70"/>
      <c r="I8" s="70"/>
      <c r="J8" s="70"/>
      <c r="K8" s="70"/>
      <c r="L8" s="66"/>
    </row>
    <row r="9" spans="1:19" s="67" customFormat="1" ht="15.6">
      <c r="A9" s="65">
        <v>9</v>
      </c>
      <c r="B9" s="261"/>
      <c r="C9" s="262"/>
      <c r="D9" s="71"/>
      <c r="E9" s="66"/>
      <c r="F9" s="66"/>
      <c r="G9" s="66"/>
      <c r="H9" s="66"/>
      <c r="I9" s="66"/>
      <c r="J9" s="66"/>
      <c r="K9" s="66"/>
      <c r="L9" s="66"/>
    </row>
    <row r="10" spans="1:19" s="67" customFormat="1" ht="15.6">
      <c r="A10" s="65">
        <v>8</v>
      </c>
      <c r="B10" s="261"/>
      <c r="C10" s="262"/>
      <c r="D10" s="71"/>
      <c r="E10" s="66"/>
      <c r="F10" s="66"/>
      <c r="G10" s="66"/>
      <c r="H10" s="66"/>
      <c r="I10" s="66"/>
      <c r="J10" s="66"/>
      <c r="K10" s="66"/>
      <c r="L10" s="66"/>
    </row>
    <row r="11" spans="1:19" s="67" customFormat="1" ht="15.6">
      <c r="A11" s="65">
        <v>7</v>
      </c>
      <c r="B11" s="261"/>
      <c r="C11" s="262"/>
      <c r="D11" s="71"/>
      <c r="E11" s="66"/>
      <c r="F11" s="66"/>
      <c r="G11" s="66"/>
      <c r="H11" s="66"/>
      <c r="I11" s="66"/>
      <c r="J11" s="66"/>
      <c r="K11" s="66"/>
      <c r="L11" s="66"/>
    </row>
    <row r="12" spans="1:19" s="67" customFormat="1" ht="15.6">
      <c r="A12" s="65">
        <v>6</v>
      </c>
      <c r="B12" s="261"/>
      <c r="C12" s="262"/>
      <c r="D12" s="71"/>
      <c r="E12" s="66"/>
      <c r="F12" s="66"/>
      <c r="G12" s="66"/>
      <c r="H12" s="66"/>
      <c r="I12" s="66"/>
      <c r="J12" s="66"/>
      <c r="K12" s="66"/>
      <c r="L12" s="66"/>
    </row>
    <row r="13" spans="1:19" s="67" customFormat="1" ht="15.6">
      <c r="A13" s="65">
        <v>5</v>
      </c>
      <c r="B13" s="261"/>
      <c r="C13" s="262"/>
      <c r="D13" s="71"/>
      <c r="E13" s="66"/>
      <c r="F13" s="66"/>
      <c r="G13" s="66"/>
      <c r="H13" s="66"/>
      <c r="I13" s="66"/>
      <c r="J13" s="66"/>
      <c r="K13" s="66"/>
      <c r="L13" s="66"/>
    </row>
    <row r="14" spans="1:19" s="67" customFormat="1" ht="15.6">
      <c r="A14" s="65">
        <v>4</v>
      </c>
      <c r="B14" s="261"/>
      <c r="C14" s="262"/>
      <c r="D14" s="71"/>
      <c r="E14" s="66"/>
      <c r="F14" s="66"/>
      <c r="G14" s="66"/>
      <c r="H14" s="66"/>
      <c r="I14" s="66"/>
      <c r="J14" s="66"/>
      <c r="K14" s="66"/>
      <c r="L14" s="66"/>
    </row>
    <row r="15" spans="1:19" s="67" customFormat="1" ht="15.6">
      <c r="A15" s="65">
        <v>3</v>
      </c>
      <c r="B15" s="261"/>
      <c r="C15" s="262"/>
      <c r="D15" s="71"/>
    </row>
    <row r="16" spans="1:19" s="67" customFormat="1" ht="15.6">
      <c r="A16" s="65">
        <v>2</v>
      </c>
      <c r="B16" s="261"/>
      <c r="C16" s="262"/>
      <c r="D16" s="71"/>
    </row>
    <row r="17" spans="1:19" s="67" customFormat="1" ht="15.6">
      <c r="A17" s="65">
        <v>1</v>
      </c>
      <c r="B17" s="261"/>
      <c r="C17" s="262"/>
      <c r="D17" s="71"/>
    </row>
    <row r="18" spans="1:19" s="67" customFormat="1" ht="15.6">
      <c r="A18" s="65">
        <v>0</v>
      </c>
      <c r="B18" s="261"/>
      <c r="C18" s="262"/>
      <c r="D18" s="71"/>
    </row>
    <row r="19" spans="1:19" s="67" customFormat="1" ht="15.6">
      <c r="A19" s="69" t="s">
        <v>7</v>
      </c>
      <c r="B19" s="270">
        <v>195</v>
      </c>
      <c r="C19" s="270"/>
    </row>
    <row r="21" spans="1:19" ht="16.5">
      <c r="A21" s="72"/>
      <c r="B21" s="73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</row>
    <row r="22" spans="1:19" ht="24.75" customHeight="1">
      <c r="A22" s="72"/>
      <c r="B22" s="72"/>
      <c r="C22" s="74" t="s">
        <v>213</v>
      </c>
      <c r="D22" s="75" t="s">
        <v>212</v>
      </c>
    </row>
    <row r="23" spans="1:19" ht="21.6" customHeight="1">
      <c r="A23" s="268" t="s">
        <v>214</v>
      </c>
      <c r="B23" s="269"/>
      <c r="C23" s="76"/>
      <c r="D23" s="77">
        <f>C23/B19</f>
        <v>0</v>
      </c>
    </row>
    <row r="24" spans="1:19" ht="21.6" customHeight="1">
      <c r="A24" s="268" t="s">
        <v>215</v>
      </c>
      <c r="B24" s="269"/>
      <c r="C24" s="76"/>
      <c r="D24" s="77">
        <f>C24/B19</f>
        <v>0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</row>
  </sheetData>
  <mergeCells count="19">
    <mergeCell ref="A24:B24"/>
    <mergeCell ref="B15:C15"/>
    <mergeCell ref="B16:C16"/>
    <mergeCell ref="B17:C17"/>
    <mergeCell ref="B18:C18"/>
    <mergeCell ref="B19:C19"/>
    <mergeCell ref="A23:B23"/>
    <mergeCell ref="B14:C14"/>
    <mergeCell ref="A1:S1"/>
    <mergeCell ref="A2:S2"/>
    <mergeCell ref="A4:D4"/>
    <mergeCell ref="A5:D5"/>
    <mergeCell ref="A6:D6"/>
    <mergeCell ref="B8:C8"/>
    <mergeCell ref="B9:C9"/>
    <mergeCell ref="B10:C10"/>
    <mergeCell ref="B11:C11"/>
    <mergeCell ref="B12:C12"/>
    <mergeCell ref="B13:C13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C3" sqref="C3:C21"/>
    </sheetView>
  </sheetViews>
  <sheetFormatPr defaultRowHeight="12.6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6"/>
  <sheetViews>
    <sheetView view="pageLayout" zoomScale="78" zoomScaleNormal="100" zoomScalePageLayoutView="78" workbookViewId="0">
      <selection activeCell="A2" sqref="A2"/>
    </sheetView>
  </sheetViews>
  <sheetFormatPr defaultColWidth="11.42578125" defaultRowHeight="15.6"/>
  <cols>
    <col min="1" max="1" width="15.28515625" style="117" customWidth="1"/>
    <col min="2" max="2" width="11.28515625" style="117" customWidth="1"/>
    <col min="3" max="12" width="5.140625" style="117" customWidth="1"/>
    <col min="13" max="13" width="12.28515625" style="117" customWidth="1"/>
    <col min="14" max="14" width="10.7109375" style="117" customWidth="1"/>
    <col min="15" max="15" width="12" style="117" customWidth="1"/>
    <col min="16" max="16" width="14.42578125" style="117" customWidth="1"/>
    <col min="17" max="16384" width="11.42578125" style="117"/>
  </cols>
  <sheetData>
    <row r="1" spans="1:16" ht="30">
      <c r="A1" s="271" t="s">
        <v>216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</row>
    <row r="2" spans="1:16" ht="17.25" customHeight="1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</row>
    <row r="3" spans="1:16" s="120" customFormat="1" ht="32.25" customHeight="1" thickBot="1">
      <c r="A3" s="119"/>
      <c r="B3" s="272" t="s">
        <v>217</v>
      </c>
      <c r="C3" s="276" t="s">
        <v>218</v>
      </c>
      <c r="D3" s="276"/>
      <c r="E3" s="276"/>
      <c r="F3" s="276"/>
      <c r="G3" s="276"/>
      <c r="H3" s="276"/>
      <c r="I3" s="276"/>
      <c r="J3" s="276"/>
      <c r="K3" s="276"/>
      <c r="L3" s="277"/>
      <c r="M3" s="274" t="s">
        <v>219</v>
      </c>
      <c r="N3" s="275"/>
      <c r="O3" s="274" t="s">
        <v>220</v>
      </c>
      <c r="P3" s="275"/>
    </row>
    <row r="4" spans="1:16" s="120" customFormat="1" ht="32.25" customHeight="1">
      <c r="A4" s="119"/>
      <c r="B4" s="273"/>
      <c r="C4" s="172">
        <v>9</v>
      </c>
      <c r="D4" s="173">
        <v>8</v>
      </c>
      <c r="E4" s="173">
        <v>7</v>
      </c>
      <c r="F4" s="173">
        <v>6</v>
      </c>
      <c r="G4" s="173">
        <v>5</v>
      </c>
      <c r="H4" s="173">
        <v>4</v>
      </c>
      <c r="I4" s="173">
        <v>3</v>
      </c>
      <c r="J4" s="173">
        <v>2</v>
      </c>
      <c r="K4" s="173">
        <v>1</v>
      </c>
      <c r="L4" s="179">
        <v>0</v>
      </c>
      <c r="M4" s="182" t="s">
        <v>217</v>
      </c>
      <c r="N4" s="183" t="s">
        <v>212</v>
      </c>
      <c r="O4" s="182" t="s">
        <v>217</v>
      </c>
      <c r="P4" s="183" t="s">
        <v>212</v>
      </c>
    </row>
    <row r="5" spans="1:16" s="120" customFormat="1" ht="29.25" customHeight="1">
      <c r="A5" s="139" t="s">
        <v>21</v>
      </c>
      <c r="B5" s="195">
        <f>SUM(C5:L5)</f>
        <v>20</v>
      </c>
      <c r="C5" s="174" cm="1">
        <f t="array" ref="C5:L5">TRANSPOSE('[2]MASTER '!$DW$38:DW47)</f>
        <v>0</v>
      </c>
      <c r="D5" s="170">
        <v>0</v>
      </c>
      <c r="E5" s="170">
        <v>2</v>
      </c>
      <c r="F5" s="170">
        <v>4</v>
      </c>
      <c r="G5" s="170">
        <v>8</v>
      </c>
      <c r="H5" s="170">
        <v>3</v>
      </c>
      <c r="I5" s="170">
        <v>2</v>
      </c>
      <c r="J5" s="170">
        <v>1</v>
      </c>
      <c r="K5" s="170">
        <v>0</v>
      </c>
      <c r="L5" s="180">
        <v>0</v>
      </c>
      <c r="M5" s="184">
        <f>SUM(C5:G5)</f>
        <v>14</v>
      </c>
      <c r="N5" s="185">
        <f>M5/B5</f>
        <v>0.7</v>
      </c>
      <c r="O5" s="184">
        <f>SUM(C5:I5)</f>
        <v>19</v>
      </c>
      <c r="P5" s="187">
        <f t="shared" ref="P5:P11" si="0">O5/B5</f>
        <v>0.95</v>
      </c>
    </row>
    <row r="6" spans="1:16" s="120" customFormat="1" ht="29.25" customHeight="1">
      <c r="A6" s="139" t="s">
        <v>23</v>
      </c>
      <c r="B6" s="195">
        <f t="shared" ref="B6:B11" si="1">SUM(C6:L6)</f>
        <v>19</v>
      </c>
      <c r="C6" s="174" cm="1">
        <f t="array" ref="C6:L6">TRANSPOSE('[1]MASTER '!$DW$38:DW47)</f>
        <v>0</v>
      </c>
      <c r="D6" s="170">
        <v>2</v>
      </c>
      <c r="E6" s="170">
        <v>4</v>
      </c>
      <c r="F6" s="170">
        <v>4</v>
      </c>
      <c r="G6" s="170">
        <v>4</v>
      </c>
      <c r="H6" s="170">
        <v>3</v>
      </c>
      <c r="I6" s="170">
        <v>0</v>
      </c>
      <c r="J6" s="170">
        <v>1</v>
      </c>
      <c r="K6" s="170">
        <v>0</v>
      </c>
      <c r="L6" s="180">
        <v>1</v>
      </c>
      <c r="M6" s="184">
        <f t="shared" ref="M6:M10" si="2">SUM(C6:G6)</f>
        <v>14</v>
      </c>
      <c r="N6" s="185">
        <f t="shared" ref="N6:N11" si="3">M6/B6</f>
        <v>0.73684210526315785</v>
      </c>
      <c r="O6" s="184">
        <f t="shared" ref="O6:O11" si="4">SUM(C6:I6)</f>
        <v>17</v>
      </c>
      <c r="P6" s="187">
        <f t="shared" si="0"/>
        <v>0.89473684210526316</v>
      </c>
    </row>
    <row r="7" spans="1:16" s="120" customFormat="1" ht="29.25" customHeight="1">
      <c r="A7" s="139" t="s">
        <v>221</v>
      </c>
      <c r="B7" s="195">
        <f t="shared" si="1"/>
        <v>23</v>
      </c>
      <c r="C7" s="174" cm="1">
        <f t="array" ref="C7:L7">TRANSPOSE('[3]MASTER '!$DW$38:DW47)</f>
        <v>0</v>
      </c>
      <c r="D7" s="170">
        <v>0</v>
      </c>
      <c r="E7" s="170">
        <v>0</v>
      </c>
      <c r="F7" s="170">
        <v>1</v>
      </c>
      <c r="G7" s="170">
        <v>1</v>
      </c>
      <c r="H7" s="170">
        <v>7</v>
      </c>
      <c r="I7" s="170">
        <v>5</v>
      </c>
      <c r="J7" s="170">
        <v>6</v>
      </c>
      <c r="K7" s="170">
        <v>3</v>
      </c>
      <c r="L7" s="180">
        <v>0</v>
      </c>
      <c r="M7" s="184">
        <f t="shared" si="2"/>
        <v>2</v>
      </c>
      <c r="N7" s="185">
        <f t="shared" si="3"/>
        <v>8.6956521739130432E-2</v>
      </c>
      <c r="O7" s="184">
        <f t="shared" si="4"/>
        <v>14</v>
      </c>
      <c r="P7" s="187">
        <f t="shared" si="0"/>
        <v>0.60869565217391308</v>
      </c>
    </row>
    <row r="8" spans="1:16" s="120" customFormat="1" ht="29.25" customHeight="1">
      <c r="A8" s="139" t="s">
        <v>222</v>
      </c>
      <c r="B8" s="195">
        <f t="shared" si="1"/>
        <v>20</v>
      </c>
      <c r="C8" s="174" cm="1">
        <f t="array" ref="C8:L8">TRANSPOSE('[4]MASTER '!$DW$38:DW47)</f>
        <v>0</v>
      </c>
      <c r="D8" s="170">
        <v>0</v>
      </c>
      <c r="E8" s="170">
        <v>0</v>
      </c>
      <c r="F8" s="170">
        <v>1</v>
      </c>
      <c r="G8" s="170">
        <v>7</v>
      </c>
      <c r="H8" s="170">
        <v>7</v>
      </c>
      <c r="I8" s="170">
        <v>4</v>
      </c>
      <c r="J8" s="170">
        <v>0</v>
      </c>
      <c r="K8" s="170">
        <v>0</v>
      </c>
      <c r="L8" s="180">
        <v>1</v>
      </c>
      <c r="M8" s="184">
        <f t="shared" si="2"/>
        <v>8</v>
      </c>
      <c r="N8" s="185">
        <f t="shared" si="3"/>
        <v>0.4</v>
      </c>
      <c r="O8" s="184">
        <f t="shared" si="4"/>
        <v>19</v>
      </c>
      <c r="P8" s="187">
        <f t="shared" si="0"/>
        <v>0.95</v>
      </c>
    </row>
    <row r="9" spans="1:16" s="120" customFormat="1" ht="29.25" customHeight="1">
      <c r="A9" s="139" t="s">
        <v>28</v>
      </c>
      <c r="B9" s="195">
        <f t="shared" si="1"/>
        <v>25</v>
      </c>
      <c r="C9" s="174" cm="1">
        <f t="array" ref="C9:L9">TRANSPOSE('[5]MASTER '!$DW$38:DW47)</f>
        <v>0</v>
      </c>
      <c r="D9" s="170">
        <v>1</v>
      </c>
      <c r="E9" s="170">
        <v>1</v>
      </c>
      <c r="F9" s="170">
        <v>2</v>
      </c>
      <c r="G9" s="170">
        <v>3</v>
      </c>
      <c r="H9" s="170">
        <v>5</v>
      </c>
      <c r="I9" s="170">
        <v>6</v>
      </c>
      <c r="J9" s="170">
        <v>4</v>
      </c>
      <c r="K9" s="170">
        <v>2</v>
      </c>
      <c r="L9" s="180">
        <v>1</v>
      </c>
      <c r="M9" s="184">
        <f t="shared" si="2"/>
        <v>7</v>
      </c>
      <c r="N9" s="185">
        <f t="shared" si="3"/>
        <v>0.28000000000000003</v>
      </c>
      <c r="O9" s="184">
        <f>SUM(C9:I9)</f>
        <v>18</v>
      </c>
      <c r="P9" s="187">
        <f t="shared" si="0"/>
        <v>0.72</v>
      </c>
    </row>
    <row r="10" spans="1:16" s="120" customFormat="1" ht="29.25" customHeight="1">
      <c r="A10" s="139" t="s">
        <v>29</v>
      </c>
      <c r="B10" s="195">
        <f t="shared" si="1"/>
        <v>19</v>
      </c>
      <c r="C10" s="174" cm="1">
        <f t="array" ref="C10:L10">TRANSPOSE('[6]MASTER '!$DW$38:DW47)</f>
        <v>0</v>
      </c>
      <c r="D10" s="170">
        <v>0</v>
      </c>
      <c r="E10" s="170">
        <v>0</v>
      </c>
      <c r="F10" s="170">
        <v>0</v>
      </c>
      <c r="G10" s="170">
        <v>1</v>
      </c>
      <c r="H10" s="170">
        <v>6</v>
      </c>
      <c r="I10" s="170">
        <v>2</v>
      </c>
      <c r="J10" s="170">
        <v>5</v>
      </c>
      <c r="K10" s="170">
        <v>5</v>
      </c>
      <c r="L10" s="180">
        <v>0</v>
      </c>
      <c r="M10" s="184">
        <f t="shared" si="2"/>
        <v>1</v>
      </c>
      <c r="N10" s="185">
        <f t="shared" ref="N10" si="5">M10/B10</f>
        <v>5.2631578947368418E-2</v>
      </c>
      <c r="O10" s="184">
        <f>SUM(C10:I10)</f>
        <v>9</v>
      </c>
      <c r="P10" s="187">
        <f t="shared" ref="P10" si="6">O10/B10</f>
        <v>0.47368421052631576</v>
      </c>
    </row>
    <row r="11" spans="1:16" s="120" customFormat="1" ht="29.25" customHeight="1">
      <c r="A11" s="139" t="s">
        <v>80</v>
      </c>
      <c r="B11" s="195">
        <f t="shared" si="1"/>
        <v>18</v>
      </c>
      <c r="C11" s="174">
        <f>'[7]MASTER '!$DV$37</f>
        <v>0</v>
      </c>
      <c r="D11" s="174">
        <f>'[7]MASTER '!$DV$38</f>
        <v>1</v>
      </c>
      <c r="E11" s="174">
        <f>'[7]MASTER '!$DV$39</f>
        <v>8</v>
      </c>
      <c r="F11" s="174">
        <f>'[7]MASTER '!$DV$40</f>
        <v>1</v>
      </c>
      <c r="G11" s="174">
        <f>'[7]MASTER '!$DV$41</f>
        <v>3</v>
      </c>
      <c r="H11" s="174">
        <f>'[7]MASTER '!$DV$42</f>
        <v>1</v>
      </c>
      <c r="I11" s="174">
        <f>'[7]MASTER '!$DV$43</f>
        <v>2</v>
      </c>
      <c r="J11" s="174">
        <f>'[7]MASTER '!$DV$44</f>
        <v>2</v>
      </c>
      <c r="K11" s="174">
        <f>'[7]MASTER '!$DV$45</f>
        <v>0</v>
      </c>
      <c r="L11" s="174">
        <f>'[7]MASTER '!$DV$46</f>
        <v>0</v>
      </c>
      <c r="M11" s="184">
        <f>SUM(C11:G11)</f>
        <v>13</v>
      </c>
      <c r="N11" s="185">
        <f t="shared" si="3"/>
        <v>0.72222222222222221</v>
      </c>
      <c r="O11" s="184">
        <f t="shared" si="4"/>
        <v>16</v>
      </c>
      <c r="P11" s="187">
        <f t="shared" si="0"/>
        <v>0.88888888888888884</v>
      </c>
    </row>
    <row r="12" spans="1:16" s="120" customFormat="1" ht="29.25" customHeight="1" thickBot="1">
      <c r="A12" s="140" t="s">
        <v>223</v>
      </c>
      <c r="B12" s="171">
        <f>SUM(C12:L12)</f>
        <v>144</v>
      </c>
      <c r="C12" s="175">
        <f>SUM(C5:C11)</f>
        <v>0</v>
      </c>
      <c r="D12" s="176">
        <f>SUM(D5:D11)</f>
        <v>4</v>
      </c>
      <c r="E12" s="176">
        <f>SUM(E5:E11)</f>
        <v>15</v>
      </c>
      <c r="F12" s="176">
        <f>SUM(F5:F11)</f>
        <v>13</v>
      </c>
      <c r="G12" s="176">
        <f>SUM(G5:G11)</f>
        <v>27</v>
      </c>
      <c r="H12" s="176">
        <f>SUM(H5:H11)</f>
        <v>32</v>
      </c>
      <c r="I12" s="176">
        <f>SUM(I5:I11)</f>
        <v>21</v>
      </c>
      <c r="J12" s="176">
        <f>SUM(J5:J11)</f>
        <v>19</v>
      </c>
      <c r="K12" s="176">
        <f>SUM(K5:K11)</f>
        <v>10</v>
      </c>
      <c r="L12" s="181">
        <f>SUM(L5:L11)</f>
        <v>3</v>
      </c>
      <c r="M12" s="186">
        <f>SUM(M5:M11)</f>
        <v>59</v>
      </c>
      <c r="N12" s="122">
        <f>M12/B12</f>
        <v>0.40972222222222221</v>
      </c>
      <c r="O12" s="186">
        <f>SUM(O5:O11)</f>
        <v>112</v>
      </c>
      <c r="P12" s="188">
        <f>O12/B12</f>
        <v>0.77777777777777779</v>
      </c>
    </row>
    <row r="13" spans="1:16" ht="15.95" thickBot="1"/>
    <row r="14" spans="1:16" ht="32.25" customHeight="1">
      <c r="A14" s="135" t="s">
        <v>224</v>
      </c>
      <c r="B14" s="121">
        <f>$N$12</f>
        <v>0.40972222222222221</v>
      </c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19"/>
      <c r="N14" s="119"/>
      <c r="O14" s="119"/>
      <c r="P14" s="119"/>
    </row>
    <row r="15" spans="1:16" ht="32.25" customHeight="1" thickBot="1">
      <c r="A15" s="136" t="s">
        <v>225</v>
      </c>
      <c r="B15" s="122">
        <f>$P$12</f>
        <v>0.77777777777777779</v>
      </c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19"/>
      <c r="N15" s="119"/>
      <c r="O15" s="119"/>
      <c r="P15" s="119"/>
    </row>
    <row r="16" spans="1:16" ht="15"/>
  </sheetData>
  <mergeCells count="5">
    <mergeCell ref="A1:P1"/>
    <mergeCell ref="B3:B4"/>
    <mergeCell ref="M3:N3"/>
    <mergeCell ref="O3:P3"/>
    <mergeCell ref="C3:L3"/>
  </mergeCells>
  <pageMargins left="0.97916666666666663" right="0.33333333333333331" top="0.59375" bottom="0.75" header="0.3" footer="0.3"/>
  <pageSetup paperSize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25"/>
  <sheetViews>
    <sheetView view="pageLayout" topLeftCell="A7" zoomScaleNormal="100" workbookViewId="0">
      <selection activeCell="T36" sqref="T36"/>
    </sheetView>
  </sheetViews>
  <sheetFormatPr defaultColWidth="11.42578125" defaultRowHeight="12.6"/>
  <cols>
    <col min="1" max="1" width="10.7109375" style="72" customWidth="1"/>
    <col min="2" max="3" width="6.85546875" style="72" customWidth="1"/>
    <col min="4" max="4" width="7.85546875" style="72" customWidth="1"/>
    <col min="5" max="19" width="6.85546875" style="72" customWidth="1"/>
    <col min="20" max="16384" width="11.42578125" style="72"/>
  </cols>
  <sheetData>
    <row r="1" spans="1:29" ht="30.95">
      <c r="A1" s="289" t="s">
        <v>226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152"/>
    </row>
    <row r="2" spans="1:29" ht="28.5">
      <c r="A2" s="285" t="s">
        <v>179</v>
      </c>
      <c r="B2" s="285"/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5"/>
      <c r="O2" s="285"/>
      <c r="P2" s="285"/>
      <c r="Q2" s="285"/>
      <c r="R2" s="285"/>
      <c r="S2" s="285"/>
    </row>
    <row r="4" spans="1:29" s="125" customFormat="1" ht="15.6" hidden="1">
      <c r="A4" s="286" t="s">
        <v>207</v>
      </c>
      <c r="B4" s="287"/>
      <c r="C4" s="287"/>
      <c r="D4" s="288"/>
      <c r="E4" s="123">
        <v>200</v>
      </c>
      <c r="F4" s="124"/>
      <c r="G4" s="124"/>
      <c r="H4" s="124"/>
      <c r="I4" s="124"/>
      <c r="J4" s="124"/>
      <c r="K4" s="124"/>
      <c r="L4" s="124"/>
    </row>
    <row r="5" spans="1:29" s="125" customFormat="1" ht="15.6">
      <c r="A5" s="286" t="s">
        <v>208</v>
      </c>
      <c r="B5" s="287"/>
      <c r="C5" s="287"/>
      <c r="D5" s="288"/>
      <c r="E5" s="123">
        <f>$B$19</f>
        <v>144</v>
      </c>
      <c r="F5" s="124"/>
      <c r="G5" s="124"/>
      <c r="H5" s="124"/>
      <c r="I5" s="124"/>
      <c r="J5" s="124"/>
      <c r="K5" s="124"/>
      <c r="L5" s="124"/>
      <c r="AC5" s="125">
        <v>29</v>
      </c>
    </row>
    <row r="6" spans="1:29" s="125" customFormat="1" ht="15.6">
      <c r="A6" s="286" t="s">
        <v>209</v>
      </c>
      <c r="B6" s="287"/>
      <c r="C6" s="287"/>
      <c r="D6" s="288"/>
      <c r="E6" s="123">
        <v>0</v>
      </c>
      <c r="F6" s="124"/>
      <c r="G6" s="124"/>
      <c r="H6" s="124"/>
      <c r="I6" s="124"/>
      <c r="J6" s="124"/>
      <c r="K6" s="124"/>
      <c r="L6" s="124"/>
    </row>
    <row r="7" spans="1:29" s="125" customFormat="1" ht="15.6"/>
    <row r="8" spans="1:29" s="125" customFormat="1" ht="63" customHeight="1">
      <c r="A8" s="126" t="s">
        <v>210</v>
      </c>
      <c r="B8" s="283" t="s">
        <v>211</v>
      </c>
      <c r="C8" s="284"/>
      <c r="D8" s="127" t="s">
        <v>212</v>
      </c>
      <c r="E8" s="128"/>
      <c r="F8" s="128"/>
      <c r="G8" s="128"/>
      <c r="H8" s="128"/>
      <c r="I8" s="128"/>
      <c r="J8" s="128"/>
      <c r="K8" s="128"/>
      <c r="L8" s="124"/>
    </row>
    <row r="9" spans="1:29" s="125" customFormat="1" ht="15.6">
      <c r="A9" s="123">
        <v>9</v>
      </c>
      <c r="B9" s="278">
        <f>'3''O'' and 5''O'' &amp; above'!$C$12</f>
        <v>0</v>
      </c>
      <c r="C9" s="279"/>
      <c r="D9" s="129">
        <f>B9/B19</f>
        <v>0</v>
      </c>
      <c r="E9" s="124"/>
      <c r="F9" s="124"/>
      <c r="G9" s="124"/>
      <c r="H9" s="124"/>
      <c r="I9" s="124"/>
      <c r="J9" s="124"/>
      <c r="K9" s="124"/>
      <c r="L9" s="124"/>
    </row>
    <row r="10" spans="1:29" s="125" customFormat="1" ht="15.6">
      <c r="A10" s="123">
        <v>8</v>
      </c>
      <c r="B10" s="278">
        <f>'3''O'' and 5''O'' &amp; above'!$D$12</f>
        <v>4</v>
      </c>
      <c r="C10" s="279"/>
      <c r="D10" s="129">
        <f>B10/B19</f>
        <v>2.7777777777777776E-2</v>
      </c>
      <c r="E10" s="124"/>
      <c r="F10" s="124"/>
      <c r="G10" s="124"/>
      <c r="H10" s="124"/>
      <c r="I10" s="124"/>
      <c r="J10" s="124"/>
      <c r="K10" s="124"/>
      <c r="L10" s="124"/>
    </row>
    <row r="11" spans="1:29" s="125" customFormat="1" ht="15.6">
      <c r="A11" s="123">
        <v>7</v>
      </c>
      <c r="B11" s="278">
        <f>'3''O'' and 5''O'' &amp; above'!$E$12</f>
        <v>15</v>
      </c>
      <c r="C11" s="279"/>
      <c r="D11" s="129">
        <f>B11/B19</f>
        <v>0.10416666666666667</v>
      </c>
      <c r="E11" s="124"/>
      <c r="F11" s="124"/>
      <c r="G11" s="124"/>
      <c r="H11" s="124"/>
      <c r="I11" s="124"/>
      <c r="J11" s="124"/>
      <c r="K11" s="124"/>
      <c r="L11" s="124"/>
    </row>
    <row r="12" spans="1:29" s="125" customFormat="1" ht="15.6">
      <c r="A12" s="123">
        <v>6</v>
      </c>
      <c r="B12" s="278">
        <f>'3''O'' and 5''O'' &amp; above'!$F$12</f>
        <v>13</v>
      </c>
      <c r="C12" s="279"/>
      <c r="D12" s="129">
        <f>B12/B19</f>
        <v>9.0277777777777776E-2</v>
      </c>
      <c r="E12" s="124"/>
      <c r="F12" s="124"/>
      <c r="G12" s="124"/>
      <c r="H12" s="124"/>
      <c r="I12" s="124"/>
      <c r="J12" s="124"/>
      <c r="K12" s="124"/>
      <c r="L12" s="124"/>
    </row>
    <row r="13" spans="1:29" s="125" customFormat="1" ht="15.6">
      <c r="A13" s="123">
        <v>5</v>
      </c>
      <c r="B13" s="278">
        <f>'3''O'' and 5''O'' &amp; above'!$G$12</f>
        <v>27</v>
      </c>
      <c r="C13" s="279"/>
      <c r="D13" s="129">
        <f>B13/B19</f>
        <v>0.1875</v>
      </c>
      <c r="E13" s="124"/>
      <c r="F13" s="124"/>
      <c r="G13" s="124"/>
      <c r="H13" s="124"/>
      <c r="I13" s="124"/>
      <c r="J13" s="124"/>
      <c r="K13" s="124"/>
      <c r="L13" s="124"/>
    </row>
    <row r="14" spans="1:29" s="125" customFormat="1" ht="15.6">
      <c r="A14" s="123">
        <v>4</v>
      </c>
      <c r="B14" s="278">
        <f>'3''O'' and 5''O'' &amp; above'!$H$12</f>
        <v>32</v>
      </c>
      <c r="C14" s="279"/>
      <c r="D14" s="129">
        <f>B14/B19</f>
        <v>0.22222222222222221</v>
      </c>
      <c r="E14" s="124"/>
      <c r="F14" s="124"/>
      <c r="G14" s="124"/>
      <c r="H14" s="124"/>
      <c r="I14" s="124"/>
      <c r="J14" s="124"/>
      <c r="K14" s="124"/>
      <c r="L14" s="124"/>
    </row>
    <row r="15" spans="1:29" s="125" customFormat="1" ht="15.6">
      <c r="A15" s="123">
        <v>3</v>
      </c>
      <c r="B15" s="278">
        <f>'3''O'' and 5''O'' &amp; above'!$I$12</f>
        <v>21</v>
      </c>
      <c r="C15" s="279"/>
      <c r="D15" s="129">
        <f>B15/B19</f>
        <v>0.14583333333333334</v>
      </c>
    </row>
    <row r="16" spans="1:29" s="125" customFormat="1" ht="15.6">
      <c r="A16" s="123">
        <v>2</v>
      </c>
      <c r="B16" s="278">
        <f>'3''O'' and 5''O'' &amp; above'!$J$12</f>
        <v>19</v>
      </c>
      <c r="C16" s="279"/>
      <c r="D16" s="129">
        <f>B16/B19</f>
        <v>0.13194444444444445</v>
      </c>
    </row>
    <row r="17" spans="1:4" s="125" customFormat="1" ht="15.6">
      <c r="A17" s="123">
        <v>1</v>
      </c>
      <c r="B17" s="278">
        <f>'3''O'' and 5''O'' &amp; above'!$K$12</f>
        <v>10</v>
      </c>
      <c r="C17" s="279"/>
      <c r="D17" s="129">
        <f>B17/B19</f>
        <v>6.9444444444444448E-2</v>
      </c>
    </row>
    <row r="18" spans="1:4" s="125" customFormat="1" ht="15.6">
      <c r="A18" s="123">
        <v>0</v>
      </c>
      <c r="B18" s="278">
        <f>'3''O'' and 5''O'' &amp; above'!$L$12</f>
        <v>3</v>
      </c>
      <c r="C18" s="279"/>
      <c r="D18" s="129">
        <f>B18/B19</f>
        <v>2.0833333333333332E-2</v>
      </c>
    </row>
    <row r="19" spans="1:4" s="125" customFormat="1" ht="15.6">
      <c r="A19" s="127" t="s">
        <v>7</v>
      </c>
      <c r="B19" s="282">
        <f>SUM(B9:C18)</f>
        <v>144</v>
      </c>
      <c r="C19" s="282"/>
    </row>
    <row r="21" spans="1:4" ht="16.5">
      <c r="B21" s="73"/>
    </row>
    <row r="22" spans="1:4" ht="24.75" customHeight="1">
      <c r="C22" s="130" t="s">
        <v>213</v>
      </c>
      <c r="D22" s="131" t="s">
        <v>212</v>
      </c>
    </row>
    <row r="23" spans="1:4" ht="21.6" customHeight="1">
      <c r="A23" s="280" t="s">
        <v>227</v>
      </c>
      <c r="B23" s="281"/>
      <c r="C23" s="132">
        <f>SUM(B9:C15)</f>
        <v>112</v>
      </c>
      <c r="D23" s="133">
        <f>C23/B19</f>
        <v>0.77777777777777779</v>
      </c>
    </row>
    <row r="24" spans="1:4" ht="21.6" customHeight="1">
      <c r="A24" s="280" t="s">
        <v>214</v>
      </c>
      <c r="B24" s="281"/>
      <c r="C24" s="132">
        <f>SUM(B9:C14)</f>
        <v>91</v>
      </c>
      <c r="D24" s="133">
        <f>C24/B19</f>
        <v>0.63194444444444442</v>
      </c>
    </row>
    <row r="25" spans="1:4" ht="18.600000000000001">
      <c r="A25" s="280" t="s">
        <v>215</v>
      </c>
      <c r="B25" s="281"/>
      <c r="C25" s="132">
        <f>SUM(B9:C13)</f>
        <v>59</v>
      </c>
      <c r="D25" s="133">
        <f>C25/B19</f>
        <v>0.40972222222222221</v>
      </c>
    </row>
  </sheetData>
  <mergeCells count="20">
    <mergeCell ref="A2:S2"/>
    <mergeCell ref="A4:D4"/>
    <mergeCell ref="A5:D5"/>
    <mergeCell ref="A6:D6"/>
    <mergeCell ref="A1:S1"/>
    <mergeCell ref="B8:C8"/>
    <mergeCell ref="B9:C9"/>
    <mergeCell ref="B10:C10"/>
    <mergeCell ref="B11:C11"/>
    <mergeCell ref="B12:C12"/>
    <mergeCell ref="B13:C13"/>
    <mergeCell ref="B14:C14"/>
    <mergeCell ref="A24:B24"/>
    <mergeCell ref="A25:B25"/>
    <mergeCell ref="B15:C15"/>
    <mergeCell ref="B16:C16"/>
    <mergeCell ref="B17:C17"/>
    <mergeCell ref="B18:C18"/>
    <mergeCell ref="B19:C19"/>
    <mergeCell ref="A23:B23"/>
  </mergeCells>
  <pageMargins left="0.53125" right="6.9444444444444448E-2" top="0.75" bottom="0.75" header="0.3" footer="1.3888888888888888E-2"/>
  <pageSetup paperSize="5" orientation="landscape" horizontalDpi="4294967292" verticalDpi="4294967292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EA2EE18CB3E64ABAFABBB6986B9A32" ma:contentTypeVersion="14" ma:contentTypeDescription="Create a new document." ma:contentTypeScope="" ma:versionID="77c17746d369f830365a0228d73cb1b5">
  <xsd:schema xmlns:xsd="http://www.w3.org/2001/XMLSchema" xmlns:xs="http://www.w3.org/2001/XMLSchema" xmlns:p="http://schemas.microsoft.com/office/2006/metadata/properties" xmlns:ns2="22654dc4-867b-4591-8088-9c5fa2ce1fc8" xmlns:ns3="0737c322-3a19-4541-9cff-efbbbad6ee01" targetNamespace="http://schemas.microsoft.com/office/2006/metadata/properties" ma:root="true" ma:fieldsID="3736ab6d7162001d2a86e1ec8790087a" ns2:_="" ns3:_="">
    <xsd:import namespace="22654dc4-867b-4591-8088-9c5fa2ce1fc8"/>
    <xsd:import namespace="0737c322-3a19-4541-9cff-efbbbad6ee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654dc4-867b-4591-8088-9c5fa2ce1f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d106d83-448a-4aa3-89fb-861fa519b0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7c322-3a19-4541-9cff-efbbbad6ee0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a653ab-a2e0-46a8-b5e6-02da2c4d25bd}" ma:internalName="TaxCatchAll" ma:showField="CatchAllData" ma:web="0737c322-3a19-4541-9cff-efbbbad6ee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654dc4-867b-4591-8088-9c5fa2ce1fc8">
      <Terms xmlns="http://schemas.microsoft.com/office/infopath/2007/PartnerControls"/>
    </lcf76f155ced4ddcb4097134ff3c332f>
    <TaxCatchAll xmlns="0737c322-3a19-4541-9cff-efbbbad6ee0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87548A-EAE1-4052-834D-E2F6156C1BF0}"/>
</file>

<file path=customXml/itemProps2.xml><?xml version="1.0" encoding="utf-8"?>
<ds:datastoreItem xmlns:ds="http://schemas.openxmlformats.org/officeDocument/2006/customXml" ds:itemID="{78757DC1-C618-457C-AC02-C30D9BB6D4AB}"/>
</file>

<file path=customXml/itemProps3.xml><?xml version="1.0" encoding="utf-8"?>
<ds:datastoreItem xmlns:ds="http://schemas.openxmlformats.org/officeDocument/2006/customXml" ds:itemID="{D1CE060C-30AB-4625-AD05-B7B09E0033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COMPAQ ITD</dc:creator>
  <cp:keywords/>
  <dc:description/>
  <cp:lastModifiedBy>exam section SMPAPHM 2025</cp:lastModifiedBy>
  <cp:revision/>
  <dcterms:created xsi:type="dcterms:W3CDTF">2005-03-29T23:57:46Z</dcterms:created>
  <dcterms:modified xsi:type="dcterms:W3CDTF">2026-09-15T06:06:55Z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0x0101004FEA2EE18CB3E64ABAFABBB6986B9A32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