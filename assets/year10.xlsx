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/Users/hazirahhm/Desktop/"/>
    </mc:Choice>
  </mc:AlternateContent>
  <xr:revisionPtr revIDLastSave="1167" documentId="8_{0C59875D-7291-974A-96F6-956F4B172D72}" xr6:coauthVersionLast="47" xr6:coauthVersionMax="47" xr10:uidLastSave="{791E2705-386A-4461-8976-8D53596974BB}"/>
  <bookViews>
    <workbookView xWindow="0" yWindow="0" windowWidth="25600" windowHeight="16000" activeTab="1" xr2:uid="{00000000-000D-0000-FFFF-FFFF00000000}"/>
  </bookViews>
  <sheets>
    <sheet name="ANALYSIS BY SUBJECTS" sheetId="19" r:id="rId1"/>
    <sheet name="OVERALL PERFORMANCES" sheetId="20" r:id="rId2"/>
    <sheet name="CLASS AVERAGE" sheetId="18" state="hidden" r:id="rId3"/>
    <sheet name="By Class" sheetId="21" state="hidden" r:id="rId4"/>
    <sheet name="IGCSE SUBJECTS" sheetId="23" state="hidden" r:id="rId5"/>
    <sheet name="OVERALL ANALYSIS" sheetId="24" r:id="rId6"/>
    <sheet name="Sheet1" sheetId="22" state="hidden" r:id="rId7"/>
    <sheet name="Sheet2" sheetId="25" state="hidden" r:id="rId8"/>
    <sheet name="3'O' and 5'O' &amp; above" sheetId="27" r:id="rId9"/>
    <sheet name="No.of Credits Attained" sheetId="28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Print_Area" localSheetId="3">'By Class'!$A$85:$P$110</definedName>
    <definedName name="_xlnm.Print_Area" localSheetId="2">'CLASS AVERAGE'!$A$1:$M$33</definedName>
    <definedName name="_xlnm.Print_Area" localSheetId="0">'ANALYSIS BY SUBJECTS'!$A$101:$P$107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8" l="1"/>
  <c r="C11" i="27" a="1"/>
  <c r="C11" i="27"/>
  <c r="C10" i="27" a="1"/>
  <c r="C10" i="27"/>
  <c r="C9" i="27" a="1"/>
  <c r="C9" i="27"/>
  <c r="C7" i="27" a="1"/>
  <c r="C7" i="27"/>
  <c r="C8" i="27" a="1"/>
  <c r="C8" i="27"/>
  <c r="C6" i="27" a="1"/>
  <c r="C6" i="27"/>
  <c r="C5" i="27" a="1"/>
  <c r="C5" i="27"/>
  <c r="D143" i="19" a="1"/>
  <c r="D143" i="19"/>
  <c r="D98" i="19" a="1"/>
  <c r="D98" i="19"/>
  <c r="D78" i="19" a="1"/>
  <c r="D78" i="19"/>
  <c r="D46" i="19" a="1"/>
  <c r="D46" i="19"/>
  <c r="D39" i="19" a="1"/>
  <c r="D39" i="19"/>
  <c r="D29" i="19" a="1"/>
  <c r="D29" i="19"/>
  <c r="D17" i="19" a="1"/>
  <c r="D17" i="19"/>
  <c r="D10" i="19" a="1"/>
  <c r="D10" i="19"/>
  <c r="D164" i="19" a="1"/>
  <c r="D164" i="19"/>
  <c r="D158" i="19" a="1"/>
  <c r="D158" i="19"/>
  <c r="D142" i="19" a="1"/>
  <c r="D142" i="19"/>
  <c r="D112" i="19" a="1"/>
  <c r="D112" i="19"/>
  <c r="D97" i="19" a="1"/>
  <c r="D97" i="19"/>
  <c r="D77" i="19" a="1"/>
  <c r="D77" i="19"/>
  <c r="D45" i="19" a="1"/>
  <c r="D45" i="19"/>
  <c r="D28" i="19" a="1"/>
  <c r="D28" i="19"/>
  <c r="D16" i="19" a="1"/>
  <c r="D16" i="19"/>
  <c r="D9" i="19" a="1"/>
  <c r="D9" i="19"/>
  <c r="D157" i="19" a="1"/>
  <c r="D157" i="19"/>
  <c r="D141" i="19" a="1"/>
  <c r="D141" i="19"/>
  <c r="D126" i="19" a="1"/>
  <c r="D126" i="19"/>
  <c r="D96" i="19" a="1"/>
  <c r="D96" i="19"/>
  <c r="D86" i="19" a="1"/>
  <c r="D86" i="19"/>
  <c r="D63" i="19" a="1"/>
  <c r="D63" i="19"/>
  <c r="M39" i="19"/>
  <c r="D27" i="19" a="1"/>
  <c r="D27" i="19"/>
  <c r="D8" i="19" a="1"/>
  <c r="D8" i="19"/>
  <c r="D125" i="19" a="1"/>
  <c r="D125" i="19"/>
  <c r="D95" i="19" a="1"/>
  <c r="D95" i="19"/>
  <c r="D85" i="19" a="1"/>
  <c r="D85" i="19"/>
  <c r="D71" i="19" a="1"/>
  <c r="D71" i="19"/>
  <c r="D38" i="19" a="1"/>
  <c r="D38" i="19"/>
  <c r="D26" i="19" a="1"/>
  <c r="D26" i="19"/>
  <c r="D7" i="19" a="1"/>
  <c r="D7" i="19"/>
  <c r="D150" i="19" a="1"/>
  <c r="D150" i="19"/>
  <c r="D139" i="19" a="1"/>
  <c r="D139" i="19"/>
  <c r="D124" i="19" a="1"/>
  <c r="D124" i="19"/>
  <c r="D111" i="19" a="1"/>
  <c r="D111" i="19"/>
  <c r="D105" i="19" a="1"/>
  <c r="D105" i="19"/>
  <c r="D94" i="19" a="1"/>
  <c r="D94" i="19"/>
  <c r="D54" i="19" a="1"/>
  <c r="D54" i="19"/>
  <c r="D37" i="19" a="1"/>
  <c r="D37" i="19"/>
  <c r="D25" i="19" a="1"/>
  <c r="D25" i="19"/>
  <c r="D6" i="19" a="1"/>
  <c r="D6" i="19"/>
  <c r="D170" i="19" a="1"/>
  <c r="D170" i="19"/>
  <c r="D138" i="19" a="1"/>
  <c r="D138" i="19"/>
  <c r="D93" i="19" a="1"/>
  <c r="D93" i="19"/>
  <c r="D84" i="19" a="1"/>
  <c r="D84" i="19"/>
  <c r="D70" i="19" a="1"/>
  <c r="D70" i="19"/>
  <c r="D62" i="19" a="1"/>
  <c r="D62" i="19"/>
  <c r="D53" i="19" a="1"/>
  <c r="D53" i="19"/>
  <c r="D36" i="19" a="1"/>
  <c r="D36" i="19"/>
  <c r="D24" i="19" a="1"/>
  <c r="D24" i="19"/>
  <c r="D5" i="19" a="1"/>
  <c r="D5" i="19"/>
  <c r="D132" i="19" a="1"/>
  <c r="D132" i="19"/>
  <c r="D104" i="19" a="1"/>
  <c r="D104" i="19"/>
  <c r="D92" i="19" a="1"/>
  <c r="D92" i="19"/>
  <c r="D69" i="19" a="1"/>
  <c r="D69" i="19"/>
  <c r="D61" i="19" a="1"/>
  <c r="D61" i="19"/>
  <c r="D52" i="19" a="1"/>
  <c r="D52" i="19"/>
  <c r="D23" i="19" a="1"/>
  <c r="D23" i="19"/>
  <c r="D35" i="19" a="1"/>
  <c r="D35" i="19"/>
  <c r="D4" i="19" a="1"/>
  <c r="D4" i="19"/>
  <c r="O71" i="19"/>
  <c r="M71" i="19"/>
  <c r="B9" i="27"/>
  <c r="B10" i="27"/>
  <c r="B11" i="27"/>
  <c r="B7" i="27"/>
  <c r="C143" i="19"/>
  <c r="C17" i="19"/>
  <c r="C78" i="19"/>
  <c r="C98" i="19"/>
  <c r="C97" i="19"/>
  <c r="C46" i="19"/>
  <c r="C29" i="19"/>
  <c r="C10" i="19"/>
  <c r="C16" i="19"/>
  <c r="C112" i="19"/>
  <c r="C141" i="19"/>
  <c r="C142" i="19"/>
  <c r="C158" i="19"/>
  <c r="C77" i="19"/>
  <c r="C96" i="19"/>
  <c r="C45" i="19"/>
  <c r="C28" i="19"/>
  <c r="C9" i="19"/>
  <c r="C8" i="19"/>
  <c r="C126" i="19"/>
  <c r="C86" i="19"/>
  <c r="C157" i="19"/>
  <c r="C63" i="19"/>
  <c r="C95" i="19"/>
  <c r="C38" i="19"/>
  <c r="C39" i="19"/>
  <c r="C27" i="19"/>
  <c r="C125" i="19"/>
  <c r="C85" i="19"/>
  <c r="D140" i="19" a="1"/>
  <c r="D140" i="19"/>
  <c r="C140" i="19" s="1"/>
  <c r="C71" i="19"/>
  <c r="C94" i="19"/>
  <c r="C26" i="19"/>
  <c r="C7" i="19"/>
  <c r="C124" i="19"/>
  <c r="C150" i="19"/>
  <c r="C151" i="19" s="1"/>
  <c r="C139" i="19"/>
  <c r="C105" i="19"/>
  <c r="C111" i="19"/>
  <c r="C54" i="19"/>
  <c r="C37" i="19"/>
  <c r="C25" i="19"/>
  <c r="C6" i="19"/>
  <c r="C170" i="19"/>
  <c r="C84" i="19"/>
  <c r="C138" i="19"/>
  <c r="C70" i="19"/>
  <c r="C62" i="19"/>
  <c r="C53" i="19"/>
  <c r="C93" i="19"/>
  <c r="C36" i="19"/>
  <c r="C24" i="19"/>
  <c r="C5" i="19"/>
  <c r="C132" i="19"/>
  <c r="C104" i="19"/>
  <c r="C164" i="19"/>
  <c r="C69" i="19"/>
  <c r="C61" i="19"/>
  <c r="C52" i="19"/>
  <c r="C92" i="19"/>
  <c r="C35" i="19"/>
  <c r="C23" i="19"/>
  <c r="C4" i="19"/>
  <c r="C40" i="19"/>
  <c r="L106" i="19"/>
  <c r="L188" i="19" s="1"/>
  <c r="K106" i="19"/>
  <c r="K188" i="19" s="1"/>
  <c r="J106" i="19"/>
  <c r="J188" i="19" s="1"/>
  <c r="I106" i="19"/>
  <c r="I188" i="19" s="1"/>
  <c r="H106" i="19"/>
  <c r="H188" i="19" s="1"/>
  <c r="G106" i="19"/>
  <c r="G188" i="19" s="1"/>
  <c r="F106" i="19"/>
  <c r="F188" i="19" s="1"/>
  <c r="D106" i="19"/>
  <c r="D188" i="19" s="1"/>
  <c r="E106" i="19"/>
  <c r="E188" i="19" s="1"/>
  <c r="C106" i="19"/>
  <c r="C144" i="19"/>
  <c r="D144" i="19"/>
  <c r="E144" i="19"/>
  <c r="F144" i="19"/>
  <c r="G144" i="19"/>
  <c r="H144" i="19"/>
  <c r="I144" i="19"/>
  <c r="J144" i="19"/>
  <c r="K144" i="19"/>
  <c r="L144" i="19"/>
  <c r="O142" i="19"/>
  <c r="P142" i="19" s="1"/>
  <c r="O143" i="19"/>
  <c r="P143" i="19" s="1"/>
  <c r="M142" i="19"/>
  <c r="N142" i="19" s="1"/>
  <c r="M143" i="19"/>
  <c r="N143" i="19" s="1"/>
  <c r="E127" i="19"/>
  <c r="F127" i="19"/>
  <c r="G127" i="19"/>
  <c r="H127" i="19"/>
  <c r="I127" i="19"/>
  <c r="J127" i="19"/>
  <c r="K127" i="19"/>
  <c r="L127" i="19"/>
  <c r="D127" i="19"/>
  <c r="O126" i="19"/>
  <c r="P126" i="19" s="1"/>
  <c r="M126" i="19"/>
  <c r="N126" i="19" s="1"/>
  <c r="E192" i="19"/>
  <c r="F192" i="19"/>
  <c r="G192" i="19"/>
  <c r="H192" i="19"/>
  <c r="I192" i="19"/>
  <c r="J192" i="19"/>
  <c r="K192" i="19"/>
  <c r="L192" i="19"/>
  <c r="D192" i="19"/>
  <c r="D18" i="19"/>
  <c r="D195" i="19" s="1"/>
  <c r="E18" i="19"/>
  <c r="E195" i="19" s="1"/>
  <c r="F18" i="19"/>
  <c r="F195" i="19" s="1"/>
  <c r="G18" i="19"/>
  <c r="G195" i="19" s="1"/>
  <c r="H18" i="19"/>
  <c r="H195" i="19" s="1"/>
  <c r="I18" i="19"/>
  <c r="I195" i="19" s="1"/>
  <c r="J18" i="19"/>
  <c r="J195" i="19" s="1"/>
  <c r="K18" i="19"/>
  <c r="K195" i="19" s="1"/>
  <c r="L18" i="19"/>
  <c r="L195" i="19" s="1"/>
  <c r="C18" i="19"/>
  <c r="C171" i="19"/>
  <c r="J171" i="19"/>
  <c r="I197" i="19" s="1"/>
  <c r="I25" i="24" s="1"/>
  <c r="K171" i="19"/>
  <c r="J197" i="19" s="1"/>
  <c r="J25" i="24" s="1"/>
  <c r="L171" i="19"/>
  <c r="K197" i="19" s="1"/>
  <c r="K25" i="24" s="1"/>
  <c r="E171" i="19"/>
  <c r="D197" i="19" s="1"/>
  <c r="F171" i="19"/>
  <c r="E197" i="19" s="1"/>
  <c r="E25" i="24" s="1"/>
  <c r="G171" i="19"/>
  <c r="F197" i="19" s="1"/>
  <c r="F25" i="24" s="1"/>
  <c r="H171" i="19"/>
  <c r="G197" i="19" s="1"/>
  <c r="G25" i="24" s="1"/>
  <c r="I171" i="19"/>
  <c r="H197" i="19" s="1"/>
  <c r="H25" i="24" s="1"/>
  <c r="D171" i="19"/>
  <c r="A21" i="20"/>
  <c r="D113" i="19"/>
  <c r="D114" i="19" s="1"/>
  <c r="E113" i="19"/>
  <c r="E189" i="19" s="1"/>
  <c r="F17" i="24" s="1"/>
  <c r="F113" i="19"/>
  <c r="F114" i="19" s="1"/>
  <c r="G113" i="19"/>
  <c r="G114" i="19" s="1"/>
  <c r="H113" i="19"/>
  <c r="H189" i="19" s="1"/>
  <c r="I17" i="24" s="1"/>
  <c r="I113" i="19"/>
  <c r="I189" i="19" s="1"/>
  <c r="J17" i="24" s="1"/>
  <c r="J113" i="19"/>
  <c r="J114" i="19" s="1"/>
  <c r="K113" i="19"/>
  <c r="K189" i="19" s="1"/>
  <c r="L17" i="24" s="1"/>
  <c r="L113" i="19"/>
  <c r="L189" i="19" s="1"/>
  <c r="M17" i="24" s="1"/>
  <c r="C113" i="19"/>
  <c r="C114" i="19" s="1"/>
  <c r="O112" i="19"/>
  <c r="P112" i="19" s="1"/>
  <c r="M112" i="19"/>
  <c r="N112" i="19" s="1"/>
  <c r="M93" i="19"/>
  <c r="N93" i="19" s="1"/>
  <c r="M94" i="19"/>
  <c r="N94" i="19" s="1"/>
  <c r="M95" i="19"/>
  <c r="N95" i="19" s="1"/>
  <c r="M96" i="19"/>
  <c r="N96" i="19" s="1"/>
  <c r="M97" i="19"/>
  <c r="N97" i="19" s="1"/>
  <c r="M98" i="19"/>
  <c r="N98" i="19" s="1"/>
  <c r="M92" i="19"/>
  <c r="N92" i="19" s="1"/>
  <c r="O63" i="19"/>
  <c r="P63" i="19" s="1"/>
  <c r="M63" i="19"/>
  <c r="N63" i="19" s="1"/>
  <c r="F55" i="19"/>
  <c r="F182" i="19" s="1"/>
  <c r="G10" i="24" s="1"/>
  <c r="G55" i="19"/>
  <c r="G182" i="19" s="1"/>
  <c r="H10" i="24" s="1"/>
  <c r="H55" i="19"/>
  <c r="H182" i="19" s="1"/>
  <c r="I10" i="24" s="1"/>
  <c r="I55" i="19"/>
  <c r="I182" i="19" s="1"/>
  <c r="J10" i="24" s="1"/>
  <c r="J55" i="19"/>
  <c r="J182" i="19" s="1"/>
  <c r="K10" i="24" s="1"/>
  <c r="K55" i="19"/>
  <c r="K182" i="19" s="1"/>
  <c r="L10" i="24" s="1"/>
  <c r="L55" i="19"/>
  <c r="L182" i="19" s="1"/>
  <c r="M10" i="24" s="1"/>
  <c r="E55" i="19"/>
  <c r="E182" i="19" s="1"/>
  <c r="F10" i="24" s="1"/>
  <c r="D55" i="19"/>
  <c r="D182" i="19" s="1"/>
  <c r="C55" i="19"/>
  <c r="O54" i="19"/>
  <c r="P54" i="19" s="1"/>
  <c r="M54" i="19"/>
  <c r="N54" i="19" s="1"/>
  <c r="O37" i="19"/>
  <c r="O38" i="19"/>
  <c r="O39" i="19"/>
  <c r="M37" i="19"/>
  <c r="M38" i="19"/>
  <c r="M29" i="19"/>
  <c r="N29" i="19" s="1"/>
  <c r="D165" i="19"/>
  <c r="E24" i="24" s="1"/>
  <c r="E165" i="19"/>
  <c r="F24" i="24" s="1"/>
  <c r="F165" i="19"/>
  <c r="G24" i="24" s="1"/>
  <c r="G165" i="19"/>
  <c r="H24" i="24" s="1"/>
  <c r="H165" i="19"/>
  <c r="I24" i="24" s="1"/>
  <c r="I165" i="19"/>
  <c r="I196" i="19" s="1"/>
  <c r="J165" i="19"/>
  <c r="J196" i="19" s="1"/>
  <c r="K165" i="19"/>
  <c r="K196" i="19" s="1"/>
  <c r="L165" i="19"/>
  <c r="L196" i="19" s="1"/>
  <c r="C165" i="19"/>
  <c r="F72" i="19"/>
  <c r="F184" i="19" s="1"/>
  <c r="G12" i="24" s="1"/>
  <c r="G72" i="19"/>
  <c r="H72" i="19"/>
  <c r="I72" i="19"/>
  <c r="I184" i="19" s="1"/>
  <c r="J12" i="24" s="1"/>
  <c r="J72" i="19"/>
  <c r="J184" i="19" s="1"/>
  <c r="K72" i="19"/>
  <c r="K184" i="19" s="1"/>
  <c r="L12" i="24" s="1"/>
  <c r="L72" i="19"/>
  <c r="E72" i="19"/>
  <c r="E184" i="19" s="1"/>
  <c r="D72" i="19"/>
  <c r="D184" i="19" s="1"/>
  <c r="C72" i="19"/>
  <c r="O170" i="19"/>
  <c r="P170" i="19" s="1"/>
  <c r="M170" i="19"/>
  <c r="N170" i="19" s="1"/>
  <c r="O164" i="19"/>
  <c r="P164" i="19" s="1"/>
  <c r="M164" i="19"/>
  <c r="O150" i="19"/>
  <c r="P150" i="19" s="1"/>
  <c r="M150" i="19"/>
  <c r="N150" i="19" s="1"/>
  <c r="O104" i="19"/>
  <c r="P104" i="19" s="1"/>
  <c r="M104" i="19"/>
  <c r="N104" i="19" s="1"/>
  <c r="O78" i="19"/>
  <c r="P78" i="19" s="1"/>
  <c r="M78" i="19"/>
  <c r="N78" i="19" s="1"/>
  <c r="O70" i="19"/>
  <c r="P70" i="19" s="1"/>
  <c r="M70" i="19"/>
  <c r="N70" i="19" s="1"/>
  <c r="O69" i="19"/>
  <c r="P69" i="19" s="1"/>
  <c r="M69" i="19"/>
  <c r="N69" i="19" s="1"/>
  <c r="O17" i="19"/>
  <c r="P17" i="19" s="1"/>
  <c r="M17" i="19"/>
  <c r="N17" i="19" s="1"/>
  <c r="O16" i="19"/>
  <c r="P16" i="19" s="1"/>
  <c r="M16" i="19"/>
  <c r="N16" i="19" s="1"/>
  <c r="O139" i="19"/>
  <c r="P139" i="19" s="1"/>
  <c r="M139" i="19"/>
  <c r="N139" i="19" s="1"/>
  <c r="O138" i="19"/>
  <c r="P138" i="19" s="1"/>
  <c r="M138" i="19"/>
  <c r="N138" i="19" s="1"/>
  <c r="O125" i="19"/>
  <c r="P125" i="19" s="1"/>
  <c r="M125" i="19"/>
  <c r="N125" i="19" s="1"/>
  <c r="D99" i="19"/>
  <c r="D187" i="19" s="1"/>
  <c r="E99" i="19"/>
  <c r="F99" i="19"/>
  <c r="G99" i="19"/>
  <c r="G187" i="19" s="1"/>
  <c r="H15" i="24" s="1"/>
  <c r="H99" i="19"/>
  <c r="I99" i="19"/>
  <c r="J99" i="19"/>
  <c r="K99" i="19"/>
  <c r="L99" i="19"/>
  <c r="C99" i="19"/>
  <c r="D87" i="19"/>
  <c r="E87" i="19"/>
  <c r="E186" i="19" s="1"/>
  <c r="F87" i="19"/>
  <c r="F186" i="19" s="1"/>
  <c r="G87" i="19"/>
  <c r="H87" i="19"/>
  <c r="H186" i="19" s="1"/>
  <c r="I87" i="19"/>
  <c r="I186" i="19" s="1"/>
  <c r="J87" i="19"/>
  <c r="J186" i="19" s="1"/>
  <c r="K87" i="19"/>
  <c r="K186" i="19" s="1"/>
  <c r="L14" i="24" s="1"/>
  <c r="L87" i="19"/>
  <c r="L186" i="19" s="1"/>
  <c r="C87" i="19"/>
  <c r="C79" i="19"/>
  <c r="D64" i="19"/>
  <c r="E64" i="19"/>
  <c r="E183" i="19" s="1"/>
  <c r="F11" i="24" s="1"/>
  <c r="F64" i="19"/>
  <c r="F183" i="19" s="1"/>
  <c r="G11" i="24" s="1"/>
  <c r="G64" i="19"/>
  <c r="G183" i="19" s="1"/>
  <c r="H64" i="19"/>
  <c r="H183" i="19" s="1"/>
  <c r="I11" i="24" s="1"/>
  <c r="I64" i="19"/>
  <c r="I183" i="19" s="1"/>
  <c r="J11" i="24" s="1"/>
  <c r="J64" i="19"/>
  <c r="J183" i="19" s="1"/>
  <c r="K11" i="24" s="1"/>
  <c r="K64" i="19"/>
  <c r="K183" i="19" s="1"/>
  <c r="L64" i="19"/>
  <c r="L183" i="19" s="1"/>
  <c r="C64" i="19"/>
  <c r="D40" i="19"/>
  <c r="D181" i="19" s="1"/>
  <c r="E40" i="19"/>
  <c r="E181" i="19" s="1"/>
  <c r="F40" i="19"/>
  <c r="F181" i="19" s="1"/>
  <c r="G40" i="19"/>
  <c r="G181" i="19" s="1"/>
  <c r="H9" i="24" s="1"/>
  <c r="H40" i="19"/>
  <c r="I40" i="19"/>
  <c r="J40" i="19"/>
  <c r="J181" i="19" s="1"/>
  <c r="K40" i="19"/>
  <c r="K181" i="19" s="1"/>
  <c r="L40" i="19"/>
  <c r="D30" i="19"/>
  <c r="D180" i="19" s="1"/>
  <c r="E30" i="19"/>
  <c r="E180" i="19" s="1"/>
  <c r="G30" i="19"/>
  <c r="G180" i="19" s="1"/>
  <c r="H30" i="19"/>
  <c r="H180" i="19" s="1"/>
  <c r="I8" i="24" s="1"/>
  <c r="I30" i="19"/>
  <c r="I180" i="19" s="1"/>
  <c r="J8" i="24" s="1"/>
  <c r="J30" i="19"/>
  <c r="J180" i="19" s="1"/>
  <c r="K8" i="24" s="1"/>
  <c r="K30" i="19"/>
  <c r="K180" i="19" s="1"/>
  <c r="L30" i="19"/>
  <c r="L180" i="19" s="1"/>
  <c r="M8" i="24" s="1"/>
  <c r="C30" i="19"/>
  <c r="D11" i="19"/>
  <c r="D179" i="19" s="1"/>
  <c r="E11" i="19"/>
  <c r="E179" i="19" s="1"/>
  <c r="F7" i="24" s="1"/>
  <c r="F11" i="19"/>
  <c r="G11" i="19"/>
  <c r="H11" i="19"/>
  <c r="I11" i="19"/>
  <c r="J11" i="19"/>
  <c r="K11" i="19"/>
  <c r="L11" i="19"/>
  <c r="C11" i="19"/>
  <c r="M11" i="27"/>
  <c r="N11" i="27" s="1"/>
  <c r="M157" i="19"/>
  <c r="N157" i="19" s="1"/>
  <c r="M6" i="27"/>
  <c r="O6" i="27"/>
  <c r="O7" i="27"/>
  <c r="P7" i="27" s="1"/>
  <c r="O8" i="27"/>
  <c r="O9" i="27"/>
  <c r="P9" i="27" s="1"/>
  <c r="O10" i="27"/>
  <c r="O11" i="27"/>
  <c r="P11" i="27" s="1"/>
  <c r="O5" i="27"/>
  <c r="M7" i="27"/>
  <c r="N7" i="27" s="1"/>
  <c r="M8" i="27"/>
  <c r="M9" i="27"/>
  <c r="N9" i="27" s="1"/>
  <c r="M10" i="27"/>
  <c r="N10" i="27" s="1"/>
  <c r="M5" i="27"/>
  <c r="D12" i="27"/>
  <c r="B9" i="28" s="1"/>
  <c r="E12" i="27"/>
  <c r="B10" i="28" s="1"/>
  <c r="F12" i="27"/>
  <c r="G12" i="27"/>
  <c r="B12" i="28" s="1"/>
  <c r="H12" i="27"/>
  <c r="B13" i="28" s="1"/>
  <c r="I12" i="27"/>
  <c r="B14" i="28" s="1"/>
  <c r="J12" i="27"/>
  <c r="B15" i="28" s="1"/>
  <c r="K12" i="27"/>
  <c r="B16" i="28" s="1"/>
  <c r="L12" i="27"/>
  <c r="B17" i="28" s="1"/>
  <c r="C12" i="27"/>
  <c r="B8" i="28" s="1"/>
  <c r="O92" i="19"/>
  <c r="P92" i="19" s="1"/>
  <c r="O84" i="19"/>
  <c r="P84" i="19" s="1"/>
  <c r="M84" i="19"/>
  <c r="N84" i="19" s="1"/>
  <c r="O61" i="19"/>
  <c r="P61" i="19" s="1"/>
  <c r="M61" i="19"/>
  <c r="N61" i="19" s="1"/>
  <c r="O52" i="19"/>
  <c r="P52" i="19" s="1"/>
  <c r="M52" i="19"/>
  <c r="N52" i="19" s="1"/>
  <c r="O35" i="19"/>
  <c r="P35" i="19" s="1"/>
  <c r="M35" i="19"/>
  <c r="N35" i="19" s="1"/>
  <c r="O23" i="19"/>
  <c r="P23" i="19" s="1"/>
  <c r="M23" i="19"/>
  <c r="N23" i="19" s="1"/>
  <c r="O4" i="19"/>
  <c r="P4" i="19" s="1"/>
  <c r="M4" i="19"/>
  <c r="N4" i="19" s="1"/>
  <c r="O86" i="19"/>
  <c r="P86" i="19" s="1"/>
  <c r="M86" i="19"/>
  <c r="N86" i="19" s="1"/>
  <c r="O85" i="19"/>
  <c r="P85" i="19" s="1"/>
  <c r="M85" i="19"/>
  <c r="N85" i="19" s="1"/>
  <c r="L133" i="19"/>
  <c r="L190" i="19" s="1"/>
  <c r="M18" i="24" s="1"/>
  <c r="K133" i="19"/>
  <c r="J133" i="19"/>
  <c r="J190" i="19" s="1"/>
  <c r="I133" i="19"/>
  <c r="I190" i="19" s="1"/>
  <c r="H133" i="19"/>
  <c r="H190" i="19" s="1"/>
  <c r="G133" i="19"/>
  <c r="F133" i="19"/>
  <c r="F190" i="19" s="1"/>
  <c r="G18" i="24" s="1"/>
  <c r="E133" i="19"/>
  <c r="E190" i="19" s="1"/>
  <c r="D133" i="19"/>
  <c r="D190" i="19" s="1"/>
  <c r="C133" i="19"/>
  <c r="O132" i="19"/>
  <c r="O133" i="19" s="1"/>
  <c r="M132" i="19"/>
  <c r="N132" i="19" s="1"/>
  <c r="O24" i="19"/>
  <c r="P24" i="19" s="1"/>
  <c r="O25" i="19"/>
  <c r="P25" i="19" s="1"/>
  <c r="O26" i="19"/>
  <c r="P26" i="19" s="1"/>
  <c r="O27" i="19"/>
  <c r="P27" i="19" s="1"/>
  <c r="O28" i="19"/>
  <c r="P28" i="19" s="1"/>
  <c r="O29" i="19"/>
  <c r="P29" i="19" s="1"/>
  <c r="M24" i="19"/>
  <c r="N24" i="19" s="1"/>
  <c r="M25" i="19"/>
  <c r="N25" i="19" s="1"/>
  <c r="M26" i="19"/>
  <c r="N26" i="19" s="1"/>
  <c r="M27" i="19"/>
  <c r="N27" i="19" s="1"/>
  <c r="M28" i="19"/>
  <c r="N28" i="19" s="1"/>
  <c r="M111" i="19"/>
  <c r="N111" i="19" s="1"/>
  <c r="M62" i="19"/>
  <c r="N62" i="19" s="1"/>
  <c r="O62" i="19"/>
  <c r="P62" i="19" s="1"/>
  <c r="M53" i="19"/>
  <c r="N53" i="19" s="1"/>
  <c r="O53" i="19"/>
  <c r="P53" i="19" s="1"/>
  <c r="O93" i="19"/>
  <c r="P93" i="19" s="1"/>
  <c r="O94" i="19"/>
  <c r="P94" i="19" s="1"/>
  <c r="O95" i="19"/>
  <c r="O96" i="19"/>
  <c r="P96" i="19" s="1"/>
  <c r="O97" i="19"/>
  <c r="P97" i="19" s="1"/>
  <c r="M158" i="19"/>
  <c r="N158" i="19" s="1"/>
  <c r="O158" i="19"/>
  <c r="P158" i="19" s="1"/>
  <c r="M10" i="19"/>
  <c r="N10" i="19" s="1"/>
  <c r="O10" i="19"/>
  <c r="P10" i="19" s="1"/>
  <c r="L151" i="19"/>
  <c r="L194" i="19" s="1"/>
  <c r="K151" i="19"/>
  <c r="K194" i="19" s="1"/>
  <c r="J151" i="19"/>
  <c r="J194" i="19" s="1"/>
  <c r="I151" i="19"/>
  <c r="I194" i="19" s="1"/>
  <c r="H151" i="19"/>
  <c r="H194" i="19" s="1"/>
  <c r="G151" i="19"/>
  <c r="G194" i="19" s="1"/>
  <c r="F151" i="19"/>
  <c r="F194" i="19" s="1"/>
  <c r="E151" i="19"/>
  <c r="E194" i="19" s="1"/>
  <c r="D151" i="19"/>
  <c r="D194" i="19" s="1"/>
  <c r="O111" i="19"/>
  <c r="P111" i="19" s="1"/>
  <c r="O141" i="19"/>
  <c r="P141" i="19" s="1"/>
  <c r="M141" i="19"/>
  <c r="N141" i="19" s="1"/>
  <c r="O45" i="19"/>
  <c r="P45" i="19" s="1"/>
  <c r="M45" i="19"/>
  <c r="N45" i="19" s="1"/>
  <c r="O9" i="19"/>
  <c r="P9" i="19" s="1"/>
  <c r="M9" i="19"/>
  <c r="N9" i="19" s="1"/>
  <c r="M36" i="19"/>
  <c r="N36" i="19" s="1"/>
  <c r="H30" i="24"/>
  <c r="I9" i="23"/>
  <c r="J9" i="23"/>
  <c r="K30" i="24"/>
  <c r="L30" i="24"/>
  <c r="D9" i="23"/>
  <c r="M30" i="24"/>
  <c r="D47" i="19"/>
  <c r="E47" i="19"/>
  <c r="I31" i="24" s="1"/>
  <c r="F47" i="19"/>
  <c r="J31" i="24" s="1"/>
  <c r="G47" i="19"/>
  <c r="K31" i="24" s="1"/>
  <c r="H47" i="19"/>
  <c r="L31" i="24" s="1"/>
  <c r="C47" i="19"/>
  <c r="D31" i="24" s="1"/>
  <c r="I47" i="19"/>
  <c r="M31" i="24" s="1"/>
  <c r="M105" i="19"/>
  <c r="N105" i="19" s="1"/>
  <c r="O98" i="19"/>
  <c r="P98" i="19" s="1"/>
  <c r="O36" i="19"/>
  <c r="P36" i="19" s="1"/>
  <c r="O5" i="19"/>
  <c r="P5" i="19" s="1"/>
  <c r="O6" i="19"/>
  <c r="P6" i="19" s="1"/>
  <c r="O7" i="19"/>
  <c r="P7" i="19" s="1"/>
  <c r="O8" i="19"/>
  <c r="P8" i="19" s="1"/>
  <c r="M5" i="19"/>
  <c r="N5" i="19" s="1"/>
  <c r="M6" i="19"/>
  <c r="N6" i="19" s="1"/>
  <c r="M7" i="19"/>
  <c r="N7" i="19" s="1"/>
  <c r="M8" i="19"/>
  <c r="N8" i="19" s="1"/>
  <c r="I10" i="23"/>
  <c r="M140" i="19"/>
  <c r="N140" i="19" s="1"/>
  <c r="M124" i="19"/>
  <c r="M127" i="19" s="1"/>
  <c r="O77" i="19"/>
  <c r="P77" i="19" s="1"/>
  <c r="M77" i="19"/>
  <c r="N77" i="19" s="1"/>
  <c r="L159" i="19"/>
  <c r="L193" i="19" s="1"/>
  <c r="C159" i="19"/>
  <c r="K159" i="19"/>
  <c r="J159" i="19"/>
  <c r="I159" i="19"/>
  <c r="I193" i="19" s="1"/>
  <c r="H159" i="19"/>
  <c r="G159" i="19"/>
  <c r="F159" i="19"/>
  <c r="E159" i="19"/>
  <c r="E193" i="19" s="1"/>
  <c r="D159" i="19"/>
  <c r="D193" i="19" s="1"/>
  <c r="O157" i="19"/>
  <c r="P157" i="19" s="1"/>
  <c r="T12" i="23"/>
  <c r="S12" i="23"/>
  <c r="R12" i="23"/>
  <c r="Q12" i="23"/>
  <c r="P12" i="23"/>
  <c r="O12" i="23"/>
  <c r="D24" i="22"/>
  <c r="D23" i="22"/>
  <c r="E20" i="24"/>
  <c r="F20" i="24"/>
  <c r="G20" i="24"/>
  <c r="H20" i="24"/>
  <c r="J20" i="24"/>
  <c r="O140" i="19"/>
  <c r="P140" i="19" s="1"/>
  <c r="L20" i="24"/>
  <c r="N5" i="21"/>
  <c r="N14" i="21"/>
  <c r="O5" i="21"/>
  <c r="P5" i="21"/>
  <c r="P14" i="21"/>
  <c r="N6" i="21"/>
  <c r="O6" i="21"/>
  <c r="P6" i="21"/>
  <c r="N7" i="21"/>
  <c r="O7" i="21"/>
  <c r="P7" i="21"/>
  <c r="N8" i="21"/>
  <c r="O8" i="21"/>
  <c r="P8" i="21"/>
  <c r="N9" i="21"/>
  <c r="O9" i="21"/>
  <c r="P9" i="21"/>
  <c r="N10" i="21"/>
  <c r="O10" i="21"/>
  <c r="P10" i="21"/>
  <c r="N11" i="21"/>
  <c r="O11" i="21"/>
  <c r="P11" i="21"/>
  <c r="N12" i="21"/>
  <c r="O12" i="21"/>
  <c r="P12" i="21"/>
  <c r="N13" i="21"/>
  <c r="O13" i="21"/>
  <c r="P13" i="21"/>
  <c r="N19" i="21"/>
  <c r="O19" i="21"/>
  <c r="P19" i="21"/>
  <c r="P29" i="21"/>
  <c r="N20" i="21"/>
  <c r="O20" i="21"/>
  <c r="P20" i="21"/>
  <c r="N21" i="21"/>
  <c r="O21" i="21"/>
  <c r="P21" i="21"/>
  <c r="N22" i="21"/>
  <c r="P22" i="21"/>
  <c r="N23" i="21"/>
  <c r="P23" i="21"/>
  <c r="N24" i="21"/>
  <c r="P24" i="21"/>
  <c r="N25" i="21"/>
  <c r="P25" i="21"/>
  <c r="N26" i="21"/>
  <c r="P26" i="21"/>
  <c r="N27" i="21"/>
  <c r="P27" i="21"/>
  <c r="N28" i="21"/>
  <c r="P28" i="21"/>
  <c r="N29" i="21"/>
  <c r="N34" i="21"/>
  <c r="N43" i="21"/>
  <c r="P34" i="21"/>
  <c r="P43" i="21"/>
  <c r="N35" i="21"/>
  <c r="P35" i="21"/>
  <c r="N36" i="21"/>
  <c r="P36" i="21"/>
  <c r="N37" i="21"/>
  <c r="P37" i="21"/>
  <c r="N38" i="21"/>
  <c r="P38" i="21"/>
  <c r="N39" i="21"/>
  <c r="P39" i="21"/>
  <c r="N40" i="21"/>
  <c r="P40" i="21"/>
  <c r="N41" i="21"/>
  <c r="P41" i="21"/>
  <c r="N42" i="21"/>
  <c r="P42" i="21"/>
  <c r="N48" i="21"/>
  <c r="N57" i="21"/>
  <c r="P48" i="21"/>
  <c r="P57" i="21"/>
  <c r="N49" i="21"/>
  <c r="P49" i="21"/>
  <c r="N50" i="21"/>
  <c r="P50" i="21"/>
  <c r="N51" i="21"/>
  <c r="P51" i="21"/>
  <c r="N52" i="21"/>
  <c r="P52" i="21"/>
  <c r="N53" i="21"/>
  <c r="P53" i="21"/>
  <c r="N54" i="21"/>
  <c r="P54" i="21"/>
  <c r="N55" i="21"/>
  <c r="P55" i="21"/>
  <c r="N56" i="21"/>
  <c r="P56" i="21"/>
  <c r="N62" i="21"/>
  <c r="N70" i="21"/>
  <c r="P62" i="21"/>
  <c r="N63" i="21"/>
  <c r="P63" i="21"/>
  <c r="N64" i="21"/>
  <c r="P64" i="21"/>
  <c r="N65" i="21"/>
  <c r="P65" i="21"/>
  <c r="N66" i="21"/>
  <c r="P66" i="21"/>
  <c r="N67" i="21"/>
  <c r="P67" i="21"/>
  <c r="N68" i="21"/>
  <c r="P68" i="21"/>
  <c r="N69" i="21"/>
  <c r="P69" i="21"/>
  <c r="P70" i="21"/>
  <c r="N75" i="21"/>
  <c r="P75" i="21"/>
  <c r="N76" i="21"/>
  <c r="P76" i="21"/>
  <c r="N77" i="21"/>
  <c r="P77" i="21"/>
  <c r="N78" i="21"/>
  <c r="P78" i="21"/>
  <c r="N79" i="21"/>
  <c r="P79" i="21"/>
  <c r="N80" i="21"/>
  <c r="P80" i="21"/>
  <c r="N81" i="21"/>
  <c r="P81" i="21"/>
  <c r="N82" i="21"/>
  <c r="P82" i="21"/>
  <c r="N83" i="21"/>
  <c r="P83" i="21"/>
  <c r="N89" i="21"/>
  <c r="N96" i="21"/>
  <c r="P89" i="21"/>
  <c r="P96" i="21"/>
  <c r="N90" i="21"/>
  <c r="P90" i="21"/>
  <c r="N91" i="21"/>
  <c r="P91" i="21"/>
  <c r="N92" i="21"/>
  <c r="P92" i="21"/>
  <c r="N93" i="21"/>
  <c r="P93" i="21"/>
  <c r="N94" i="21"/>
  <c r="P94" i="21"/>
  <c r="N95" i="21"/>
  <c r="P95" i="21"/>
  <c r="N102" i="21"/>
  <c r="N109" i="21"/>
  <c r="P102" i="21"/>
  <c r="P109" i="21"/>
  <c r="N103" i="21"/>
  <c r="P103" i="21"/>
  <c r="N104" i="21"/>
  <c r="P104" i="21"/>
  <c r="N105" i="21"/>
  <c r="P105" i="21"/>
  <c r="N106" i="21"/>
  <c r="P106" i="21"/>
  <c r="N107" i="21"/>
  <c r="P107" i="21"/>
  <c r="N108" i="21"/>
  <c r="P108" i="21"/>
  <c r="N136" i="21"/>
  <c r="P136" i="21"/>
  <c r="D79" i="19"/>
  <c r="E79" i="19"/>
  <c r="F79" i="19"/>
  <c r="F185" i="19" s="1"/>
  <c r="G79" i="19"/>
  <c r="G185" i="19" s="1"/>
  <c r="H79" i="19"/>
  <c r="H185" i="19" s="1"/>
  <c r="I79" i="19"/>
  <c r="J79" i="19"/>
  <c r="J185" i="19" s="1"/>
  <c r="K79" i="19"/>
  <c r="K185" i="19" s="1"/>
  <c r="L79" i="19"/>
  <c r="L185" i="19" s="1"/>
  <c r="O105" i="19"/>
  <c r="P105" i="19" s="1"/>
  <c r="M118" i="19"/>
  <c r="N118" i="19" s="1"/>
  <c r="O118" i="19"/>
  <c r="P118" i="19" s="1"/>
  <c r="C119" i="19"/>
  <c r="D119" i="19"/>
  <c r="E119" i="19"/>
  <c r="F119" i="19"/>
  <c r="G119" i="19"/>
  <c r="H119" i="19"/>
  <c r="I119" i="19"/>
  <c r="J119" i="19"/>
  <c r="K119" i="19"/>
  <c r="L119" i="19"/>
  <c r="O124" i="19"/>
  <c r="C127" i="19"/>
  <c r="E191" i="19"/>
  <c r="F191" i="19"/>
  <c r="G191" i="19"/>
  <c r="I191" i="19"/>
  <c r="K191" i="19"/>
  <c r="Q11" i="23"/>
  <c r="P11" i="23"/>
  <c r="E11" i="23"/>
  <c r="T11" i="23" s="1"/>
  <c r="M11" i="23"/>
  <c r="R11" i="23" s="1"/>
  <c r="F11" i="23"/>
  <c r="P10" i="27"/>
  <c r="N71" i="19" l="1"/>
  <c r="P71" i="19"/>
  <c r="D25" i="24"/>
  <c r="O197" i="19"/>
  <c r="C194" i="19"/>
  <c r="O194" i="19"/>
  <c r="P194" i="19" s="1"/>
  <c r="E10" i="24"/>
  <c r="C182" i="19"/>
  <c r="O182" i="19"/>
  <c r="P182" i="19" s="1"/>
  <c r="C188" i="19"/>
  <c r="O188" i="19"/>
  <c r="P188" i="19" s="1"/>
  <c r="C192" i="19"/>
  <c r="O192" i="19"/>
  <c r="P192" i="19" s="1"/>
  <c r="C195" i="19"/>
  <c r="O195" i="19"/>
  <c r="P195" i="19" s="1"/>
  <c r="B6" i="27"/>
  <c r="B8" i="27"/>
  <c r="B5" i="27"/>
  <c r="F30" i="19"/>
  <c r="P124" i="19"/>
  <c r="O127" i="19"/>
  <c r="H31" i="24"/>
  <c r="O46" i="19"/>
  <c r="P46" i="19" s="1"/>
  <c r="M46" i="19"/>
  <c r="N46" i="19" s="1"/>
  <c r="M12" i="27"/>
  <c r="O12" i="27"/>
  <c r="C22" i="28"/>
  <c r="M197" i="19"/>
  <c r="M25" i="24" s="1"/>
  <c r="K20" i="24"/>
  <c r="M192" i="19"/>
  <c r="D189" i="19"/>
  <c r="M195" i="19"/>
  <c r="H196" i="19"/>
  <c r="E15" i="24"/>
  <c r="M194" i="19"/>
  <c r="K187" i="19"/>
  <c r="L15" i="24" s="1"/>
  <c r="H19" i="24"/>
  <c r="E21" i="24"/>
  <c r="K18" i="24"/>
  <c r="D186" i="19"/>
  <c r="J187" i="19"/>
  <c r="K15" i="24" s="1"/>
  <c r="F187" i="19"/>
  <c r="G15" i="24" s="1"/>
  <c r="H16" i="24"/>
  <c r="J191" i="19"/>
  <c r="K19" i="24" s="1"/>
  <c r="H193" i="19"/>
  <c r="I21" i="24" s="1"/>
  <c r="G196" i="19"/>
  <c r="L16" i="24"/>
  <c r="J18" i="24"/>
  <c r="J14" i="24"/>
  <c r="G19" i="24"/>
  <c r="F21" i="24"/>
  <c r="J21" i="24"/>
  <c r="M21" i="24"/>
  <c r="E18" i="24"/>
  <c r="I187" i="19"/>
  <c r="J15" i="24" s="1"/>
  <c r="E187" i="19"/>
  <c r="K16" i="24"/>
  <c r="G16" i="24"/>
  <c r="G189" i="19"/>
  <c r="D191" i="19"/>
  <c r="K193" i="19"/>
  <c r="L21" i="24" s="1"/>
  <c r="G193" i="19"/>
  <c r="H21" i="24" s="1"/>
  <c r="F196" i="19"/>
  <c r="F14" i="24"/>
  <c r="L19" i="24"/>
  <c r="J19" i="24"/>
  <c r="F19" i="24"/>
  <c r="M16" i="24"/>
  <c r="I16" i="24"/>
  <c r="F18" i="24"/>
  <c r="I18" i="24"/>
  <c r="K14" i="24"/>
  <c r="G14" i="24"/>
  <c r="G186" i="19"/>
  <c r="H14" i="24" s="1"/>
  <c r="L187" i="19"/>
  <c r="M15" i="24" s="1"/>
  <c r="H187" i="19"/>
  <c r="I15" i="24" s="1"/>
  <c r="J16" i="24"/>
  <c r="F16" i="24"/>
  <c r="J189" i="19"/>
  <c r="K17" i="24" s="1"/>
  <c r="F189" i="19"/>
  <c r="K190" i="19"/>
  <c r="L18" i="24" s="1"/>
  <c r="G190" i="19"/>
  <c r="L191" i="19"/>
  <c r="M19" i="24" s="1"/>
  <c r="H191" i="19"/>
  <c r="I19" i="24" s="1"/>
  <c r="J193" i="19"/>
  <c r="K21" i="24" s="1"/>
  <c r="F193" i="19"/>
  <c r="D196" i="19"/>
  <c r="E196" i="19"/>
  <c r="M20" i="24"/>
  <c r="I20" i="24"/>
  <c r="M14" i="24"/>
  <c r="I14" i="24"/>
  <c r="I13" i="24"/>
  <c r="M13" i="24"/>
  <c r="L13" i="24"/>
  <c r="H13" i="24"/>
  <c r="K12" i="24"/>
  <c r="H184" i="19"/>
  <c r="I12" i="24" s="1"/>
  <c r="L184" i="19"/>
  <c r="M12" i="24" s="1"/>
  <c r="K13" i="24"/>
  <c r="G13" i="24"/>
  <c r="G184" i="19"/>
  <c r="D185" i="19"/>
  <c r="I185" i="19"/>
  <c r="J13" i="24" s="1"/>
  <c r="E185" i="19"/>
  <c r="F13" i="24" s="1"/>
  <c r="E9" i="24"/>
  <c r="M11" i="24"/>
  <c r="I181" i="19"/>
  <c r="J9" i="24" s="1"/>
  <c r="F9" i="24"/>
  <c r="F8" i="24"/>
  <c r="L11" i="24"/>
  <c r="H11" i="24"/>
  <c r="L181" i="19"/>
  <c r="M9" i="24" s="1"/>
  <c r="H181" i="19"/>
  <c r="L8" i="24"/>
  <c r="E8" i="24"/>
  <c r="K9" i="24"/>
  <c r="G9" i="24"/>
  <c r="F180" i="19"/>
  <c r="D183" i="19"/>
  <c r="H8" i="24"/>
  <c r="M182" i="19"/>
  <c r="L9" i="24"/>
  <c r="E7" i="24"/>
  <c r="I179" i="19"/>
  <c r="J7" i="24" s="1"/>
  <c r="O18" i="19"/>
  <c r="L179" i="19"/>
  <c r="M7" i="24" s="1"/>
  <c r="H179" i="19"/>
  <c r="I7" i="24" s="1"/>
  <c r="O171" i="19"/>
  <c r="K179" i="19"/>
  <c r="L7" i="24" s="1"/>
  <c r="G179" i="19"/>
  <c r="H7" i="24" s="1"/>
  <c r="M18" i="19"/>
  <c r="N18" i="19" s="1"/>
  <c r="N195" i="19" s="1"/>
  <c r="J179" i="19"/>
  <c r="K7" i="24" s="1"/>
  <c r="F179" i="19"/>
  <c r="M171" i="19"/>
  <c r="C23" i="24"/>
  <c r="C22" i="24"/>
  <c r="D22" i="24"/>
  <c r="D23" i="24"/>
  <c r="D10" i="24"/>
  <c r="C10" i="24"/>
  <c r="R10" i="24" s="1"/>
  <c r="C30" i="24"/>
  <c r="O30" i="24" s="1"/>
  <c r="K9" i="23"/>
  <c r="C23" i="28"/>
  <c r="C24" i="28"/>
  <c r="P5" i="27"/>
  <c r="B18" i="28"/>
  <c r="D11" i="28" s="1"/>
  <c r="M9" i="23"/>
  <c r="I30" i="24"/>
  <c r="K114" i="19"/>
  <c r="I114" i="19"/>
  <c r="C9" i="23"/>
  <c r="L9" i="23"/>
  <c r="D30" i="24"/>
  <c r="H9" i="23"/>
  <c r="M119" i="19"/>
  <c r="N119" i="19" s="1"/>
  <c r="D10" i="23"/>
  <c r="T10" i="23" s="1"/>
  <c r="O11" i="23"/>
  <c r="C10" i="23"/>
  <c r="R10" i="23" s="1"/>
  <c r="S11" i="23"/>
  <c r="C31" i="24"/>
  <c r="O31" i="24" s="1"/>
  <c r="O119" i="19"/>
  <c r="P119" i="19" s="1"/>
  <c r="M40" i="19"/>
  <c r="N40" i="19" s="1"/>
  <c r="J30" i="24"/>
  <c r="M30" i="19"/>
  <c r="J24" i="24"/>
  <c r="C20" i="24"/>
  <c r="D20" i="24"/>
  <c r="D16" i="24"/>
  <c r="C16" i="24"/>
  <c r="R16" i="24" s="1"/>
  <c r="M144" i="19"/>
  <c r="M159" i="19"/>
  <c r="N159" i="19" s="1"/>
  <c r="N193" i="19" s="1"/>
  <c r="B17" i="20" s="1"/>
  <c r="S21" i="24" s="1"/>
  <c r="M79" i="19"/>
  <c r="N79" i="19" s="1"/>
  <c r="N185" i="19" s="1"/>
  <c r="B9" i="20" s="1"/>
  <c r="S13" i="24" s="1"/>
  <c r="O79" i="19"/>
  <c r="O99" i="19"/>
  <c r="P99" i="19" s="1"/>
  <c r="N127" i="19"/>
  <c r="N191" i="19" s="1"/>
  <c r="B15" i="20" s="1"/>
  <c r="S19" i="24" s="1"/>
  <c r="P95" i="19"/>
  <c r="M99" i="19"/>
  <c r="L114" i="19"/>
  <c r="H114" i="19"/>
  <c r="M113" i="19"/>
  <c r="M22" i="24"/>
  <c r="M23" i="24"/>
  <c r="K22" i="24"/>
  <c r="K23" i="24"/>
  <c r="J23" i="24"/>
  <c r="J22" i="24"/>
  <c r="M151" i="19"/>
  <c r="O151" i="19"/>
  <c r="F22" i="24"/>
  <c r="F23" i="24"/>
  <c r="P132" i="19"/>
  <c r="M165" i="19"/>
  <c r="N165" i="19" s="1"/>
  <c r="O64" i="19"/>
  <c r="P64" i="19" s="1"/>
  <c r="N124" i="19"/>
  <c r="M87" i="19"/>
  <c r="N87" i="19" s="1"/>
  <c r="N186" i="19" s="1"/>
  <c r="B10" i="20" s="1"/>
  <c r="S14" i="24" s="1"/>
  <c r="O72" i="19"/>
  <c r="P72" i="19" s="1"/>
  <c r="M72" i="19"/>
  <c r="M64" i="19"/>
  <c r="N64" i="19" s="1"/>
  <c r="N183" i="19" s="1"/>
  <c r="B7" i="20" s="1"/>
  <c r="S11" i="24" s="1"/>
  <c r="Q10" i="24"/>
  <c r="O55" i="19"/>
  <c r="M55" i="19"/>
  <c r="N55" i="19" s="1"/>
  <c r="N164" i="19"/>
  <c r="O165" i="19"/>
  <c r="O159" i="19"/>
  <c r="L23" i="24"/>
  <c r="L22" i="24"/>
  <c r="E23" i="24"/>
  <c r="E22" i="24"/>
  <c r="H23" i="24"/>
  <c r="H22" i="24"/>
  <c r="I22" i="24"/>
  <c r="I23" i="24"/>
  <c r="G22" i="24"/>
  <c r="G23" i="24"/>
  <c r="O144" i="19"/>
  <c r="P133" i="19"/>
  <c r="M133" i="19"/>
  <c r="H17" i="24"/>
  <c r="E114" i="19"/>
  <c r="O113" i="19"/>
  <c r="M106" i="19"/>
  <c r="O106" i="19"/>
  <c r="O87" i="19"/>
  <c r="F12" i="24"/>
  <c r="M47" i="19"/>
  <c r="N47" i="19" s="1"/>
  <c r="O47" i="19"/>
  <c r="P47" i="19" s="1"/>
  <c r="T31" i="24"/>
  <c r="O40" i="19"/>
  <c r="O30" i="19"/>
  <c r="O11" i="19"/>
  <c r="M11" i="19"/>
  <c r="M24" i="24"/>
  <c r="L24" i="24"/>
  <c r="K24" i="24"/>
  <c r="C24" i="24"/>
  <c r="D24" i="24"/>
  <c r="M183" i="19" l="1"/>
  <c r="C183" i="19"/>
  <c r="O183" i="19"/>
  <c r="P183" i="19" s="1"/>
  <c r="C7" i="20" s="1"/>
  <c r="T11" i="24" s="1"/>
  <c r="H12" i="24"/>
  <c r="C184" i="19"/>
  <c r="O184" i="19"/>
  <c r="P184" i="19" s="1"/>
  <c r="C8" i="20" s="1"/>
  <c r="T12" i="24" s="1"/>
  <c r="C196" i="19"/>
  <c r="O196" i="19"/>
  <c r="P196" i="19" s="1"/>
  <c r="H18" i="24"/>
  <c r="C190" i="19"/>
  <c r="O190" i="19"/>
  <c r="P190" i="19" s="1"/>
  <c r="C14" i="20" s="1"/>
  <c r="T18" i="24" s="1"/>
  <c r="E17" i="24"/>
  <c r="C189" i="19"/>
  <c r="O189" i="19"/>
  <c r="P189" i="19" s="1"/>
  <c r="M181" i="19"/>
  <c r="C181" i="19"/>
  <c r="O181" i="19"/>
  <c r="P181" i="19" s="1"/>
  <c r="G21" i="24"/>
  <c r="C193" i="19"/>
  <c r="O193" i="19"/>
  <c r="P193" i="19" s="1"/>
  <c r="E19" i="24"/>
  <c r="C191" i="19"/>
  <c r="O191" i="19"/>
  <c r="P191" i="19" s="1"/>
  <c r="C186" i="19"/>
  <c r="O186" i="19"/>
  <c r="P186" i="19" s="1"/>
  <c r="G7" i="24"/>
  <c r="C179" i="19"/>
  <c r="O179" i="19"/>
  <c r="P179" i="19" s="1"/>
  <c r="M180" i="19"/>
  <c r="C180" i="19"/>
  <c r="O180" i="19"/>
  <c r="P180" i="19" s="1"/>
  <c r="E13" i="24"/>
  <c r="C185" i="19"/>
  <c r="O185" i="19"/>
  <c r="P185" i="19" s="1"/>
  <c r="F15" i="24"/>
  <c r="C187" i="19"/>
  <c r="O187" i="19"/>
  <c r="P187" i="19" s="1"/>
  <c r="C11" i="20" s="1"/>
  <c r="T15" i="24" s="1"/>
  <c r="P6" i="27"/>
  <c r="N6" i="27"/>
  <c r="N8" i="27"/>
  <c r="P8" i="27"/>
  <c r="N5" i="27"/>
  <c r="B12" i="27"/>
  <c r="N12" i="27" s="1"/>
  <c r="P171" i="19"/>
  <c r="B14" i="27"/>
  <c r="P20" i="24"/>
  <c r="N171" i="19"/>
  <c r="L197" i="19"/>
  <c r="P10" i="24"/>
  <c r="R23" i="24"/>
  <c r="M193" i="19"/>
  <c r="M186" i="19"/>
  <c r="M190" i="19"/>
  <c r="M196" i="19"/>
  <c r="M191" i="19"/>
  <c r="E14" i="24"/>
  <c r="M187" i="19"/>
  <c r="M189" i="19"/>
  <c r="G17" i="24"/>
  <c r="M188" i="19"/>
  <c r="E16" i="24"/>
  <c r="O16" i="24" s="1"/>
  <c r="I9" i="24"/>
  <c r="M185" i="19"/>
  <c r="O10" i="24"/>
  <c r="E11" i="24"/>
  <c r="G8" i="24"/>
  <c r="M179" i="19"/>
  <c r="S30" i="24"/>
  <c r="R22" i="24"/>
  <c r="D17" i="24"/>
  <c r="C17" i="24"/>
  <c r="R30" i="24"/>
  <c r="P30" i="24"/>
  <c r="R9" i="23"/>
  <c r="P12" i="27"/>
  <c r="B15" i="27" s="1"/>
  <c r="D13" i="28"/>
  <c r="D16" i="28"/>
  <c r="D17" i="28"/>
  <c r="D10" i="28"/>
  <c r="E4" i="28"/>
  <c r="D14" i="28"/>
  <c r="D8" i="28"/>
  <c r="D9" i="28"/>
  <c r="D12" i="28"/>
  <c r="D23" i="28"/>
  <c r="D24" i="28"/>
  <c r="D15" i="28"/>
  <c r="D22" i="28"/>
  <c r="Q31" i="24"/>
  <c r="Q30" i="24"/>
  <c r="O9" i="23"/>
  <c r="S9" i="23"/>
  <c r="Q9" i="23"/>
  <c r="P9" i="23"/>
  <c r="R31" i="24"/>
  <c r="T9" i="23"/>
  <c r="S31" i="24"/>
  <c r="S10" i="23"/>
  <c r="Q23" i="24"/>
  <c r="P31" i="24"/>
  <c r="Q20" i="24"/>
  <c r="O10" i="23"/>
  <c r="P10" i="23"/>
  <c r="Q10" i="23"/>
  <c r="O23" i="24"/>
  <c r="T30" i="24"/>
  <c r="N182" i="19"/>
  <c r="B6" i="20" s="1"/>
  <c r="S10" i="24" s="1"/>
  <c r="N181" i="19"/>
  <c r="B5" i="20" s="1"/>
  <c r="S9" i="24" s="1"/>
  <c r="P16" i="24"/>
  <c r="R20" i="24"/>
  <c r="O20" i="24"/>
  <c r="Q16" i="24"/>
  <c r="N144" i="19"/>
  <c r="N192" i="19" s="1"/>
  <c r="B16" i="20" s="1"/>
  <c r="S20" i="24" s="1"/>
  <c r="P79" i="19"/>
  <c r="C9" i="20" s="1"/>
  <c r="T13" i="24" s="1"/>
  <c r="N99" i="19"/>
  <c r="N187" i="19" s="1"/>
  <c r="B11" i="20" s="1"/>
  <c r="S15" i="24" s="1"/>
  <c r="O22" i="24"/>
  <c r="N113" i="19"/>
  <c r="N189" i="19" s="1"/>
  <c r="B13" i="20" s="1"/>
  <c r="S17" i="24" s="1"/>
  <c r="M114" i="19"/>
  <c r="N114" i="19" s="1"/>
  <c r="N72" i="19"/>
  <c r="N184" i="19" s="1"/>
  <c r="B8" i="20" s="1"/>
  <c r="S12" i="24" s="1"/>
  <c r="Q22" i="24"/>
  <c r="N151" i="19"/>
  <c r="N194" i="19" s="1"/>
  <c r="B18" i="20" s="1"/>
  <c r="P23" i="24"/>
  <c r="P22" i="24"/>
  <c r="P151" i="19"/>
  <c r="P127" i="19"/>
  <c r="C15" i="20" s="1"/>
  <c r="T19" i="24" s="1"/>
  <c r="P55" i="19"/>
  <c r="C6" i="20" s="1"/>
  <c r="T10" i="24" s="1"/>
  <c r="P165" i="19"/>
  <c r="B20" i="20"/>
  <c r="S25" i="24" s="1"/>
  <c r="N196" i="19"/>
  <c r="P159" i="19"/>
  <c r="C17" i="20" s="1"/>
  <c r="T21" i="24" s="1"/>
  <c r="P144" i="19"/>
  <c r="C16" i="20" s="1"/>
  <c r="T20" i="24" s="1"/>
  <c r="N133" i="19"/>
  <c r="N190" i="19" s="1"/>
  <c r="B14" i="20" s="1"/>
  <c r="S18" i="24" s="1"/>
  <c r="P113" i="19"/>
  <c r="C13" i="20" s="1"/>
  <c r="T17" i="24" s="1"/>
  <c r="O114" i="19"/>
  <c r="P114" i="19" s="1"/>
  <c r="P106" i="19"/>
  <c r="C12" i="20" s="1"/>
  <c r="T16" i="24" s="1"/>
  <c r="N106" i="19"/>
  <c r="N188" i="19" s="1"/>
  <c r="B12" i="20" s="1"/>
  <c r="S16" i="24" s="1"/>
  <c r="P87" i="19"/>
  <c r="C10" i="20" s="1"/>
  <c r="T14" i="24" s="1"/>
  <c r="P40" i="19"/>
  <c r="C5" i="20" s="1"/>
  <c r="T9" i="24" s="1"/>
  <c r="P30" i="19"/>
  <c r="C4" i="20" s="1"/>
  <c r="T8" i="24" s="1"/>
  <c r="N30" i="19"/>
  <c r="P11" i="19"/>
  <c r="C3" i="20" s="1"/>
  <c r="T7" i="24" s="1"/>
  <c r="P18" i="19"/>
  <c r="C19" i="20" s="1"/>
  <c r="B19" i="20"/>
  <c r="N11" i="19"/>
  <c r="N179" i="19" s="1"/>
  <c r="O24" i="24"/>
  <c r="P24" i="24"/>
  <c r="Q24" i="24"/>
  <c r="R24" i="24"/>
  <c r="L25" i="24" l="1"/>
  <c r="C197" i="19"/>
  <c r="C18" i="24"/>
  <c r="D18" i="24"/>
  <c r="D12" i="24"/>
  <c r="C12" i="24"/>
  <c r="C11" i="24"/>
  <c r="D11" i="24"/>
  <c r="D14" i="24"/>
  <c r="C14" i="24"/>
  <c r="D19" i="24"/>
  <c r="C19" i="24"/>
  <c r="C21" i="24"/>
  <c r="D21" i="24"/>
  <c r="D9" i="24"/>
  <c r="C9" i="24"/>
  <c r="D15" i="24"/>
  <c r="C15" i="24"/>
  <c r="D13" i="24"/>
  <c r="C13" i="24"/>
  <c r="D8" i="24"/>
  <c r="C8" i="24"/>
  <c r="C7" i="24"/>
  <c r="D7" i="24"/>
  <c r="B21" i="20"/>
  <c r="N197" i="19"/>
  <c r="C21" i="20"/>
  <c r="C18" i="20"/>
  <c r="O17" i="24"/>
  <c r="R17" i="24"/>
  <c r="Q17" i="24"/>
  <c r="P17" i="24"/>
  <c r="N180" i="19"/>
  <c r="S23" i="24"/>
  <c r="S22" i="24"/>
  <c r="T22" i="24"/>
  <c r="T23" i="24"/>
  <c r="C20" i="20"/>
  <c r="T25" i="24" s="1"/>
  <c r="S24" i="24"/>
  <c r="T24" i="24"/>
  <c r="B3" i="20"/>
  <c r="S7" i="24" s="1"/>
  <c r="C25" i="24" l="1"/>
  <c r="P197" i="19"/>
  <c r="P198" i="19" s="1"/>
  <c r="Q25" i="24"/>
  <c r="Q11" i="24"/>
  <c r="P11" i="24"/>
  <c r="R11" i="24"/>
  <c r="O11" i="24"/>
  <c r="Q12" i="24"/>
  <c r="P12" i="24"/>
  <c r="R12" i="24"/>
  <c r="O18" i="24"/>
  <c r="P18" i="24"/>
  <c r="Q18" i="24"/>
  <c r="R18" i="24"/>
  <c r="O9" i="24"/>
  <c r="Q9" i="24"/>
  <c r="R9" i="24"/>
  <c r="P9" i="24"/>
  <c r="R21" i="24"/>
  <c r="O21" i="24"/>
  <c r="Q21" i="24"/>
  <c r="P21" i="24"/>
  <c r="R19" i="24"/>
  <c r="P19" i="24"/>
  <c r="O19" i="24"/>
  <c r="Q19" i="24"/>
  <c r="Q14" i="24"/>
  <c r="R14" i="24"/>
  <c r="P14" i="24"/>
  <c r="O14" i="24"/>
  <c r="R7" i="24"/>
  <c r="Q7" i="24"/>
  <c r="O7" i="24"/>
  <c r="P7" i="24"/>
  <c r="Q8" i="24"/>
  <c r="O8" i="24"/>
  <c r="R8" i="24"/>
  <c r="P8" i="24"/>
  <c r="R13" i="24"/>
  <c r="O13" i="24"/>
  <c r="P13" i="24"/>
  <c r="Q13" i="24"/>
  <c r="P15" i="24"/>
  <c r="Q15" i="24"/>
  <c r="O15" i="24"/>
  <c r="R15" i="24"/>
  <c r="B4" i="20"/>
  <c r="S8" i="24" s="1"/>
  <c r="N198" i="19"/>
  <c r="E12" i="24"/>
  <c r="O12" i="24" s="1"/>
  <c r="M184" i="19"/>
  <c r="P25" i="24" l="1"/>
  <c r="O25" i="24"/>
  <c r="R25" i="2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<sst xmlns="http://schemas.openxmlformats.org/spreadsheetml/2006/main" count="1057" uniqueCount="208">
  <si>
    <t>BAHASA MELAYU (1201)</t>
  </si>
  <si>
    <t>Distinction</t>
  </si>
  <si>
    <t>Credit</t>
  </si>
  <si>
    <t xml:space="preserve"> Pass</t>
  </si>
  <si>
    <t>Fail</t>
  </si>
  <si>
    <t>Class</t>
  </si>
  <si>
    <t>Taught By</t>
  </si>
  <si>
    <t>Total</t>
  </si>
  <si>
    <t>A*</t>
  </si>
  <si>
    <t>A2</t>
  </si>
  <si>
    <t>B3</t>
  </si>
  <si>
    <t>B4</t>
  </si>
  <si>
    <t>C5</t>
  </si>
  <si>
    <t>C6</t>
  </si>
  <si>
    <t>D7</t>
  </si>
  <si>
    <t>E8</t>
  </si>
  <si>
    <t>U</t>
  </si>
  <si>
    <t>Total
1-6</t>
  </si>
  <si>
    <t>%
1-6</t>
  </si>
  <si>
    <t>Total
1-8</t>
  </si>
  <si>
    <t>%
1-8</t>
  </si>
  <si>
    <t>10SCI2</t>
  </si>
  <si>
    <t>Cg Amalina</t>
  </si>
  <si>
    <t>10SCI3</t>
  </si>
  <si>
    <t>Cg Haji Habil</t>
  </si>
  <si>
    <t>10P</t>
  </si>
  <si>
    <t>10R</t>
  </si>
  <si>
    <t>10I</t>
  </si>
  <si>
    <t>Cg Hjh Nooraini</t>
  </si>
  <si>
    <t>10M</t>
  </si>
  <si>
    <t>10E</t>
  </si>
  <si>
    <t>Overall</t>
  </si>
  <si>
    <t>SASTERA (2023)</t>
  </si>
  <si>
    <t>Cg Ummi Sahirah</t>
  </si>
  <si>
    <t>ENGLISH LANGUAGE (1120)</t>
  </si>
  <si>
    <t>Cg Ana</t>
  </si>
  <si>
    <t>Cg Hjh Mariah</t>
  </si>
  <si>
    <t>Cg Suhaila</t>
  </si>
  <si>
    <t>Cg Norsuzilawati</t>
  </si>
  <si>
    <t>Cg Asfarina</t>
  </si>
  <si>
    <t>MATHEMATICS D (4024)</t>
  </si>
  <si>
    <t>Cg Iqzal</t>
  </si>
  <si>
    <t>Cg Afifah</t>
  </si>
  <si>
    <t>Cg Zunainah</t>
  </si>
  <si>
    <t>MATHEMATICS IGCSE - CORE (0580)</t>
  </si>
  <si>
    <t>GRADE</t>
  </si>
  <si>
    <t>C</t>
  </si>
  <si>
    <t>D</t>
  </si>
  <si>
    <t>E</t>
  </si>
  <si>
    <t>F</t>
  </si>
  <si>
    <t>G</t>
  </si>
  <si>
    <t>Total
C</t>
  </si>
  <si>
    <t>%
C</t>
  </si>
  <si>
    <t>Total
C-G</t>
  </si>
  <si>
    <t>%
C-G</t>
  </si>
  <si>
    <t>Cg Hjh Sofinah</t>
  </si>
  <si>
    <t>PHYSICS (5054)</t>
  </si>
  <si>
    <t>Cg Aqlan Chong</t>
  </si>
  <si>
    <t>10SCi3</t>
  </si>
  <si>
    <t>CHEMISTRY (5070)</t>
  </si>
  <si>
    <t>Cg Aziemah</t>
  </si>
  <si>
    <t>Cg Siti Nurul Asyiken</t>
  </si>
  <si>
    <t>BIOLOGY (5090)</t>
  </si>
  <si>
    <t>Cg Khairul Azmi</t>
  </si>
  <si>
    <t>COMBINED SCIENCE (5129)</t>
  </si>
  <si>
    <t>Cg Lina Hasrina</t>
  </si>
  <si>
    <t>GEOGRAPHY (2230)</t>
  </si>
  <si>
    <t>Cg Mazlina</t>
  </si>
  <si>
    <t>Cg Ezdiani</t>
  </si>
  <si>
    <t>ISLAMIC RELIGIOUS KNOWLEDGE (2047)</t>
  </si>
  <si>
    <t>Cg Noralam</t>
  </si>
  <si>
    <t>Ustazah Mardyana</t>
  </si>
  <si>
    <t>HISTORY (2171)</t>
  </si>
  <si>
    <t>Cg Asnah</t>
  </si>
  <si>
    <t>COMMERCE (7100)</t>
  </si>
  <si>
    <t>Cg Khuzaimah</t>
  </si>
  <si>
    <t>ECONOMICS</t>
  </si>
  <si>
    <t xml:space="preserve">    Distinction</t>
  </si>
  <si>
    <t xml:space="preserve">        Credit</t>
  </si>
  <si>
    <t xml:space="preserve">       Pass</t>
  </si>
  <si>
    <t>ACCOUNTING (7077)</t>
  </si>
  <si>
    <t>Cg Mastunah</t>
  </si>
  <si>
    <t>Cg T Pow Giok</t>
  </si>
  <si>
    <t>Cikgu Masturah &amp; Tang Pow Giok</t>
  </si>
  <si>
    <t>ECONOMICS (2281)</t>
  </si>
  <si>
    <t>Cg Dalina</t>
  </si>
  <si>
    <t>ART &amp; DESIGN (6089)</t>
  </si>
  <si>
    <t>Cg Ani</t>
  </si>
  <si>
    <t>Cg Hjh Nur Izzah</t>
  </si>
  <si>
    <t>AGRICULTURE (5038)</t>
  </si>
  <si>
    <t>Cg Aminah</t>
  </si>
  <si>
    <t>FOOD &amp; NUTRITION (6065)</t>
  </si>
  <si>
    <t>Cg Dk Nurur Rahimah</t>
  </si>
  <si>
    <t>COMPUTER SCIENCE (2210)</t>
  </si>
  <si>
    <t>Cg Maszidah</t>
  </si>
  <si>
    <t>IG ICT</t>
  </si>
  <si>
    <t>Cg Dk Mimi</t>
  </si>
  <si>
    <t>OVERALL PERFORMANCE</t>
  </si>
  <si>
    <t>Pass</t>
  </si>
  <si>
    <t>Subject</t>
  </si>
  <si>
    <t>A*1</t>
  </si>
  <si>
    <t>B.Melayu</t>
  </si>
  <si>
    <t>English Language</t>
  </si>
  <si>
    <t>Mathematics D</t>
  </si>
  <si>
    <t>Physics</t>
  </si>
  <si>
    <t>Chemistry</t>
  </si>
  <si>
    <t>Biology</t>
  </si>
  <si>
    <t>Combined Science</t>
  </si>
  <si>
    <t>Geography</t>
  </si>
  <si>
    <t>IRK</t>
  </si>
  <si>
    <t>History</t>
  </si>
  <si>
    <t>Commerce</t>
  </si>
  <si>
    <t>Economics</t>
  </si>
  <si>
    <t>Accounting</t>
  </si>
  <si>
    <t>Art &amp; Design</t>
  </si>
  <si>
    <t>Food &amp; Nutrition</t>
  </si>
  <si>
    <t>Agriculture</t>
  </si>
  <si>
    <t>Sastera</t>
  </si>
  <si>
    <t>Computer Science</t>
  </si>
  <si>
    <t>Average</t>
  </si>
  <si>
    <t>Subjects</t>
  </si>
  <si>
    <t>Class + No of stdn</t>
  </si>
  <si>
    <t>Class Avg</t>
  </si>
  <si>
    <t>10Sci2 (26)</t>
  </si>
  <si>
    <t>10Sci3 (25)</t>
  </si>
  <si>
    <t>10A (31)</t>
  </si>
  <si>
    <t>10M (30)</t>
  </si>
  <si>
    <t>10B (31)</t>
  </si>
  <si>
    <t>10E (32)</t>
  </si>
  <si>
    <t>10R (31)</t>
  </si>
  <si>
    <t>Menengah 4A</t>
  </si>
  <si>
    <t>English</t>
  </si>
  <si>
    <t>Maths</t>
  </si>
  <si>
    <t>Add Maths</t>
  </si>
  <si>
    <t>Computer</t>
  </si>
  <si>
    <t>Menengah 4B</t>
  </si>
  <si>
    <t>POA</t>
  </si>
  <si>
    <t>Menengah 4C</t>
  </si>
  <si>
    <t>Comb Sc</t>
  </si>
  <si>
    <t>Agr Sc</t>
  </si>
  <si>
    <t>Menengah 4D</t>
  </si>
  <si>
    <t>Art</t>
  </si>
  <si>
    <t>Menengah 4E</t>
  </si>
  <si>
    <t>Menengah 4F</t>
  </si>
  <si>
    <t>Menengah 4G</t>
  </si>
  <si>
    <t>Menengah 4H</t>
  </si>
  <si>
    <t>B.Mel</t>
  </si>
  <si>
    <t>Eng</t>
  </si>
  <si>
    <t>A Math</t>
  </si>
  <si>
    <t>Phy</t>
  </si>
  <si>
    <t>Chem</t>
  </si>
  <si>
    <t>Bio</t>
  </si>
  <si>
    <t>C Sci</t>
  </si>
  <si>
    <t>Geog</t>
  </si>
  <si>
    <t>His</t>
  </si>
  <si>
    <t>Comm</t>
  </si>
  <si>
    <t>Eco</t>
  </si>
  <si>
    <t>Comp</t>
  </si>
  <si>
    <t>A Sci</t>
  </si>
  <si>
    <t>Sas</t>
  </si>
  <si>
    <t>Sub</t>
  </si>
  <si>
    <t>Y10 MID YEAR EXAMINATION 2016</t>
  </si>
  <si>
    <t xml:space="preserve">SEKOLAH MENENGAH PG ANAK PUTERI HAJAH MASNA </t>
  </si>
  <si>
    <t>IGCSE SUBJECTS</t>
  </si>
  <si>
    <t>NUMBER OF CANDIDATES OBTAINING</t>
  </si>
  <si>
    <t>PERCENTAGE FOR GRADES</t>
  </si>
  <si>
    <t>NO. OF CANDIDATE</t>
  </si>
  <si>
    <t>ABSENT</t>
  </si>
  <si>
    <t>REGISTERED</t>
  </si>
  <si>
    <t>SAT</t>
  </si>
  <si>
    <t>A</t>
  </si>
  <si>
    <t>B</t>
  </si>
  <si>
    <t>X</t>
  </si>
  <si>
    <t>A*- A</t>
  </si>
  <si>
    <t>B-C</t>
  </si>
  <si>
    <t>D-G</t>
  </si>
  <si>
    <t>%
A* - C</t>
  </si>
  <si>
    <t>%
A* - G</t>
  </si>
  <si>
    <t>IGCSE English E2L 
(Core)</t>
  </si>
  <si>
    <t>IGCSE Mathematics 
(Core)</t>
  </si>
  <si>
    <t>IGCSE PE
(Extended)</t>
  </si>
  <si>
    <t>IGCSE ICT 
(Extended)</t>
  </si>
  <si>
    <t>SEKOLAH MENENGAH PG ANAK PUTERI HAJAH MASNA</t>
  </si>
  <si>
    <t>OVERALL RESULTS - YEAR 10 END OF YEAR EXAMINATION 2025</t>
  </si>
  <si>
    <t>REMARKS</t>
  </si>
  <si>
    <t>1-2</t>
  </si>
  <si>
    <t>3-6</t>
  </si>
  <si>
    <t>7-8</t>
  </si>
  <si>
    <t>9</t>
  </si>
  <si>
    <t xml:space="preserve">No. Of Candidate Registered </t>
  </si>
  <si>
    <t>No. Of Candidate Sitting</t>
  </si>
  <si>
    <t>Withdrawn</t>
  </si>
  <si>
    <t>Credit Attained</t>
  </si>
  <si>
    <t>No. Of Student</t>
  </si>
  <si>
    <t>%</t>
  </si>
  <si>
    <t>No. of 
Student</t>
  </si>
  <si>
    <t>4 or more Credits</t>
  </si>
  <si>
    <t>5 or more Credits</t>
  </si>
  <si>
    <t>YEAR 10 END OF YEAR EXAMINATION  2025</t>
  </si>
  <si>
    <t>No. of Candidates</t>
  </si>
  <si>
    <t>No. of Credits Obtained</t>
  </si>
  <si>
    <t>5 'O' &amp; above</t>
  </si>
  <si>
    <t>3 'O' &amp; above</t>
  </si>
  <si>
    <t>Total No. of Candidates</t>
  </si>
  <si>
    <t>% obtained 5'O' &amp; above</t>
  </si>
  <si>
    <t>% obtained 3'O' &amp; above</t>
  </si>
  <si>
    <t>YEAR 10 END OF YEAR EXAMINATION 2025</t>
  </si>
  <si>
    <t>3 or more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</si>
</sst>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2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2"/>
      <name val="Helv"/>
    </font>
    <font>
      <b/>
      <sz val="14"/>
      <name val="Helv"/>
    </font>
    <font>
      <b/>
      <sz val="8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b/>
      <sz val="28"/>
      <color theme="1"/>
      <name val="Calibri"/>
      <family val="2"/>
      <scheme val="minor"/>
    </font>
    <font>
      <i/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FF"/>
      <name val="Aptos Display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1"/>
      <name val="Aptos Display"/>
      <family val="2"/>
    </font>
    <font>
      <b/>
      <sz val="14"/>
      <name val="Aptos Display"/>
      <family val="2"/>
    </font>
    <font>
      <sz val="14"/>
      <name val="Aptos Display"/>
      <family val="2"/>
    </font>
    <font>
      <sz val="10"/>
      <color rgb="FF0000FF"/>
      <name val="Aptos Display"/>
      <family val="2"/>
    </font>
    <font>
      <sz val="9"/>
      <name val="Aptos Display"/>
      <family val="2"/>
    </font>
    <font>
      <b/>
      <u/>
      <sz val="18"/>
      <name val="Aptos Display"/>
      <family val="2"/>
    </font>
    <font>
      <b/>
      <sz val="10"/>
      <color rgb="FF0000FF"/>
      <name val="Aptos Display"/>
      <family val="2"/>
    </font>
    <font>
      <b/>
      <sz val="12"/>
      <name val="Aptos Display"/>
      <family val="2"/>
    </font>
    <font>
      <b/>
      <sz val="16"/>
      <name val="Aptos Display"/>
      <family val="2"/>
    </font>
    <font>
      <sz val="12"/>
      <name val="Aptos Display"/>
      <family val="2"/>
    </font>
    <font>
      <b/>
      <sz val="11"/>
      <name val="Aptos Display"/>
      <family val="2"/>
    </font>
    <font>
      <sz val="8"/>
      <name val="Aptos Display"/>
      <family val="2"/>
    </font>
    <font>
      <b/>
      <sz val="8"/>
      <name val="Aptos Display"/>
      <family val="2"/>
    </font>
    <font>
      <sz val="12"/>
      <color rgb="FF0000FF"/>
      <name val="Aptos Display"/>
      <family val="2"/>
    </font>
    <font>
      <b/>
      <sz val="20"/>
      <name val="Aptos Display"/>
      <family val="2"/>
    </font>
    <font>
      <b/>
      <sz val="18"/>
      <name val="Aptos Display"/>
      <family val="2"/>
    </font>
    <font>
      <sz val="12"/>
      <color rgb="FF000000"/>
      <name val="Aptos Display"/>
      <family val="2"/>
    </font>
    <font>
      <b/>
      <sz val="24"/>
      <name val="Aptos Display"/>
      <family val="2"/>
    </font>
    <font>
      <b/>
      <sz val="24"/>
      <color indexed="8"/>
      <name val="Aptos Display"/>
      <family val="2"/>
    </font>
    <font>
      <sz val="12"/>
      <color indexed="8"/>
      <name val="Aptos Display"/>
      <family val="2"/>
    </font>
    <font>
      <b/>
      <sz val="9"/>
      <name val="Aptos Display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Display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13" fillId="0" borderId="0"/>
    <xf numFmtId="9" fontId="1" fillId="0" borderId="0" applyFont="0" applyFill="0" applyBorder="0" applyAlignment="0" applyProtection="0"/>
    <xf numFmtId="0" fontId="49" fillId="0" borderId="0" applyNumberFormat="0" applyFill="0" applyBorder="0" applyAlignment="0" applyProtection="0"/>
  </cellStyleXfs>
  <cellXfs count="3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6" fillId="2" borderId="0" xfId="0" applyFont="1" applyFill="1"/>
    <xf numFmtId="164" fontId="7" fillId="2" borderId="0" xfId="0" applyNumberFormat="1" applyFont="1" applyFill="1" applyAlignment="1">
      <alignment horizontal="center"/>
    </xf>
    <xf numFmtId="0" fontId="6" fillId="0" borderId="0" xfId="0" applyFont="1"/>
    <xf numFmtId="164" fontId="7" fillId="0" borderId="0" xfId="0" applyNumberFormat="1" applyFont="1" applyAlignment="1">
      <alignment horizontal="center"/>
    </xf>
    <xf numFmtId="1" fontId="6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1" fontId="9" fillId="2" borderId="4" xfId="0" applyNumberFormat="1" applyFont="1" applyFill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4" xfId="0" applyFont="1" applyBorder="1" applyAlignment="1">
      <alignment horizontal="left"/>
    </xf>
    <xf numFmtId="164" fontId="8" fillId="0" borderId="0" xfId="0" applyNumberFormat="1" applyFont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/>
    </xf>
    <xf numFmtId="0" fontId="16" fillId="0" borderId="0" xfId="2" applyFont="1"/>
    <xf numFmtId="0" fontId="17" fillId="0" borderId="0" xfId="0" applyFont="1"/>
    <xf numFmtId="0" fontId="18" fillId="0" borderId="4" xfId="1" applyFont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/>
    </xf>
    <xf numFmtId="0" fontId="16" fillId="0" borderId="0" xfId="1" applyFont="1" applyAlignment="1">
      <alignment horizontal="center"/>
    </xf>
    <xf numFmtId="2" fontId="16" fillId="0" borderId="4" xfId="1" applyNumberFormat="1" applyFont="1" applyBorder="1" applyAlignment="1">
      <alignment horizontal="center"/>
    </xf>
    <xf numFmtId="0" fontId="4" fillId="0" borderId="0" xfId="1"/>
    <xf numFmtId="0" fontId="14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center" vertical="center"/>
    </xf>
    <xf numFmtId="0" fontId="21" fillId="0" borderId="4" xfId="3" applyFont="1" applyBorder="1" applyAlignment="1">
      <alignment horizontal="center" vertical="center"/>
    </xf>
    <xf numFmtId="165" fontId="16" fillId="0" borderId="4" xfId="3" applyNumberFormat="1" applyFont="1" applyBorder="1" applyAlignment="1">
      <alignment horizontal="center" vertical="center"/>
    </xf>
    <xf numFmtId="0" fontId="7" fillId="0" borderId="0" xfId="0" applyFont="1"/>
    <xf numFmtId="0" fontId="10" fillId="0" borderId="0" xfId="0" applyFont="1"/>
    <xf numFmtId="0" fontId="11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164" fontId="26" fillId="0" borderId="0" xfId="0" applyNumberFormat="1" applyFont="1"/>
    <xf numFmtId="0" fontId="27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164" fontId="26" fillId="0" borderId="4" xfId="0" applyNumberFormat="1" applyFont="1" applyBorder="1" applyAlignment="1">
      <alignment horizontal="center"/>
    </xf>
    <xf numFmtId="164" fontId="27" fillId="0" borderId="4" xfId="0" applyNumberFormat="1" applyFont="1" applyBorder="1" applyAlignment="1">
      <alignment horizontal="center"/>
    </xf>
    <xf numFmtId="0" fontId="27" fillId="0" borderId="0" xfId="0" applyFont="1" applyAlignment="1">
      <alignment horizontal="center"/>
    </xf>
    <xf numFmtId="164" fontId="27" fillId="0" borderId="0" xfId="0" applyNumberFormat="1" applyFont="1" applyAlignment="1">
      <alignment horizontal="center"/>
    </xf>
    <xf numFmtId="0" fontId="27" fillId="0" borderId="1" xfId="0" applyFont="1" applyBorder="1"/>
    <xf numFmtId="0" fontId="27" fillId="0" borderId="2" xfId="0" applyFont="1" applyBorder="1"/>
    <xf numFmtId="0" fontId="27" fillId="0" borderId="4" xfId="0" applyFont="1" applyBorder="1" applyAlignment="1">
      <alignment horizontal="center" wrapText="1"/>
    </xf>
    <xf numFmtId="164" fontId="27" fillId="0" borderId="4" xfId="0" applyNumberFormat="1" applyFont="1" applyBorder="1" applyAlignment="1">
      <alignment horizontal="center" wrapText="1"/>
    </xf>
    <xf numFmtId="0" fontId="26" fillId="0" borderId="16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26" fillId="0" borderId="16" xfId="0" applyFont="1" applyBorder="1" applyAlignment="1">
      <alignment horizontal="center" vertical="center" wrapText="1"/>
    </xf>
    <xf numFmtId="0" fontId="27" fillId="0" borderId="0" xfId="0" applyFont="1"/>
    <xf numFmtId="18" fontId="27" fillId="0" borderId="4" xfId="0" applyNumberFormat="1" applyFont="1" applyBorder="1" applyAlignment="1">
      <alignment horizontal="center"/>
    </xf>
    <xf numFmtId="0" fontId="26" fillId="3" borderId="4" xfId="0" applyFont="1" applyFill="1" applyBorder="1" applyAlignment="1">
      <alignment horizontal="center"/>
    </xf>
    <xf numFmtId="0" fontId="26" fillId="0" borderId="4" xfId="0" applyFont="1" applyBorder="1" applyAlignment="1">
      <alignment horizontal="center" wrapText="1"/>
    </xf>
    <xf numFmtId="0" fontId="27" fillId="3" borderId="4" xfId="0" applyFont="1" applyFill="1" applyBorder="1" applyAlignment="1">
      <alignment horizontal="center"/>
    </xf>
    <xf numFmtId="0" fontId="28" fillId="0" borderId="16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/>
    <xf numFmtId="0" fontId="27" fillId="0" borderId="5" xfId="0" applyFont="1" applyBorder="1" applyAlignment="1">
      <alignment horizontal="left"/>
    </xf>
    <xf numFmtId="0" fontId="28" fillId="0" borderId="16" xfId="0" applyFont="1" applyBorder="1" applyAlignment="1">
      <alignment horizontal="center" vertical="center" wrapText="1"/>
    </xf>
    <xf numFmtId="0" fontId="25" fillId="0" borderId="0" xfId="0" applyFont="1" applyAlignment="1">
      <alignment horizontal="left"/>
    </xf>
    <xf numFmtId="164" fontId="26" fillId="0" borderId="0" xfId="0" applyNumberFormat="1" applyFont="1" applyAlignment="1">
      <alignment horizontal="center"/>
    </xf>
    <xf numFmtId="0" fontId="30" fillId="0" borderId="0" xfId="0" applyFont="1"/>
    <xf numFmtId="164" fontId="30" fillId="0" borderId="0" xfId="0" applyNumberFormat="1" applyFont="1"/>
    <xf numFmtId="0" fontId="26" fillId="0" borderId="4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164" fontId="26" fillId="0" borderId="4" xfId="4" applyNumberFormat="1" applyFont="1" applyBorder="1" applyAlignment="1">
      <alignment horizontal="center"/>
    </xf>
    <xf numFmtId="0" fontId="31" fillId="0" borderId="0" xfId="0" applyFont="1"/>
    <xf numFmtId="0" fontId="27" fillId="0" borderId="1" xfId="0" applyFont="1" applyBorder="1" applyAlignment="1">
      <alignment horizontal="left"/>
    </xf>
    <xf numFmtId="0" fontId="32" fillId="0" borderId="4" xfId="0" applyFont="1" applyBorder="1" applyAlignment="1">
      <alignment horizontal="center"/>
    </xf>
    <xf numFmtId="0" fontId="32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164" fontId="26" fillId="0" borderId="4" xfId="0" applyNumberFormat="1" applyFont="1" applyBorder="1" applyAlignment="1">
      <alignment horizontal="center" wrapText="1"/>
    </xf>
    <xf numFmtId="0" fontId="33" fillId="0" borderId="0" xfId="0" applyFont="1"/>
    <xf numFmtId="0" fontId="26" fillId="0" borderId="2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32" fillId="0" borderId="2" xfId="0" applyFont="1" applyBorder="1" applyAlignment="1">
      <alignment horizontal="center"/>
    </xf>
    <xf numFmtId="164" fontId="26" fillId="0" borderId="4" xfId="0" applyNumberFormat="1" applyFont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164" fontId="30" fillId="2" borderId="0" xfId="0" applyNumberFormat="1" applyFont="1" applyFill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164" fontId="30" fillId="0" borderId="4" xfId="0" applyNumberFormat="1" applyFont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164" fontId="30" fillId="2" borderId="4" xfId="0" applyNumberFormat="1" applyFont="1" applyFill="1" applyBorder="1" applyAlignment="1">
      <alignment horizontal="center" vertical="center"/>
    </xf>
    <xf numFmtId="164" fontId="30" fillId="0" borderId="6" xfId="0" applyNumberFormat="1" applyFont="1" applyBorder="1" applyAlignment="1">
      <alignment horizontal="center" vertical="center"/>
    </xf>
    <xf numFmtId="0" fontId="26" fillId="2" borderId="0" xfId="0" applyFont="1" applyFill="1"/>
    <xf numFmtId="164" fontId="36" fillId="2" borderId="4" xfId="0" applyNumberFormat="1" applyFont="1" applyFill="1" applyBorder="1" applyAlignment="1">
      <alignment horizontal="center"/>
    </xf>
    <xf numFmtId="164" fontId="36" fillId="2" borderId="0" xfId="0" applyNumberFormat="1" applyFont="1" applyFill="1" applyAlignment="1">
      <alignment horizontal="center"/>
    </xf>
    <xf numFmtId="164" fontId="36" fillId="0" borderId="0" xfId="0" applyNumberFormat="1" applyFont="1" applyAlignment="1">
      <alignment horizontal="center"/>
    </xf>
    <xf numFmtId="0" fontId="37" fillId="2" borderId="0" xfId="0" applyFont="1" applyFill="1" applyAlignment="1">
      <alignment horizontal="center" vertical="center"/>
    </xf>
    <xf numFmtId="9" fontId="37" fillId="2" borderId="0" xfId="0" applyNumberFormat="1" applyFont="1" applyFill="1" applyAlignment="1">
      <alignment horizontal="center" vertical="center"/>
    </xf>
    <xf numFmtId="164" fontId="37" fillId="2" borderId="0" xfId="0" applyNumberFormat="1" applyFont="1" applyFill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 wrapText="1"/>
    </xf>
    <xf numFmtId="164" fontId="27" fillId="9" borderId="4" xfId="0" applyNumberFormat="1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center" wrapText="1"/>
    </xf>
    <xf numFmtId="164" fontId="27" fillId="9" borderId="4" xfId="0" applyNumberFormat="1" applyFont="1" applyFill="1" applyBorder="1" applyAlignment="1">
      <alignment horizontal="center" wrapText="1"/>
    </xf>
    <xf numFmtId="0" fontId="27" fillId="11" borderId="4" xfId="0" applyFont="1" applyFill="1" applyBorder="1" applyAlignment="1">
      <alignment horizontal="center"/>
    </xf>
    <xf numFmtId="0" fontId="35" fillId="12" borderId="4" xfId="0" applyFont="1" applyFill="1" applyBorder="1" applyAlignment="1">
      <alignment horizontal="center" vertical="center" wrapText="1"/>
    </xf>
    <xf numFmtId="0" fontId="36" fillId="8" borderId="4" xfId="0" applyFont="1" applyFill="1" applyBorder="1" applyAlignment="1">
      <alignment horizontal="center" vertical="center"/>
    </xf>
    <xf numFmtId="0" fontId="35" fillId="8" borderId="4" xfId="0" applyFont="1" applyFill="1" applyBorder="1" applyAlignment="1">
      <alignment horizontal="center" vertical="center" wrapText="1"/>
    </xf>
    <xf numFmtId="164" fontId="35" fillId="8" borderId="4" xfId="0" applyNumberFormat="1" applyFont="1" applyFill="1" applyBorder="1" applyAlignment="1">
      <alignment horizontal="center" vertical="center" wrapText="1"/>
    </xf>
    <xf numFmtId="164" fontId="30" fillId="0" borderId="7" xfId="0" applyNumberFormat="1" applyFont="1" applyBorder="1" applyAlignment="1">
      <alignment horizontal="center" vertical="center"/>
    </xf>
    <xf numFmtId="164" fontId="30" fillId="2" borderId="1" xfId="0" applyNumberFormat="1" applyFont="1" applyFill="1" applyBorder="1" applyAlignment="1">
      <alignment horizontal="center" vertical="center"/>
    </xf>
    <xf numFmtId="164" fontId="30" fillId="0" borderId="14" xfId="0" applyNumberFormat="1" applyFont="1" applyBorder="1" applyAlignment="1">
      <alignment horizontal="center" vertical="center"/>
    </xf>
    <xf numFmtId="0" fontId="35" fillId="12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/>
    </xf>
    <xf numFmtId="0" fontId="39" fillId="0" borderId="0" xfId="1" applyFont="1"/>
    <xf numFmtId="0" fontId="26" fillId="0" borderId="0" xfId="1" applyFont="1"/>
    <xf numFmtId="0" fontId="40" fillId="0" borderId="4" xfId="1" applyFont="1" applyBorder="1" applyAlignment="1">
      <alignment horizontal="center" vertical="center"/>
    </xf>
    <xf numFmtId="0" fontId="26" fillId="2" borderId="0" xfId="1" applyFont="1" applyFill="1" applyAlignment="1">
      <alignment horizontal="center" vertical="center"/>
    </xf>
    <xf numFmtId="0" fontId="39" fillId="0" borderId="4" xfId="1" applyFont="1" applyBorder="1"/>
    <xf numFmtId="0" fontId="37" fillId="0" borderId="4" xfId="1" applyFont="1" applyBorder="1" applyAlignment="1">
      <alignment horizontal="center" vertical="center"/>
    </xf>
    <xf numFmtId="165" fontId="26" fillId="0" borderId="4" xfId="1" applyNumberFormat="1" applyFont="1" applyBorder="1" applyAlignment="1">
      <alignment horizontal="center" vertical="center"/>
    </xf>
    <xf numFmtId="164" fontId="35" fillId="0" borderId="4" xfId="1" applyNumberFormat="1" applyFont="1" applyBorder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37" fillId="4" borderId="4" xfId="1" applyFont="1" applyFill="1" applyBorder="1" applyAlignment="1">
      <alignment horizontal="center" vertical="center"/>
    </xf>
    <xf numFmtId="10" fontId="26" fillId="0" borderId="4" xfId="1" applyNumberFormat="1" applyFont="1" applyBorder="1" applyAlignment="1">
      <alignment horizontal="center" vertical="center"/>
    </xf>
    <xf numFmtId="165" fontId="38" fillId="0" borderId="4" xfId="1" applyNumberFormat="1" applyFont="1" applyBorder="1" applyAlignment="1">
      <alignment horizontal="center" vertical="center"/>
    </xf>
    <xf numFmtId="0" fontId="27" fillId="10" borderId="4" xfId="1" applyFont="1" applyFill="1" applyBorder="1" applyAlignment="1">
      <alignment horizontal="center" vertical="center"/>
    </xf>
    <xf numFmtId="0" fontId="27" fillId="11" borderId="4" xfId="1" applyFont="1" applyFill="1" applyBorder="1" applyAlignment="1">
      <alignment horizontal="center" vertical="center"/>
    </xf>
    <xf numFmtId="0" fontId="35" fillId="0" borderId="4" xfId="1" applyFont="1" applyBorder="1" applyAlignment="1">
      <alignment horizontal="center" vertical="center"/>
    </xf>
    <xf numFmtId="0" fontId="27" fillId="7" borderId="4" xfId="1" applyFont="1" applyFill="1" applyBorder="1" applyAlignment="1">
      <alignment horizontal="center" vertical="center"/>
    </xf>
    <xf numFmtId="49" fontId="27" fillId="7" borderId="4" xfId="1" applyNumberFormat="1" applyFont="1" applyFill="1" applyBorder="1" applyAlignment="1">
      <alignment horizontal="center" vertical="center"/>
    </xf>
    <xf numFmtId="0" fontId="27" fillId="7" borderId="4" xfId="1" applyFont="1" applyFill="1" applyBorder="1" applyAlignment="1">
      <alignment horizontal="center" vertical="center" wrapText="1"/>
    </xf>
    <xf numFmtId="0" fontId="35" fillId="7" borderId="4" xfId="0" applyFont="1" applyFill="1" applyBorder="1" applyAlignment="1">
      <alignment horizontal="center" vertical="center"/>
    </xf>
    <xf numFmtId="0" fontId="37" fillId="0" borderId="0" xfId="1" applyFont="1"/>
    <xf numFmtId="0" fontId="37" fillId="0" borderId="0" xfId="1" applyFont="1" applyAlignment="1">
      <alignment horizontal="center"/>
    </xf>
    <xf numFmtId="0" fontId="37" fillId="0" borderId="0" xfId="1" applyFont="1" applyAlignment="1">
      <alignment horizontal="center" vertical="center"/>
    </xf>
    <xf numFmtId="0" fontId="37" fillId="0" borderId="0" xfId="1" applyFont="1" applyAlignment="1">
      <alignment vertical="center"/>
    </xf>
    <xf numFmtId="0" fontId="37" fillId="0" borderId="25" xfId="1" applyFont="1" applyBorder="1" applyAlignment="1">
      <alignment horizontal="center" vertical="center"/>
    </xf>
    <xf numFmtId="0" fontId="44" fillId="6" borderId="4" xfId="0" applyFont="1" applyFill="1" applyBorder="1" applyAlignment="1">
      <alignment horizontal="center" vertical="center"/>
    </xf>
    <xf numFmtId="0" fontId="37" fillId="0" borderId="23" xfId="1" applyFont="1" applyBorder="1" applyAlignment="1">
      <alignment horizontal="center" vertical="center"/>
    </xf>
    <xf numFmtId="0" fontId="37" fillId="0" borderId="19" xfId="1" applyFont="1" applyBorder="1" applyAlignment="1">
      <alignment horizontal="center" vertical="center"/>
    </xf>
    <xf numFmtId="165" fontId="37" fillId="0" borderId="21" xfId="1" applyNumberFormat="1" applyFont="1" applyBorder="1" applyAlignment="1">
      <alignment horizontal="center" vertical="center"/>
    </xf>
    <xf numFmtId="0" fontId="44" fillId="6" borderId="25" xfId="0" applyFont="1" applyFill="1" applyBorder="1" applyAlignment="1">
      <alignment horizontal="center" vertical="center"/>
    </xf>
    <xf numFmtId="0" fontId="44" fillId="6" borderId="26" xfId="0" applyFont="1" applyFill="1" applyBorder="1" applyAlignment="1">
      <alignment horizontal="center" vertical="center"/>
    </xf>
    <xf numFmtId="0" fontId="37" fillId="0" borderId="18" xfId="1" applyFont="1" applyBorder="1" applyAlignment="1">
      <alignment horizontal="center" vertical="center"/>
    </xf>
    <xf numFmtId="0" fontId="37" fillId="0" borderId="13" xfId="1" applyFont="1" applyBorder="1" applyAlignment="1">
      <alignment horizontal="center" vertical="center"/>
    </xf>
    <xf numFmtId="0" fontId="37" fillId="0" borderId="27" xfId="1" applyFont="1" applyBorder="1" applyAlignment="1">
      <alignment horizontal="center" vertical="center"/>
    </xf>
    <xf numFmtId="0" fontId="37" fillId="0" borderId="9" xfId="1" applyFont="1" applyBorder="1" applyAlignment="1">
      <alignment horizontal="center" vertical="center"/>
    </xf>
    <xf numFmtId="0" fontId="37" fillId="0" borderId="24" xfId="1" applyFont="1" applyBorder="1" applyAlignment="1">
      <alignment horizontal="center" vertical="center"/>
    </xf>
    <xf numFmtId="165" fontId="37" fillId="0" borderId="9" xfId="1" applyNumberFormat="1" applyFont="1" applyBorder="1" applyAlignment="1">
      <alignment horizontal="center" vertical="center"/>
    </xf>
    <xf numFmtId="0" fontId="37" fillId="0" borderId="20" xfId="1" applyFont="1" applyBorder="1" applyAlignment="1">
      <alignment horizontal="center" vertical="center"/>
    </xf>
    <xf numFmtId="165" fontId="37" fillId="0" borderId="22" xfId="1" applyNumberFormat="1" applyFont="1" applyBorder="1" applyAlignment="1">
      <alignment horizontal="center" vertical="center"/>
    </xf>
    <xf numFmtId="165" fontId="37" fillId="0" borderId="8" xfId="1" applyNumberFormat="1" applyFont="1" applyBorder="1" applyAlignment="1">
      <alignment horizontal="center" vertical="center"/>
    </xf>
    <xf numFmtId="165" fontId="37" fillId="0" borderId="0" xfId="1" applyNumberFormat="1" applyFont="1" applyAlignment="1">
      <alignment horizontal="center" vertical="center"/>
    </xf>
    <xf numFmtId="0" fontId="35" fillId="14" borderId="10" xfId="1" applyFont="1" applyFill="1" applyBorder="1" applyAlignment="1">
      <alignment horizontal="center" vertical="center"/>
    </xf>
    <xf numFmtId="0" fontId="35" fillId="14" borderId="11" xfId="1" applyFont="1" applyFill="1" applyBorder="1" applyAlignment="1">
      <alignment horizontal="center" vertical="center" wrapText="1"/>
    </xf>
    <xf numFmtId="0" fontId="35" fillId="14" borderId="12" xfId="1" applyFont="1" applyFill="1" applyBorder="1" applyAlignment="1">
      <alignment horizontal="center" vertical="center" wrapText="1"/>
    </xf>
    <xf numFmtId="0" fontId="35" fillId="14" borderId="13" xfId="1" applyFont="1" applyFill="1" applyBorder="1" applyAlignment="1">
      <alignment horizontal="center" vertical="center" wrapText="1"/>
    </xf>
    <xf numFmtId="0" fontId="46" fillId="0" borderId="0" xfId="1" applyFont="1" applyAlignment="1">
      <alignment horizontal="center"/>
    </xf>
    <xf numFmtId="0" fontId="37" fillId="0" borderId="4" xfId="1" applyFont="1" applyBorder="1" applyAlignment="1">
      <alignment horizontal="center"/>
    </xf>
    <xf numFmtId="0" fontId="37" fillId="0" borderId="0" xfId="2" applyFont="1"/>
    <xf numFmtId="0" fontId="47" fillId="0" borderId="0" xfId="1" applyFont="1"/>
    <xf numFmtId="165" fontId="37" fillId="0" borderId="4" xfId="1" applyNumberFormat="1" applyFont="1" applyBorder="1" applyAlignment="1">
      <alignment horizontal="center"/>
    </xf>
    <xf numFmtId="0" fontId="29" fillId="0" borderId="0" xfId="3" applyFont="1" applyAlignment="1">
      <alignment horizontal="center"/>
    </xf>
    <xf numFmtId="0" fontId="48" fillId="0" borderId="4" xfId="3" applyFont="1" applyBorder="1" applyAlignment="1">
      <alignment horizontal="center" vertical="center" wrapText="1"/>
    </xf>
    <xf numFmtId="0" fontId="27" fillId="0" borderId="4" xfId="3" applyFont="1" applyBorder="1" applyAlignment="1">
      <alignment horizontal="center" vertical="center"/>
    </xf>
    <xf numFmtId="0" fontId="30" fillId="0" borderId="4" xfId="3" applyFont="1" applyBorder="1" applyAlignment="1">
      <alignment horizontal="center" vertical="center"/>
    </xf>
    <xf numFmtId="10" fontId="37" fillId="0" borderId="4" xfId="3" applyNumberFormat="1" applyFont="1" applyBorder="1" applyAlignment="1">
      <alignment horizontal="center" vertical="center"/>
    </xf>
    <xf numFmtId="0" fontId="35" fillId="9" borderId="4" xfId="1" applyFont="1" applyFill="1" applyBorder="1" applyAlignment="1">
      <alignment horizontal="center" vertical="center" wrapText="1"/>
    </xf>
    <xf numFmtId="0" fontId="35" fillId="9" borderId="4" xfId="1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/>
    </xf>
    <xf numFmtId="0" fontId="37" fillId="0" borderId="28" xfId="1" applyFont="1" applyBorder="1" applyAlignment="1">
      <alignment horizontal="center" vertical="center"/>
    </xf>
    <xf numFmtId="0" fontId="37" fillId="12" borderId="30" xfId="1" applyFont="1" applyFill="1" applyBorder="1" applyAlignment="1">
      <alignment horizontal="center" vertical="center"/>
    </xf>
    <xf numFmtId="0" fontId="37" fillId="12" borderId="31" xfId="1" applyFont="1" applyFill="1" applyBorder="1" applyAlignment="1">
      <alignment horizontal="center" vertical="center"/>
    </xf>
    <xf numFmtId="0" fontId="37" fillId="0" borderId="33" xfId="1" applyFont="1" applyBorder="1" applyAlignment="1">
      <alignment horizontal="center" vertical="center"/>
    </xf>
    <xf numFmtId="0" fontId="37" fillId="0" borderId="16" xfId="1" applyFont="1" applyBorder="1" applyAlignment="1">
      <alignment horizontal="center" vertical="center"/>
    </xf>
    <xf numFmtId="0" fontId="44" fillId="6" borderId="16" xfId="0" applyFont="1" applyFill="1" applyBorder="1" applyAlignment="1">
      <alignment horizontal="center" vertical="center"/>
    </xf>
    <xf numFmtId="0" fontId="37" fillId="0" borderId="34" xfId="1" applyFont="1" applyBorder="1" applyAlignment="1">
      <alignment horizontal="center" vertical="center"/>
    </xf>
    <xf numFmtId="0" fontId="27" fillId="12" borderId="39" xfId="1" applyFont="1" applyFill="1" applyBorder="1" applyAlignment="1">
      <alignment horizontal="center" vertical="center" wrapText="1"/>
    </xf>
    <xf numFmtId="0" fontId="35" fillId="12" borderId="40" xfId="1" applyFont="1" applyFill="1" applyBorder="1" applyAlignment="1">
      <alignment horizontal="center" vertical="center"/>
    </xf>
    <xf numFmtId="0" fontId="27" fillId="12" borderId="30" xfId="1" applyFont="1" applyFill="1" applyBorder="1" applyAlignment="1">
      <alignment horizontal="center" vertical="center" wrapText="1"/>
    </xf>
    <xf numFmtId="0" fontId="35" fillId="12" borderId="32" xfId="1" applyFont="1" applyFill="1" applyBorder="1" applyAlignment="1">
      <alignment horizontal="center" vertical="center"/>
    </xf>
    <xf numFmtId="0" fontId="37" fillId="12" borderId="41" xfId="1" applyFont="1" applyFill="1" applyBorder="1" applyAlignment="1">
      <alignment horizontal="center" vertical="center"/>
    </xf>
    <xf numFmtId="0" fontId="37" fillId="0" borderId="42" xfId="1" applyFont="1" applyBorder="1" applyAlignment="1">
      <alignment horizontal="center" vertical="center"/>
    </xf>
    <xf numFmtId="165" fontId="37" fillId="0" borderId="43" xfId="1" applyNumberFormat="1" applyFont="1" applyBorder="1" applyAlignment="1">
      <alignment horizontal="center" vertical="center"/>
    </xf>
    <xf numFmtId="0" fontId="37" fillId="0" borderId="44" xfId="1" applyFont="1" applyBorder="1" applyAlignment="1">
      <alignment horizontal="center" vertical="center"/>
    </xf>
    <xf numFmtId="165" fontId="37" fillId="0" borderId="45" xfId="1" applyNumberFormat="1" applyFont="1" applyBorder="1" applyAlignment="1">
      <alignment horizontal="center" vertical="center"/>
    </xf>
    <xf numFmtId="0" fontId="50" fillId="0" borderId="4" xfId="5" applyFont="1" applyBorder="1" applyAlignment="1">
      <alignment horizontal="center"/>
    </xf>
    <xf numFmtId="0" fontId="50" fillId="0" borderId="1" xfId="5" applyFont="1" applyBorder="1" applyAlignment="1">
      <alignment horizontal="center"/>
    </xf>
    <xf numFmtId="0" fontId="28" fillId="0" borderId="17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64" fontId="36" fillId="2" borderId="16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35" fillId="13" borderId="16" xfId="0" applyFont="1" applyFill="1" applyBorder="1" applyAlignment="1">
      <alignment horizontal="center" vertical="center"/>
    </xf>
    <xf numFmtId="0" fontId="27" fillId="0" borderId="47" xfId="0" applyFont="1" applyBorder="1" applyAlignment="1">
      <alignment horizontal="center" wrapText="1"/>
    </xf>
    <xf numFmtId="0" fontId="27" fillId="0" borderId="7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6" fillId="0" borderId="47" xfId="0" applyFont="1" applyBorder="1" applyAlignment="1">
      <alignment horizontal="center" vertical="center"/>
    </xf>
    <xf numFmtId="0" fontId="27" fillId="11" borderId="1" xfId="0" applyFont="1" applyFill="1" applyBorder="1" applyAlignment="1">
      <alignment horizontal="center"/>
    </xf>
    <xf numFmtId="0" fontId="27" fillId="11" borderId="3" xfId="0" applyFont="1" applyFill="1" applyBorder="1" applyAlignment="1">
      <alignment horizontal="center"/>
    </xf>
    <xf numFmtId="0" fontId="27" fillId="11" borderId="2" xfId="0" applyFont="1" applyFill="1" applyBorder="1" applyAlignment="1">
      <alignment horizontal="center"/>
    </xf>
    <xf numFmtId="0" fontId="27" fillId="11" borderId="1" xfId="0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/>
    </xf>
    <xf numFmtId="0" fontId="29" fillId="2" borderId="46" xfId="0" applyFont="1" applyFill="1" applyBorder="1" applyAlignment="1">
      <alignment horizontal="center"/>
    </xf>
    <xf numFmtId="0" fontId="29" fillId="2" borderId="17" xfId="0" applyFont="1" applyFill="1" applyBorder="1" applyAlignment="1">
      <alignment horizontal="center"/>
    </xf>
    <xf numFmtId="0" fontId="36" fillId="8" borderId="1" xfId="0" applyFont="1" applyFill="1" applyBorder="1" applyAlignment="1">
      <alignment horizontal="center" vertical="center"/>
    </xf>
    <xf numFmtId="0" fontId="36" fillId="8" borderId="2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right" vertical="center"/>
    </xf>
    <xf numFmtId="0" fontId="30" fillId="2" borderId="2" xfId="0" applyFont="1" applyFill="1" applyBorder="1" applyAlignment="1">
      <alignment horizontal="right" vertical="center"/>
    </xf>
    <xf numFmtId="0" fontId="30" fillId="2" borderId="4" xfId="0" applyFont="1" applyFill="1" applyBorder="1" applyAlignment="1">
      <alignment horizontal="right" vertical="center"/>
    </xf>
    <xf numFmtId="0" fontId="27" fillId="11" borderId="4" xfId="0" applyFont="1" applyFill="1" applyBorder="1" applyAlignment="1">
      <alignment horizontal="center"/>
    </xf>
    <xf numFmtId="0" fontId="35" fillId="13" borderId="46" xfId="0" applyFont="1" applyFill="1" applyBorder="1" applyAlignment="1">
      <alignment horizontal="center" vertical="center"/>
    </xf>
    <xf numFmtId="0" fontId="35" fillId="13" borderId="17" xfId="0" applyFont="1" applyFill="1" applyBorder="1" applyAlignment="1">
      <alignment horizontal="center" vertical="center"/>
    </xf>
    <xf numFmtId="0" fontId="35" fillId="13" borderId="5" xfId="0" applyFont="1" applyFill="1" applyBorder="1" applyAlignment="1">
      <alignment horizontal="center" vertical="center"/>
    </xf>
    <xf numFmtId="0" fontId="35" fillId="13" borderId="1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/>
    </xf>
    <xf numFmtId="0" fontId="35" fillId="7" borderId="1" xfId="1" applyFont="1" applyFill="1" applyBorder="1" applyAlignment="1">
      <alignment horizontal="center" vertical="center"/>
    </xf>
    <xf numFmtId="0" fontId="35" fillId="7" borderId="2" xfId="1" applyFont="1" applyFill="1" applyBorder="1" applyAlignment="1">
      <alignment horizontal="center" vertical="center"/>
    </xf>
    <xf numFmtId="0" fontId="42" fillId="0" borderId="0" xfId="1" applyFont="1" applyAlignment="1">
      <alignment horizontal="center"/>
    </xf>
    <xf numFmtId="0" fontId="43" fillId="0" borderId="0" xfId="1" applyFont="1" applyAlignment="1">
      <alignment horizontal="center"/>
    </xf>
    <xf numFmtId="0" fontId="35" fillId="10" borderId="4" xfId="1" applyFont="1" applyFill="1" applyBorder="1" applyAlignment="1">
      <alignment horizontal="center" vertical="center"/>
    </xf>
    <xf numFmtId="0" fontId="35" fillId="11" borderId="4" xfId="1" applyFont="1" applyFill="1" applyBorder="1" applyAlignment="1">
      <alignment horizontal="center" vertical="center"/>
    </xf>
    <xf numFmtId="0" fontId="27" fillId="10" borderId="4" xfId="1" applyFont="1" applyFill="1" applyBorder="1" applyAlignment="1">
      <alignment horizontal="center" vertical="center"/>
    </xf>
    <xf numFmtId="0" fontId="27" fillId="10" borderId="1" xfId="1" applyFont="1" applyFill="1" applyBorder="1" applyAlignment="1">
      <alignment horizontal="center" vertical="center"/>
    </xf>
    <xf numFmtId="0" fontId="27" fillId="10" borderId="2" xfId="1" applyFont="1" applyFill="1" applyBorder="1" applyAlignment="1">
      <alignment horizontal="center" vertical="center"/>
    </xf>
    <xf numFmtId="0" fontId="27" fillId="10" borderId="3" xfId="1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0" fontId="35" fillId="10" borderId="1" xfId="1" applyFont="1" applyFill="1" applyBorder="1" applyAlignment="1">
      <alignment horizontal="center" vertical="center"/>
    </xf>
    <xf numFmtId="0" fontId="35" fillId="10" borderId="3" xfId="1" applyFont="1" applyFill="1" applyBorder="1" applyAlignment="1">
      <alignment horizontal="center" vertical="center"/>
    </xf>
    <xf numFmtId="0" fontId="35" fillId="10" borderId="2" xfId="1" applyFont="1" applyFill="1" applyBorder="1" applyAlignment="1">
      <alignment horizontal="center" vertical="center"/>
    </xf>
    <xf numFmtId="0" fontId="35" fillId="11" borderId="1" xfId="1" applyFont="1" applyFill="1" applyBorder="1" applyAlignment="1">
      <alignment horizontal="center" vertical="center"/>
    </xf>
    <xf numFmtId="0" fontId="35" fillId="11" borderId="3" xfId="1" applyFont="1" applyFill="1" applyBorder="1" applyAlignment="1">
      <alignment horizontal="center" vertical="center"/>
    </xf>
    <xf numFmtId="0" fontId="35" fillId="11" borderId="2" xfId="1" applyFont="1" applyFill="1" applyBorder="1" applyAlignment="1">
      <alignment horizontal="center" vertical="center"/>
    </xf>
    <xf numFmtId="0" fontId="37" fillId="2" borderId="4" xfId="1" applyFont="1" applyFill="1" applyBorder="1" applyAlignment="1">
      <alignment horizontal="left" vertical="center" wrapText="1"/>
    </xf>
    <xf numFmtId="0" fontId="37" fillId="2" borderId="4" xfId="1" applyFont="1" applyFill="1" applyBorder="1" applyAlignment="1">
      <alignment horizontal="left" vertical="center"/>
    </xf>
    <xf numFmtId="0" fontId="35" fillId="2" borderId="4" xfId="1" applyFont="1" applyFill="1" applyBorder="1" applyAlignment="1">
      <alignment horizontal="left" vertical="center" wrapText="1"/>
    </xf>
    <xf numFmtId="0" fontId="35" fillId="2" borderId="4" xfId="1" applyFont="1" applyFill="1" applyBorder="1" applyAlignment="1">
      <alignment horizontal="left" vertical="center"/>
    </xf>
    <xf numFmtId="0" fontId="51" fillId="5" borderId="1" xfId="0" applyFont="1" applyFill="1" applyBorder="1" applyAlignment="1">
      <alignment horizontal="center" vertical="center"/>
    </xf>
    <xf numFmtId="0" fontId="51" fillId="5" borderId="2" xfId="0" applyFont="1" applyFill="1" applyBorder="1" applyAlignment="1">
      <alignment horizontal="center" vertical="center"/>
    </xf>
    <xf numFmtId="0" fontId="24" fillId="0" borderId="1" xfId="3" applyFont="1" applyBorder="1" applyAlignment="1">
      <alignment horizontal="center" vertical="center"/>
    </xf>
    <xf numFmtId="0" fontId="24" fillId="0" borderId="2" xfId="3" applyFont="1" applyBorder="1" applyAlignment="1">
      <alignment horizontal="center" vertical="center"/>
    </xf>
    <xf numFmtId="0" fontId="16" fillId="0" borderId="1" xfId="1" applyFont="1" applyBorder="1" applyAlignment="1">
      <alignment horizontal="center"/>
    </xf>
    <xf numFmtId="0" fontId="16" fillId="0" borderId="2" xfId="1" applyFont="1" applyBorder="1" applyAlignment="1">
      <alignment horizontal="center"/>
    </xf>
    <xf numFmtId="0" fontId="18" fillId="0" borderId="4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8" fillId="0" borderId="3" xfId="1" applyFont="1" applyBorder="1" applyAlignment="1">
      <alignment horizontal="center"/>
    </xf>
    <xf numFmtId="0" fontId="18" fillId="0" borderId="2" xfId="1" applyFont="1" applyBorder="1" applyAlignment="1">
      <alignment horizontal="center"/>
    </xf>
    <xf numFmtId="0" fontId="18" fillId="0" borderId="1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45" fillId="8" borderId="0" xfId="1" applyFont="1" applyFill="1" applyAlignment="1">
      <alignment horizontal="center"/>
    </xf>
    <xf numFmtId="0" fontId="27" fillId="12" borderId="15" xfId="1" applyFont="1" applyFill="1" applyBorder="1" applyAlignment="1">
      <alignment horizontal="center" vertical="center" wrapText="1"/>
    </xf>
    <xf numFmtId="0" fontId="27" fillId="12" borderId="18" xfId="1" applyFont="1" applyFill="1" applyBorder="1" applyAlignment="1">
      <alignment horizontal="center" vertical="center"/>
    </xf>
    <xf numFmtId="0" fontId="35" fillId="12" borderId="35" xfId="1" applyFont="1" applyFill="1" applyBorder="1" applyAlignment="1">
      <alignment horizontal="center" vertical="center"/>
    </xf>
    <xf numFmtId="0" fontId="35" fillId="12" borderId="36" xfId="1" applyFont="1" applyFill="1" applyBorder="1" applyAlignment="1">
      <alignment horizontal="center" vertical="center"/>
    </xf>
    <xf numFmtId="0" fontId="35" fillId="12" borderId="37" xfId="1" applyFont="1" applyFill="1" applyBorder="1" applyAlignment="1">
      <alignment horizontal="center" vertical="center"/>
    </xf>
    <xf numFmtId="0" fontId="35" fillId="12" borderId="38" xfId="1" applyFont="1" applyFill="1" applyBorder="1" applyAlignment="1">
      <alignment horizontal="center" vertical="center"/>
    </xf>
    <xf numFmtId="0" fontId="35" fillId="12" borderId="29" xfId="1" applyFont="1" applyFill="1" applyBorder="1" applyAlignment="1">
      <alignment horizontal="center" vertical="center" wrapText="1"/>
    </xf>
    <xf numFmtId="0" fontId="35" fillId="0" borderId="1" xfId="1" applyFont="1" applyBorder="1" applyAlignment="1">
      <alignment horizontal="center"/>
    </xf>
    <xf numFmtId="0" fontId="35" fillId="0" borderId="3" xfId="1" applyFont="1" applyBorder="1" applyAlignment="1">
      <alignment horizontal="center"/>
    </xf>
    <xf numFmtId="0" fontId="35" fillId="0" borderId="2" xfId="1" applyFont="1" applyBorder="1" applyAlignment="1">
      <alignment horizontal="center"/>
    </xf>
    <xf numFmtId="0" fontId="35" fillId="9" borderId="1" xfId="1" applyFont="1" applyFill="1" applyBorder="1" applyAlignment="1">
      <alignment horizontal="center" vertical="center" wrapText="1"/>
    </xf>
    <xf numFmtId="0" fontId="35" fillId="9" borderId="2" xfId="1" applyFont="1" applyFill="1" applyBorder="1" applyAlignment="1">
      <alignment horizontal="center" vertical="center" wrapText="1"/>
    </xf>
    <xf numFmtId="0" fontId="37" fillId="0" borderId="1" xfId="1" applyFont="1" applyBorder="1" applyAlignment="1">
      <alignment horizontal="center"/>
    </xf>
    <xf numFmtId="0" fontId="37" fillId="0" borderId="2" xfId="1" applyFont="1" applyBorder="1" applyAlignment="1">
      <alignment horizontal="center"/>
    </xf>
    <xf numFmtId="0" fontId="38" fillId="0" borderId="1" xfId="3" applyFont="1" applyBorder="1" applyAlignment="1">
      <alignment horizontal="center" vertical="center"/>
    </xf>
    <xf numFmtId="0" fontId="38" fillId="0" borderId="2" xfId="3" applyFont="1" applyBorder="1" applyAlignment="1">
      <alignment horizontal="center" vertical="center"/>
    </xf>
    <xf numFmtId="0" fontId="35" fillId="0" borderId="4" xfId="1" applyFont="1" applyBorder="1" applyAlignment="1">
      <alignment horizontal="center"/>
    </xf>
  </cellXfs>
  <cellStyles count="6">
    <cellStyle name="Hyperlink" xfId="5" builtinId="8"/>
    <cellStyle name="Normal" xfId="0" builtinId="0"/>
    <cellStyle name="Normal 2" xfId="1" xr:uid="{00000000-0005-0000-0000-000001000000}"/>
    <cellStyle name="Normal 3" xfId="2" xr:uid="{00000000-0005-0000-0000-000002000000}"/>
    <cellStyle name="Normal_M1 Subject Marks" xfId="3" xr:uid="{00000000-0005-0000-0000-000003000000}"/>
    <cellStyle name="Percent" xfId="4" builtinId="5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YEAR 10 END OF YEAR EXAMINATION 2025 </a:t>
            </a:r>
          </a:p>
        </c:rich>
      </c:tx>
      <c:layout>
        <c:manualLayout>
          <c:xMode val="edge"/>
          <c:yMode val="edge"/>
          <c:x val="0.18694239661620446"/>
          <c:y val="1.63110541414881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1459883568005507"/>
          <c:y val="0.19248855708467374"/>
          <c:w val="0.258962010380416"/>
          <c:h val="0.538694389763779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PERFORMANCES'!$A$2</c:f>
              <c:strCache>
                <c:ptCount val="1"/>
                <c:pt idx="0">
                  <c:v>Subjects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'OVERALL PERFORMANCES'!$A$3:$A$17</c:f>
              <c:strCache>
                <c:ptCount val="15"/>
                <c:pt idx="0">
                  <c:v>B.Melayu</c:v>
                </c:pt>
                <c:pt idx="1">
                  <c:v>English Language</c:v>
                </c:pt>
                <c:pt idx="2">
                  <c:v>Mathematics D</c:v>
                </c:pt>
                <c:pt idx="3">
                  <c:v>Physics</c:v>
                </c:pt>
                <c:pt idx="4">
                  <c:v>Chemistry</c:v>
                </c:pt>
                <c:pt idx="5">
                  <c:v>Biology</c:v>
                </c:pt>
                <c:pt idx="6">
                  <c:v>Combined Science</c:v>
                </c:pt>
                <c:pt idx="7">
                  <c:v>Geography</c:v>
                </c:pt>
                <c:pt idx="8">
                  <c:v>IRK</c:v>
                </c:pt>
                <c:pt idx="9">
                  <c:v>History</c:v>
                </c:pt>
                <c:pt idx="10">
                  <c:v>Commerce</c:v>
                </c:pt>
                <c:pt idx="11">
                  <c:v>Economics</c:v>
                </c:pt>
                <c:pt idx="12">
                  <c:v>Accounting</c:v>
                </c:pt>
                <c:pt idx="13">
                  <c:v>Art &amp; Design</c:v>
                </c:pt>
                <c:pt idx="14">
                  <c:v>Food &amp; Nutrition</c:v>
                </c:pt>
              </c:strCache>
            </c:strRef>
          </c:cat>
          <c:val>
            <c:numRef>
              <c:f>'OVERALL PERFORMANCES'!#REF!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6-4707-B18A-1CE294027641}"/>
            </c:ext>
          </c:extLst>
        </c:ser>
        <c:ser>
          <c:idx val="1"/>
          <c:order val="1"/>
          <c:tx>
            <c:strRef>
              <c:f>'OVERALL PERFORMANCES'!$B$2:$C$2</c:f>
              <c:strCache>
                <c:ptCount val="2"/>
                <c:pt idx="0">
                  <c:v>%
1-6</c:v>
                </c:pt>
                <c:pt idx="1">
                  <c:v>%
1-8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'OVERALL PERFORMANCES'!$A$3:$A$17</c:f>
              <c:strCache>
                <c:ptCount val="15"/>
                <c:pt idx="0">
                  <c:v>B.Melayu</c:v>
                </c:pt>
                <c:pt idx="1">
                  <c:v>English Language</c:v>
                </c:pt>
                <c:pt idx="2">
                  <c:v>Mathematics D</c:v>
                </c:pt>
                <c:pt idx="3">
                  <c:v>Physics</c:v>
                </c:pt>
                <c:pt idx="4">
                  <c:v>Chemistry</c:v>
                </c:pt>
                <c:pt idx="5">
                  <c:v>Biology</c:v>
                </c:pt>
                <c:pt idx="6">
                  <c:v>Combined Science</c:v>
                </c:pt>
                <c:pt idx="7">
                  <c:v>Geography</c:v>
                </c:pt>
                <c:pt idx="8">
                  <c:v>IRK</c:v>
                </c:pt>
                <c:pt idx="9">
                  <c:v>History</c:v>
                </c:pt>
                <c:pt idx="10">
                  <c:v>Commerce</c:v>
                </c:pt>
                <c:pt idx="11">
                  <c:v>Economics</c:v>
                </c:pt>
                <c:pt idx="12">
                  <c:v>Accounting</c:v>
                </c:pt>
                <c:pt idx="13">
                  <c:v>Art &amp; Design</c:v>
                </c:pt>
                <c:pt idx="14">
                  <c:v>Food &amp; Nutrition</c:v>
                </c:pt>
              </c:strCache>
            </c:strRef>
          </c:cat>
          <c:val>
            <c:numRef>
              <c:f>'OVERALL PERFORMANCES'!$B$3:$B$17</c:f>
              <c:numCache>
                <c:formatCode>0.0</c:formatCode>
                <c:ptCount val="15"/>
                <c:pt idx="0">
                  <c:v>61.073825503355707</c:v>
                </c:pt>
                <c:pt idx="1">
                  <c:v>59.060402684563762</c:v>
                </c:pt>
                <c:pt idx="2">
                  <c:v>29.629629629629626</c:v>
                </c:pt>
                <c:pt idx="3">
                  <c:v>42.592592592592595</c:v>
                </c:pt>
                <c:pt idx="4">
                  <c:v>62.162162162162161</c:v>
                </c:pt>
                <c:pt idx="5">
                  <c:v>68.571428571428569</c:v>
                </c:pt>
                <c:pt idx="6">
                  <c:v>2.4390243902439024</c:v>
                </c:pt>
                <c:pt idx="7">
                  <c:v>7.9365079365079358</c:v>
                </c:pt>
                <c:pt idx="8">
                  <c:v>62.162162162162161</c:v>
                </c:pt>
                <c:pt idx="9">
                  <c:v>30.434782608695656</c:v>
                </c:pt>
                <c:pt idx="10">
                  <c:v>72.727272727272734</c:v>
                </c:pt>
                <c:pt idx="11">
                  <c:v>33.333333333333329</c:v>
                </c:pt>
                <c:pt idx="12">
                  <c:v>23.404255319148938</c:v>
                </c:pt>
                <c:pt idx="13">
                  <c:v>59.45945945945946</c:v>
                </c:pt>
                <c:pt idx="14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C6-4707-B18A-1CE294027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271296"/>
        <c:axId val="65272832"/>
      </c:barChart>
      <c:catAx>
        <c:axId val="6527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272832"/>
        <c:crosses val="autoZero"/>
        <c:auto val="1"/>
        <c:lblAlgn val="ctr"/>
        <c:lblOffset val="100"/>
        <c:noMultiLvlLbl val="0"/>
      </c:catAx>
      <c:valAx>
        <c:axId val="6527283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9.1645575553055865E-3"/>
              <c:y val="0.399114717647193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BN"/>
          </a:p>
        </c:txPr>
        <c:crossAx val="652712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BN"/>
    </a:p>
  </c:txPr>
  <c:printSettings>
    <c:headerFooter alignWithMargins="0">
      <c:oddHeader>&amp;CSEKOLAH MENENGAH PENGIRAN ANAK PUTERI HAJAH MASNA
YEAR 9
END OF YEAR 2021 ANALYSIS
</c:oddHeader>
      <c:oddFooter>&amp;LExam Dept SMPAPHM&amp;CYR10EXP AND YR11 2024</c:oddFooter>
    </c:headerFooter>
    <c:pageMargins b="1" l="0.75" r="0.75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210254225230011E-2"/>
          <c:y val="2.6119402985074626E-2"/>
          <c:w val="0.82165668980820949"/>
          <c:h val="0.77611940298507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PERFORMANCES'!$B$2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'OVERALL PERFORMANCES'!$A$3:$A$21</c:f>
              <c:strCache>
                <c:ptCount val="19"/>
                <c:pt idx="0">
                  <c:v>B.Melayu</c:v>
                </c:pt>
                <c:pt idx="1">
                  <c:v>English Language</c:v>
                </c:pt>
                <c:pt idx="2">
                  <c:v>Mathematics D</c:v>
                </c:pt>
                <c:pt idx="3">
                  <c:v>Physics</c:v>
                </c:pt>
                <c:pt idx="4">
                  <c:v>Chemistry</c:v>
                </c:pt>
                <c:pt idx="5">
                  <c:v>Biology</c:v>
                </c:pt>
                <c:pt idx="6">
                  <c:v>Combined Science</c:v>
                </c:pt>
                <c:pt idx="7">
                  <c:v>Geography</c:v>
                </c:pt>
                <c:pt idx="8">
                  <c:v>IRK</c:v>
                </c:pt>
                <c:pt idx="9">
                  <c:v>History</c:v>
                </c:pt>
                <c:pt idx="10">
                  <c:v>Commerce</c:v>
                </c:pt>
                <c:pt idx="11">
                  <c:v>Economics</c:v>
                </c:pt>
                <c:pt idx="12">
                  <c:v>Accounting</c:v>
                </c:pt>
                <c:pt idx="13">
                  <c:v>Art &amp; Design</c:v>
                </c:pt>
                <c:pt idx="14">
                  <c:v>Food &amp; Nutrition</c:v>
                </c:pt>
                <c:pt idx="15">
                  <c:v>Agriculture</c:v>
                </c:pt>
                <c:pt idx="16">
                  <c:v>Sastera</c:v>
                </c:pt>
                <c:pt idx="17">
                  <c:v>Computer Science</c:v>
                </c:pt>
                <c:pt idx="18">
                  <c:v>IG ICT</c:v>
                </c:pt>
              </c:strCache>
            </c:strRef>
          </c:cat>
          <c:val>
            <c:numRef>
              <c:f>'OVERALL PERFORMANCES'!$B$3:$B$21</c:f>
              <c:numCache>
                <c:formatCode>0.0</c:formatCode>
                <c:ptCount val="19"/>
                <c:pt idx="0">
                  <c:v>61.073825503355707</c:v>
                </c:pt>
                <c:pt idx="1">
                  <c:v>59.060402684563762</c:v>
                </c:pt>
                <c:pt idx="2">
                  <c:v>29.629629629629626</c:v>
                </c:pt>
                <c:pt idx="3">
                  <c:v>42.592592592592595</c:v>
                </c:pt>
                <c:pt idx="4">
                  <c:v>62.162162162162161</c:v>
                </c:pt>
                <c:pt idx="5">
                  <c:v>68.571428571428569</c:v>
                </c:pt>
                <c:pt idx="6">
                  <c:v>2.4390243902439024</c:v>
                </c:pt>
                <c:pt idx="7">
                  <c:v>7.9365079365079358</c:v>
                </c:pt>
                <c:pt idx="8">
                  <c:v>62.162162162162161</c:v>
                </c:pt>
                <c:pt idx="9">
                  <c:v>30.434782608695656</c:v>
                </c:pt>
                <c:pt idx="10">
                  <c:v>72.727272727272734</c:v>
                </c:pt>
                <c:pt idx="11">
                  <c:v>33.333333333333329</c:v>
                </c:pt>
                <c:pt idx="12">
                  <c:v>23.404255319148938</c:v>
                </c:pt>
                <c:pt idx="13">
                  <c:v>59.45945945945946</c:v>
                </c:pt>
                <c:pt idx="14">
                  <c:v>56.25</c:v>
                </c:pt>
                <c:pt idx="15">
                  <c:v>60</c:v>
                </c:pt>
                <c:pt idx="16">
                  <c:v>56.09756097560976</c:v>
                </c:pt>
                <c:pt idx="17">
                  <c:v>65</c:v>
                </c:pt>
                <c:pt idx="1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8-404C-8B50-6A3D948B4953}"/>
            </c:ext>
          </c:extLst>
        </c:ser>
        <c:ser>
          <c:idx val="1"/>
          <c:order val="1"/>
          <c:tx>
            <c:strRef>
              <c:f>'OVERALL PERFORMANCES'!$C$2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Ref>
              <c:f>'OVERALL PERFORMANCES'!$A$3:$A$21</c:f>
              <c:strCache>
                <c:ptCount val="19"/>
                <c:pt idx="0">
                  <c:v>B.Melayu</c:v>
                </c:pt>
                <c:pt idx="1">
                  <c:v>English Language</c:v>
                </c:pt>
                <c:pt idx="2">
                  <c:v>Mathematics D</c:v>
                </c:pt>
                <c:pt idx="3">
                  <c:v>Physics</c:v>
                </c:pt>
                <c:pt idx="4">
                  <c:v>Chemistry</c:v>
                </c:pt>
                <c:pt idx="5">
                  <c:v>Biology</c:v>
                </c:pt>
                <c:pt idx="6">
                  <c:v>Combined Science</c:v>
                </c:pt>
                <c:pt idx="7">
                  <c:v>Geography</c:v>
                </c:pt>
                <c:pt idx="8">
                  <c:v>IRK</c:v>
                </c:pt>
                <c:pt idx="9">
                  <c:v>History</c:v>
                </c:pt>
                <c:pt idx="10">
                  <c:v>Commerce</c:v>
                </c:pt>
                <c:pt idx="11">
                  <c:v>Economics</c:v>
                </c:pt>
                <c:pt idx="12">
                  <c:v>Accounting</c:v>
                </c:pt>
                <c:pt idx="13">
                  <c:v>Art &amp; Design</c:v>
                </c:pt>
                <c:pt idx="14">
                  <c:v>Food &amp; Nutrition</c:v>
                </c:pt>
                <c:pt idx="15">
                  <c:v>Agriculture</c:v>
                </c:pt>
                <c:pt idx="16">
                  <c:v>Sastera</c:v>
                </c:pt>
                <c:pt idx="17">
                  <c:v>Computer Science</c:v>
                </c:pt>
                <c:pt idx="18">
                  <c:v>IG ICT</c:v>
                </c:pt>
              </c:strCache>
            </c:strRef>
          </c:cat>
          <c:val>
            <c:numRef>
              <c:f>'OVERALL PERFORMANCES'!$C$3:$C$21</c:f>
              <c:numCache>
                <c:formatCode>0.0</c:formatCode>
                <c:ptCount val="19"/>
                <c:pt idx="0">
                  <c:v>87.919463087248317</c:v>
                </c:pt>
                <c:pt idx="1">
                  <c:v>91.946308724832221</c:v>
                </c:pt>
                <c:pt idx="2">
                  <c:v>54.629629629629626</c:v>
                </c:pt>
                <c:pt idx="3">
                  <c:v>62.962962962962962</c:v>
                </c:pt>
                <c:pt idx="4">
                  <c:v>94.594594594594597</c:v>
                </c:pt>
                <c:pt idx="5">
                  <c:v>94.285714285714278</c:v>
                </c:pt>
                <c:pt idx="6">
                  <c:v>26.829268292682929</c:v>
                </c:pt>
                <c:pt idx="7">
                  <c:v>57.142857142857139</c:v>
                </c:pt>
                <c:pt idx="8">
                  <c:v>83.108108108108098</c:v>
                </c:pt>
                <c:pt idx="9">
                  <c:v>91.304347826086953</c:v>
                </c:pt>
                <c:pt idx="10">
                  <c:v>100</c:v>
                </c:pt>
                <c:pt idx="11">
                  <c:v>91.666666666666657</c:v>
                </c:pt>
                <c:pt idx="12">
                  <c:v>52.054794520547944</c:v>
                </c:pt>
                <c:pt idx="13">
                  <c:v>76.470588235294116</c:v>
                </c:pt>
                <c:pt idx="14">
                  <c:v>87.5</c:v>
                </c:pt>
                <c:pt idx="15">
                  <c:v>80</c:v>
                </c:pt>
                <c:pt idx="16">
                  <c:v>87.804878048780495</c:v>
                </c:pt>
                <c:pt idx="17">
                  <c:v>95</c:v>
                </c:pt>
                <c:pt idx="18">
                  <c:v>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8-404C-8B50-6A3D948B4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23072"/>
        <c:axId val="65124608"/>
      </c:barChart>
      <c:catAx>
        <c:axId val="6512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BN"/>
          </a:p>
        </c:txPr>
        <c:crossAx val="65124608"/>
        <c:crosses val="autoZero"/>
        <c:auto val="1"/>
        <c:lblAlgn val="ctr"/>
        <c:lblOffset val="100"/>
        <c:noMultiLvlLbl val="0"/>
      </c:catAx>
      <c:valAx>
        <c:axId val="65124608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BN"/>
          </a:p>
        </c:txPr>
        <c:crossAx val="6512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620039837430921"/>
          <c:y val="0.4429442910921777"/>
          <c:w val="8.5421338666101368E-2"/>
          <c:h val="0.20281171402652007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BN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BN"/>
    </a:p>
  </c:txPr>
  <c:printSettings>
    <c:headerFooter>
      <c:oddHeader>&amp;CSEKOLAH MENENGAH PENGIRAN ANAK PUTERI HAJAH MASNA
MID YEAR EXAMINATION, 2014, YEAR 10</c:oddHeader>
      <c:oddFooter>&amp;LExam Dept SMPAPHM&amp;CY10 2022</c:oddFooter>
    </c:headerFooter>
    <c:pageMargins b="0.75" l="0.7" r="0.7" t="0.75" header="0.3" footer="0.3"/>
    <c:pageSetup orientation="landscape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CLASS AVERAGE MARKS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YEAR 10, MID YEAR EXAMINATION 2016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'CLASS AVERAGE'!$B$2</c:f>
              <c:strCache>
                <c:ptCount val="1"/>
                <c:pt idx="0">
                  <c:v>Class Avg</c:v>
                </c:pt>
              </c:strCache>
            </c:strRef>
          </c:tx>
          <c:invertIfNegative val="0"/>
          <c:cat>
            <c:strRef>
              <c:f>'CLASS AVERAGE'!$A$3:$A$9</c:f>
              <c:strCache>
                <c:ptCount val="7"/>
                <c:pt idx="0">
                  <c:v>10Sci2 (26)</c:v>
                </c:pt>
                <c:pt idx="1">
                  <c:v>10Sci3 (25)</c:v>
                </c:pt>
                <c:pt idx="2">
                  <c:v>10A (31)</c:v>
                </c:pt>
                <c:pt idx="3">
                  <c:v>10M (30)</c:v>
                </c:pt>
                <c:pt idx="4">
                  <c:v>10B (31)</c:v>
                </c:pt>
                <c:pt idx="5">
                  <c:v>10E (32)</c:v>
                </c:pt>
                <c:pt idx="6">
                  <c:v>10R (31)</c:v>
                </c:pt>
              </c:strCache>
            </c:strRef>
          </c:cat>
          <c:val>
            <c:numRef>
              <c:f>'CLASS AVERAGE'!$B$3:$B$9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809A-445D-B30F-5A3F84CEE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gapDepth val="61"/>
        <c:shape val="cylinder"/>
        <c:axId val="66198144"/>
        <c:axId val="66220800"/>
        <c:axId val="0"/>
      </c:bar3DChart>
      <c:catAx>
        <c:axId val="6619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Class  &amp; No of students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BN"/>
          </a:p>
        </c:txPr>
        <c:crossAx val="66220800"/>
        <c:crosses val="autoZero"/>
        <c:auto val="1"/>
        <c:lblAlgn val="ctr"/>
        <c:lblOffset val="100"/>
        <c:noMultiLvlLbl val="0"/>
      </c:catAx>
      <c:valAx>
        <c:axId val="66220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Class Average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BN"/>
          </a:p>
        </c:txPr>
        <c:crossAx val="66198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BN"/>
    </a:p>
  </c:txPr>
  <c:printSettings>
    <c:headerFooter>
      <c:oddHeader>&amp;CSEKOLAH MENENGAH PENGIRAN ANAK PUTERI HAJAH MASNA
ANALYSIS YEAR 10Sci1 and YEAR 11 MID YEAR EXAMINATION 2015
</c:oddHeader>
      <c:oddFooter>&amp;LExam Dept SMPAPHM&amp;CY10Sci1 and Y11 2015</c:oddFooter>
    </c:headerFooter>
    <c:pageMargins b="0.75" l="0.7" r="0.7" t="0.75" header="0.3" footer="0.3"/>
    <c:pageSetup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Subjects Average Marks(%) Vs M4'O' Level Classes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dkDnDiag">
              <a:fgClr>
                <a:srgbClr val="993366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B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3B-4C10-BCE3-DE83494C43C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'By Class'!#REF!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73B-4C10-BCE3-DE83494C4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78560"/>
        <c:axId val="54588544"/>
      </c:barChart>
      <c:catAx>
        <c:axId val="5457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BN"/>
          </a:p>
        </c:txPr>
        <c:crossAx val="54588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88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BN"/>
          </a:p>
        </c:txPr>
        <c:crossAx val="545785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BN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 Analysis Men 4 'O' Level 
Monthly Test 2004</a:t>
            </a:r>
          </a:p>
        </c:rich>
      </c:tx>
      <c:layout>
        <c:manualLayout>
          <c:xMode val="edge"/>
          <c:yMode val="edge"/>
          <c:x val="0.25238128567262424"/>
          <c:y val="2.69886363636363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69858739240357"/>
          <c:y val="0.16761363636363635"/>
          <c:w val="0.77936628746014303"/>
          <c:h val="0.73579545454545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Class'!$C$142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Class'!$C$143:$C$160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D43F-40EC-B6AD-08A778E83FC2}"/>
            </c:ext>
          </c:extLst>
        </c:ser>
        <c:ser>
          <c:idx val="1"/>
          <c:order val="1"/>
          <c:tx>
            <c:strRef>
              <c:f>'By Class'!$D$142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Class'!$D$143:$D$160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D43F-40EC-B6AD-08A778E83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06080"/>
        <c:axId val="54611968"/>
      </c:barChart>
      <c:catAx>
        <c:axId val="5460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BN"/>
          </a:p>
        </c:txPr>
        <c:crossAx val="54611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61196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BN"/>
          </a:p>
        </c:txPr>
        <c:crossAx val="546060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09525142690497"/>
          <c:y val="0.47443181818181818"/>
          <c:w val="0.98730308711411074"/>
          <c:h val="0.5980113636363636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B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BN"/>
    </a:p>
  </c:txPr>
  <c:printSettings>
    <c:headerFooter alignWithMargins="0"/>
    <c:pageMargins b="1" l="0.75" r="0.75" t="1" header="0.5" footer="0.5"/>
    <c:pageSetup orientation="landscape" horizontalDpi="300" verticalDpi="300" copies="6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426620436418719E-2"/>
          <c:y val="4.2553173069222926E-2"/>
          <c:w val="0.84790264075388289"/>
          <c:h val="0.85460955914022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'No.of Credits Attained'!$D$7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numRef>
              <c:f>'No.of Credits Attained'!$A$8:$A$17</c:f>
              <c:numCache>
                <c:formatCode>General</c:formatCod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cat>
          <c:val>
            <c:numRef>
              <c:f>'No.of Credits Attained'!$D$8:$D$17</c:f>
              <c:numCache>
                <c:formatCode>0.0%</c:formatCode>
                <c:ptCount val="10"/>
                <c:pt idx="0">
                  <c:v>1.3245033112582781E-2</c:v>
                </c:pt>
                <c:pt idx="1">
                  <c:v>6.6225165562913907E-3</c:v>
                </c:pt>
                <c:pt idx="2">
                  <c:v>2.6490066225165563E-2</c:v>
                </c:pt>
                <c:pt idx="3">
                  <c:v>4.6357615894039736E-2</c:v>
                </c:pt>
                <c:pt idx="4">
                  <c:v>5.2980132450331126E-2</c:v>
                </c:pt>
                <c:pt idx="5">
                  <c:v>0.11920529801324503</c:v>
                </c:pt>
                <c:pt idx="6">
                  <c:v>0.24503311258278146</c:v>
                </c:pt>
                <c:pt idx="7">
                  <c:v>0.19867549668874171</c:v>
                </c:pt>
                <c:pt idx="8">
                  <c:v>0.12582781456953643</c:v>
                </c:pt>
                <c:pt idx="9">
                  <c:v>0.16556291390728478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9-4804-BD2D-58997067B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axId val="67325952"/>
        <c:axId val="67327488"/>
      </c:barChart>
      <c:catAx>
        <c:axId val="6732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BN"/>
          </a:p>
        </c:txPr>
        <c:crossAx val="67327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32748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BN"/>
          </a:p>
        </c:txPr>
        <c:crossAx val="6732595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BN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0</xdr:row>
      <xdr:rowOff>70556</xdr:rowOff>
    </xdr:from>
    <xdr:to>
      <xdr:col>14</xdr:col>
      <xdr:colOff>1425223</xdr:colOff>
      <xdr:row>20</xdr:row>
      <xdr:rowOff>0</xdr:rowOff>
    </xdr:to>
    <xdr:graphicFrame macro="">
      <xdr:nvGraphicFramePr>
        <xdr:cNvPr id="4078" name="Chart 1">
          <a:extLst>
            <a:ext uri="{FF2B5EF4-FFF2-40B4-BE49-F238E27FC236}">
              <a16:creationId xmlns:a16="http://schemas.microsoft.com/office/drawing/2014/main" id="{135F2FF9-F7C7-49AE-8A9D-E49A844DD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592667</xdr:colOff>
      <xdr:row>3</xdr:row>
      <xdr:rowOff>183444</xdr:rowOff>
    </xdr:from>
    <xdr:to>
      <xdr:col>14</xdr:col>
      <xdr:colOff>1298221</xdr:colOff>
      <xdr:row>19</xdr:row>
      <xdr:rowOff>141111</xdr:rowOff>
    </xdr:to>
    <xdr:graphicFrame macro="">
      <xdr:nvGraphicFramePr>
        <xdr:cNvPr id="4079" name="Chart 2">
          <a:extLst>
            <a:ext uri="{FF2B5EF4-FFF2-40B4-BE49-F238E27FC236}">
              <a16:creationId xmlns:a16="http://schemas.microsoft.com/office/drawing/2014/main" id="{68614FF3-F033-4D62-9124-6F06A5FEC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0</xdr:rowOff>
    </xdr:from>
    <xdr:to>
      <xdr:col>12</xdr:col>
      <xdr:colOff>619125</xdr:colOff>
      <xdr:row>31</xdr:row>
      <xdr:rowOff>142875</xdr:rowOff>
    </xdr:to>
    <xdr:graphicFrame macro="">
      <xdr:nvGraphicFramePr>
        <xdr:cNvPr id="4796" name="Chart 2">
          <a:extLst>
            <a:ext uri="{FF2B5EF4-FFF2-40B4-BE49-F238E27FC236}">
              <a16:creationId xmlns:a16="http://schemas.microsoft.com/office/drawing/2014/main" id="{B4169A2D-BF54-4AAC-A723-F334C0C6B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137</xdr:row>
      <xdr:rowOff>0</xdr:rowOff>
    </xdr:from>
    <xdr:to>
      <xdr:col>15</xdr:col>
      <xdr:colOff>485775</xdr:colOff>
      <xdr:row>137</xdr:row>
      <xdr:rowOff>0</xdr:rowOff>
    </xdr:to>
    <xdr:graphicFrame macro="">
      <xdr:nvGraphicFramePr>
        <xdr:cNvPr id="3525682" name="Chart 1">
          <a:extLst>
            <a:ext uri="{FF2B5EF4-FFF2-40B4-BE49-F238E27FC236}">
              <a16:creationId xmlns:a16="http://schemas.microsoft.com/office/drawing/2014/main" id="{05EF5BF2-1FD0-4CC6-A072-2F54A5F43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104775</xdr:colOff>
      <xdr:row>137</xdr:row>
      <xdr:rowOff>0</xdr:rowOff>
    </xdr:from>
    <xdr:to>
      <xdr:col>2</xdr:col>
      <xdr:colOff>371475</xdr:colOff>
      <xdr:row>137</xdr:row>
      <xdr:rowOff>0</xdr:rowOff>
    </xdr:to>
    <xdr:sp macro="" textlink="">
      <xdr:nvSpPr>
        <xdr:cNvPr id="3525683" name="AutoShape 2">
          <a:extLst>
            <a:ext uri="{FF2B5EF4-FFF2-40B4-BE49-F238E27FC236}">
              <a16:creationId xmlns:a16="http://schemas.microsoft.com/office/drawing/2014/main" id="{EAAB721A-7941-473F-8872-DF09FCEDD5C3}"/>
            </a:ext>
          </a:extLst>
        </xdr:cNvPr>
        <xdr:cNvSpPr>
          <a:spLocks noChangeArrowheads="1"/>
        </xdr:cNvSpPr>
      </xdr:nvSpPr>
      <xdr:spPr bwMode="auto">
        <a:xfrm>
          <a:off x="1200150" y="29470350"/>
          <a:ext cx="1162050" cy="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0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0 h 21600"/>
            <a:gd name="T14" fmla="*/ 18227 w 21600"/>
            <a:gd name="T15" fmla="*/ 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47625</xdr:colOff>
      <xdr:row>159</xdr:row>
      <xdr:rowOff>142875</xdr:rowOff>
    </xdr:from>
    <xdr:to>
      <xdr:col>28</xdr:col>
      <xdr:colOff>561975</xdr:colOff>
      <xdr:row>183</xdr:row>
      <xdr:rowOff>104775</xdr:rowOff>
    </xdr:to>
    <xdr:graphicFrame macro="">
      <xdr:nvGraphicFramePr>
        <xdr:cNvPr id="3525684" name="Chart 3">
          <a:extLst>
            <a:ext uri="{FF2B5EF4-FFF2-40B4-BE49-F238E27FC236}">
              <a16:creationId xmlns:a16="http://schemas.microsoft.com/office/drawing/2014/main" id="{4F1179AA-FF3F-42DE-8251-2E7C27F18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28575</xdr:rowOff>
    </xdr:from>
    <xdr:to>
      <xdr:col>1</xdr:col>
      <xdr:colOff>190500</xdr:colOff>
      <xdr:row>4</xdr:row>
      <xdr:rowOff>152400</xdr:rowOff>
    </xdr:to>
    <xdr:pic>
      <xdr:nvPicPr>
        <xdr:cNvPr id="2573494" name="Picture 1">
          <a:extLst>
            <a:ext uri="{FF2B5EF4-FFF2-40B4-BE49-F238E27FC236}">
              <a16:creationId xmlns:a16="http://schemas.microsoft.com/office/drawing/2014/main" id="{9CF41ECB-0577-4971-ADFE-2F1D2A7A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92392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107950</xdr:colOff>
      <xdr:row>6</xdr:row>
      <xdr:rowOff>22225</xdr:rowOff>
    </xdr:from>
    <xdr:to>
      <xdr:col>17</xdr:col>
      <xdr:colOff>298450</xdr:colOff>
      <xdr:row>21</xdr:row>
      <xdr:rowOff>146050</xdr:rowOff>
    </xdr:to>
    <xdr:graphicFrame macro="">
      <xdr:nvGraphicFramePr>
        <xdr:cNvPr id="3154058" name="Chart 2">
          <a:extLst>
            <a:ext uri="{FF2B5EF4-FFF2-40B4-BE49-F238E27FC236}">
              <a16:creationId xmlns:a16="http://schemas.microsoft.com/office/drawing/2014/main" id="{1327E618-6165-4606-91F2-0B09F412E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10/10SCI2%20EOY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10/10SCI3%20EOY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10/10P%20EOY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10/10R%20EOY%20EXAMINATION%202025%2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ASSESSMENT%202%202025/YEAR%2010%20ASSESSMENT%202/10I%20ASSESSMENT%202%202025.xlsx" TargetMode="External"/><Relationship Id="rId1" Type="http://schemas.openxmlformats.org/officeDocument/2006/relationships/externalLinkPath" Target="/personal/exam_section_smpapmasna_edu_moe_bn/Documents/EXAM%20SECTION%20SMPAPHM/MASTERMARK%20SHEETS/MMS%202025/ASSESSMENT%202%202025/YEAR%2010%20ASSESSMENT%202/10I%20ASSESSMENT%202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ASSESSMENT%202%202025/YEAR%2010%20ASSESSMENT%202/10M%20ASSESSMENT%202%202025.xlsx" TargetMode="External"/><Relationship Id="rId1" Type="http://schemas.openxmlformats.org/officeDocument/2006/relationships/externalLinkPath" Target="/personal/exam_section_smpapmasna_edu_moe_bn/Documents/EXAM%20SECTION%20SMPAPHM/MASTERMARK%20SHEETS/MMS%202025/ASSESSMENT%202%202025/YEAR%2010%20ASSESSMENT%202/10M%20ASSESSMENT%202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ASSESSMENT%202%202025/YEAR%2010%20ASSESSMENT%202/10E%20ASSESSMENT%202%202025.xlsx" TargetMode="External"/><Relationship Id="rId1" Type="http://schemas.openxmlformats.org/officeDocument/2006/relationships/externalLinkPath" Target="/personal/exam_section_smpapmasna_edu_moe_bn/Documents/EXAM%20SECTION%20SMPAPHM/MASTERMARK%20SHEETS/MMS%202025/ASSESSMENT%202%202025/YEAR%2010%20ASSESSMENT%202/10E%20ASSESSMENT%202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ASSESSMENT%202%202025/YEAR%2010%20ASSESSMENT%202/10R%20ASSESSMENT%202%202025%20.xlsx" TargetMode="External"/><Relationship Id="rId1" Type="http://schemas.openxmlformats.org/officeDocument/2006/relationships/externalLinkPath" Target="/personal/exam_section_smpapmasna_edu_moe_bn/Documents/EXAM%20SECTION%20SMPAPHM/MASTERMARK%20SHEETS/MMS%202025/ASSESSMENT%202%202025/YEAR%2010%20ASSESSMENT%202/10R%20ASSESSMENT%202%202025%20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ASSESSMENT%202%202025/YEAR%2010%20ASSESSMENT%202/10SCI2%20ASSESSMENT%202%202025.xlsx" TargetMode="External"/><Relationship Id="rId1" Type="http://schemas.openxmlformats.org/officeDocument/2006/relationships/externalLinkPath" Target="/personal/exam_section_smpapmasna_edu_moe_bn/Documents/EXAM%20SECTION%20SMPAPHM/MASTERMARK%20SHEETS/MMS%202025/ASSESSMENT%202%202025/YEAR%2010%20ASSESSMENT%202/10SCI2%20ASSESSMENT%202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ASSESSMENT%202%202025/YEAR%2010%20ASSESSMENT%202/10SCI3%20ASSESSMENT%202%202025.xlsx" TargetMode="External"/><Relationship Id="rId1" Type="http://schemas.openxmlformats.org/officeDocument/2006/relationships/externalLinkPath" Target="/personal/exam_section_smpapmasna_edu_moe_bn/Documents/EXAM%20SECTION%20SMPAPHM/MASTERMARK%20SHEETS/MMS%202025/ASSESSMENT%202%202025/YEAR%2010%20ASSESSMENT%202/10SCI3%20ASSESSMENT%202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ASSESSMENT%202%202025/YEAR%2010%20ASSESSMENT%202/10P%20ASSESSMENT%202%202025.xlsx" TargetMode="External"/><Relationship Id="rId1" Type="http://schemas.openxmlformats.org/officeDocument/2006/relationships/externalLinkPath" Target="/personal/exam_section_smpapmasna_edu_moe_bn/Documents/EXAM%20SECTION%20SMPAPHM/MASTERMARK%20SHEETS/MMS%202025/ASSESSMENT%202%202025/YEAR%2010%20ASSESSMENT%202/10P%20ASSESSMENT%202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10/10I%20EOY%20EXAMINATION%20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10/10M%20EOY%20EXAMINATION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10/10E%20EOY%20EXAMINATION%20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dumoebn-my.sharepoint.com)/personal/exam_section_smpapmasna_edu_moe_bn/Documents/EXAM%20SECTION%20SMPAPHM/MASTERMARK%20SHEETS/MMS%202025/END%20OF%20YEAR%20EXAMINATION/EOY%202025%20YEAR%2010/10M%20EOY%20EXAMINATIO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Comments"/>
      <sheetName val="Teachers Lis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7">
          <cell r="G47">
            <v>0</v>
          </cell>
          <cell r="J47">
            <v>0</v>
          </cell>
          <cell r="M47">
            <v>0</v>
          </cell>
          <cell r="P47">
            <v>3</v>
          </cell>
          <cell r="S47">
            <v>0</v>
          </cell>
          <cell r="V47">
            <v>1</v>
          </cell>
          <cell r="Y47">
            <v>0</v>
          </cell>
          <cell r="AB47">
            <v>0</v>
          </cell>
          <cell r="AE47">
            <v>0</v>
          </cell>
          <cell r="AH47">
            <v>0</v>
          </cell>
          <cell r="BV47">
            <v>2</v>
          </cell>
        </row>
        <row r="48">
          <cell r="G48">
            <v>0</v>
          </cell>
          <cell r="J48">
            <v>0</v>
          </cell>
          <cell r="M48">
            <v>1</v>
          </cell>
          <cell r="P48">
            <v>4</v>
          </cell>
          <cell r="S48">
            <v>4</v>
          </cell>
          <cell r="V48">
            <v>2</v>
          </cell>
          <cell r="Y48">
            <v>0</v>
          </cell>
          <cell r="AB48">
            <v>2</v>
          </cell>
          <cell r="AE48">
            <v>3</v>
          </cell>
          <cell r="AH48">
            <v>0</v>
          </cell>
          <cell r="BV48">
            <v>1</v>
          </cell>
        </row>
        <row r="49">
          <cell r="G49">
            <v>2</v>
          </cell>
          <cell r="J49">
            <v>0</v>
          </cell>
          <cell r="M49">
            <v>0</v>
          </cell>
          <cell r="P49">
            <v>3</v>
          </cell>
          <cell r="S49">
            <v>0</v>
          </cell>
          <cell r="V49">
            <v>3</v>
          </cell>
          <cell r="Y49">
            <v>2</v>
          </cell>
          <cell r="AB49">
            <v>3</v>
          </cell>
          <cell r="AE49">
            <v>0</v>
          </cell>
          <cell r="AH49">
            <v>1</v>
          </cell>
          <cell r="BV49">
            <v>4</v>
          </cell>
        </row>
        <row r="50">
          <cell r="G50">
            <v>2</v>
          </cell>
          <cell r="J50">
            <v>0</v>
          </cell>
          <cell r="M50">
            <v>1</v>
          </cell>
          <cell r="P50">
            <v>2</v>
          </cell>
          <cell r="S50">
            <v>2</v>
          </cell>
          <cell r="V50">
            <v>4</v>
          </cell>
          <cell r="Y50">
            <v>4</v>
          </cell>
          <cell r="AB50">
            <v>1</v>
          </cell>
          <cell r="AE50">
            <v>0</v>
          </cell>
          <cell r="AH50">
            <v>0</v>
          </cell>
          <cell r="BV50">
            <v>2</v>
          </cell>
        </row>
        <row r="51">
          <cell r="G51">
            <v>3</v>
          </cell>
          <cell r="J51">
            <v>7</v>
          </cell>
          <cell r="M51">
            <v>0</v>
          </cell>
          <cell r="P51">
            <v>2</v>
          </cell>
          <cell r="S51">
            <v>4</v>
          </cell>
          <cell r="V51">
            <v>2</v>
          </cell>
          <cell r="Y51">
            <v>1</v>
          </cell>
          <cell r="AB51">
            <v>5</v>
          </cell>
          <cell r="AE51">
            <v>1</v>
          </cell>
          <cell r="AH51">
            <v>2</v>
          </cell>
          <cell r="BV51">
            <v>3</v>
          </cell>
        </row>
        <row r="52">
          <cell r="G52">
            <v>3</v>
          </cell>
          <cell r="J52">
            <v>8</v>
          </cell>
          <cell r="M52">
            <v>0</v>
          </cell>
          <cell r="P52">
            <v>2</v>
          </cell>
          <cell r="S52">
            <v>2</v>
          </cell>
          <cell r="V52">
            <v>2</v>
          </cell>
          <cell r="Y52">
            <v>7</v>
          </cell>
          <cell r="AB52">
            <v>2</v>
          </cell>
          <cell r="AE52">
            <v>0</v>
          </cell>
          <cell r="AH52">
            <v>1</v>
          </cell>
          <cell r="BV52">
            <v>4</v>
          </cell>
        </row>
        <row r="53">
          <cell r="G53">
            <v>8</v>
          </cell>
          <cell r="J53">
            <v>6</v>
          </cell>
          <cell r="M53">
            <v>6</v>
          </cell>
          <cell r="P53">
            <v>0</v>
          </cell>
          <cell r="S53">
            <v>5</v>
          </cell>
          <cell r="V53">
            <v>2</v>
          </cell>
          <cell r="Y53">
            <v>4</v>
          </cell>
          <cell r="AB53">
            <v>4</v>
          </cell>
          <cell r="AE53">
            <v>2</v>
          </cell>
          <cell r="AH53">
            <v>5</v>
          </cell>
          <cell r="BV53">
            <v>1</v>
          </cell>
        </row>
        <row r="54">
          <cell r="G54">
            <v>3</v>
          </cell>
          <cell r="J54">
            <v>0</v>
          </cell>
          <cell r="M54">
            <v>7</v>
          </cell>
          <cell r="P54">
            <v>4</v>
          </cell>
          <cell r="S54">
            <v>1</v>
          </cell>
          <cell r="V54">
            <v>4</v>
          </cell>
          <cell r="Y54">
            <v>3</v>
          </cell>
          <cell r="AB54">
            <v>2</v>
          </cell>
          <cell r="AE54">
            <v>3</v>
          </cell>
          <cell r="AH54">
            <v>2</v>
          </cell>
          <cell r="BV54">
            <v>0</v>
          </cell>
        </row>
        <row r="55">
          <cell r="G55">
            <v>0</v>
          </cell>
          <cell r="J55">
            <v>0</v>
          </cell>
          <cell r="M55">
            <v>6</v>
          </cell>
          <cell r="P55">
            <v>1</v>
          </cell>
          <cell r="S55">
            <v>3</v>
          </cell>
          <cell r="V55">
            <v>1</v>
          </cell>
          <cell r="Y55">
            <v>0</v>
          </cell>
          <cell r="AB55">
            <v>1</v>
          </cell>
          <cell r="AE55">
            <v>0</v>
          </cell>
          <cell r="AH55">
            <v>1</v>
          </cell>
          <cell r="BV55">
            <v>4</v>
          </cell>
        </row>
        <row r="56">
          <cell r="BV5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LXVOLHJB32QVFK32WB5ZSCNLZD"/>
    <sheetNames>
      <sheetName val="Master"/>
      <sheetName val="Teacher List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7">
          <cell r="J47">
            <v>0</v>
          </cell>
          <cell r="M47">
            <v>0</v>
          </cell>
          <cell r="P47">
            <v>0</v>
          </cell>
          <cell r="S47">
            <v>7</v>
          </cell>
          <cell r="V47">
            <v>0</v>
          </cell>
          <cell r="Y47">
            <v>0</v>
          </cell>
          <cell r="AB47">
            <v>0</v>
          </cell>
          <cell r="AE47">
            <v>0</v>
          </cell>
          <cell r="AH47">
            <v>0</v>
          </cell>
          <cell r="AK47">
            <v>0</v>
          </cell>
          <cell r="BM47">
            <v>0</v>
          </cell>
        </row>
        <row r="48">
          <cell r="J48">
            <v>2</v>
          </cell>
          <cell r="M48">
            <v>3</v>
          </cell>
          <cell r="P48">
            <v>0</v>
          </cell>
          <cell r="S48">
            <v>5</v>
          </cell>
          <cell r="V48">
            <v>0</v>
          </cell>
          <cell r="Y48">
            <v>1</v>
          </cell>
          <cell r="AB48">
            <v>0</v>
          </cell>
          <cell r="AE48">
            <v>1</v>
          </cell>
          <cell r="AH48">
            <v>0</v>
          </cell>
          <cell r="AK48">
            <v>0</v>
          </cell>
          <cell r="BM48">
            <v>0</v>
          </cell>
        </row>
        <row r="49">
          <cell r="J49">
            <v>4</v>
          </cell>
          <cell r="M49">
            <v>3</v>
          </cell>
          <cell r="P49">
            <v>0</v>
          </cell>
          <cell r="S49">
            <v>1</v>
          </cell>
          <cell r="V49">
            <v>1</v>
          </cell>
          <cell r="Y49">
            <v>0</v>
          </cell>
          <cell r="AB49">
            <v>1</v>
          </cell>
          <cell r="AE49">
            <v>1</v>
          </cell>
          <cell r="AH49">
            <v>0</v>
          </cell>
          <cell r="AK49">
            <v>0</v>
          </cell>
          <cell r="BM49">
            <v>0</v>
          </cell>
        </row>
        <row r="50">
          <cell r="J50">
            <v>5</v>
          </cell>
          <cell r="M50">
            <v>3</v>
          </cell>
          <cell r="P50">
            <v>2</v>
          </cell>
          <cell r="S50">
            <v>0</v>
          </cell>
          <cell r="V50">
            <v>1</v>
          </cell>
          <cell r="Y50">
            <v>3</v>
          </cell>
          <cell r="AB50">
            <v>1</v>
          </cell>
          <cell r="AE50">
            <v>0</v>
          </cell>
          <cell r="AH50">
            <v>0</v>
          </cell>
          <cell r="AK50">
            <v>0</v>
          </cell>
          <cell r="BM50">
            <v>0</v>
          </cell>
        </row>
        <row r="51">
          <cell r="J51">
            <v>3</v>
          </cell>
          <cell r="M51">
            <v>3</v>
          </cell>
          <cell r="P51">
            <v>1</v>
          </cell>
          <cell r="S51">
            <v>1</v>
          </cell>
          <cell r="V51">
            <v>3</v>
          </cell>
          <cell r="Y51">
            <v>2</v>
          </cell>
          <cell r="AB51">
            <v>2</v>
          </cell>
          <cell r="AE51">
            <v>0</v>
          </cell>
          <cell r="AH51">
            <v>0</v>
          </cell>
          <cell r="AK51">
            <v>2</v>
          </cell>
          <cell r="BM51">
            <v>0</v>
          </cell>
        </row>
        <row r="52">
          <cell r="J52">
            <v>0</v>
          </cell>
          <cell r="M52">
            <v>2</v>
          </cell>
          <cell r="P52">
            <v>3</v>
          </cell>
          <cell r="S52">
            <v>0</v>
          </cell>
          <cell r="V52">
            <v>2</v>
          </cell>
          <cell r="Y52">
            <v>3</v>
          </cell>
          <cell r="AB52">
            <v>6</v>
          </cell>
          <cell r="AE52">
            <v>0</v>
          </cell>
          <cell r="AH52">
            <v>2</v>
          </cell>
          <cell r="AK52">
            <v>0</v>
          </cell>
          <cell r="BM52">
            <v>0</v>
          </cell>
        </row>
        <row r="53">
          <cell r="J53">
            <v>0</v>
          </cell>
          <cell r="M53">
            <v>0</v>
          </cell>
          <cell r="P53">
            <v>5</v>
          </cell>
          <cell r="S53">
            <v>0</v>
          </cell>
          <cell r="V53">
            <v>0</v>
          </cell>
          <cell r="Y53">
            <v>4</v>
          </cell>
          <cell r="AB53">
            <v>0</v>
          </cell>
          <cell r="AE53">
            <v>0</v>
          </cell>
          <cell r="AH53">
            <v>3</v>
          </cell>
          <cell r="AK53">
            <v>2</v>
          </cell>
          <cell r="BM53">
            <v>0</v>
          </cell>
        </row>
        <row r="54">
          <cell r="J54">
            <v>0</v>
          </cell>
          <cell r="M54">
            <v>0</v>
          </cell>
          <cell r="P54">
            <v>3</v>
          </cell>
          <cell r="S54">
            <v>0</v>
          </cell>
          <cell r="V54">
            <v>0</v>
          </cell>
          <cell r="Y54">
            <v>2</v>
          </cell>
          <cell r="AB54">
            <v>2</v>
          </cell>
          <cell r="AE54">
            <v>1</v>
          </cell>
          <cell r="AH54">
            <v>2</v>
          </cell>
          <cell r="AK54">
            <v>3</v>
          </cell>
          <cell r="BM54">
            <v>0</v>
          </cell>
        </row>
        <row r="55">
          <cell r="J55">
            <v>0</v>
          </cell>
          <cell r="M55">
            <v>0</v>
          </cell>
          <cell r="P55">
            <v>0</v>
          </cell>
          <cell r="S55">
            <v>0</v>
          </cell>
          <cell r="V55">
            <v>7</v>
          </cell>
          <cell r="Y55">
            <v>1</v>
          </cell>
          <cell r="AB55">
            <v>2</v>
          </cell>
          <cell r="AE55">
            <v>2</v>
          </cell>
          <cell r="AH55">
            <v>7</v>
          </cell>
          <cell r="AK55">
            <v>1</v>
          </cell>
          <cell r="BM55">
            <v>0</v>
          </cell>
        </row>
        <row r="56">
          <cell r="BM56">
            <v>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PLRLPWKQ3MRBDINTKN7U7VNDUK"/>
    <sheetNames>
      <sheetName val="Master"/>
      <sheetName val="Teacher List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6">
          <cell r="J46">
            <v>0</v>
          </cell>
          <cell r="M46">
            <v>0</v>
          </cell>
          <cell r="S46">
            <v>0</v>
          </cell>
          <cell r="V46">
            <v>0</v>
          </cell>
          <cell r="Y46">
            <v>0</v>
          </cell>
          <cell r="AB46">
            <v>0</v>
          </cell>
          <cell r="AE46">
            <v>0</v>
          </cell>
          <cell r="AH46">
            <v>0</v>
          </cell>
          <cell r="AK46">
            <v>0</v>
          </cell>
          <cell r="BI46">
            <v>0</v>
          </cell>
        </row>
        <row r="47">
          <cell r="J47">
            <v>0</v>
          </cell>
          <cell r="M47">
            <v>10</v>
          </cell>
          <cell r="S47">
            <v>3</v>
          </cell>
          <cell r="V47">
            <v>0</v>
          </cell>
          <cell r="Y47">
            <v>1</v>
          </cell>
          <cell r="AB47">
            <v>1</v>
          </cell>
          <cell r="AE47">
            <v>5</v>
          </cell>
          <cell r="AH47">
            <v>0</v>
          </cell>
          <cell r="AK47">
            <v>0</v>
          </cell>
          <cell r="BI47">
            <v>0</v>
          </cell>
        </row>
        <row r="48">
          <cell r="J48">
            <v>0</v>
          </cell>
          <cell r="M48">
            <v>3</v>
          </cell>
          <cell r="S48">
            <v>3</v>
          </cell>
          <cell r="V48">
            <v>1</v>
          </cell>
          <cell r="Y48">
            <v>0</v>
          </cell>
          <cell r="AB48">
            <v>1</v>
          </cell>
          <cell r="AE48">
            <v>2</v>
          </cell>
          <cell r="AH48">
            <v>1</v>
          </cell>
          <cell r="AK48">
            <v>0</v>
          </cell>
          <cell r="BI48">
            <v>0</v>
          </cell>
        </row>
        <row r="49">
          <cell r="J49">
            <v>0</v>
          </cell>
          <cell r="M49">
            <v>5</v>
          </cell>
          <cell r="S49">
            <v>4</v>
          </cell>
          <cell r="V49">
            <v>0</v>
          </cell>
          <cell r="Y49">
            <v>0</v>
          </cell>
          <cell r="AB49">
            <v>0</v>
          </cell>
          <cell r="AE49">
            <v>5</v>
          </cell>
          <cell r="AH49">
            <v>0</v>
          </cell>
          <cell r="AK49">
            <v>2</v>
          </cell>
          <cell r="BI49">
            <v>4</v>
          </cell>
        </row>
        <row r="50">
          <cell r="J50">
            <v>0</v>
          </cell>
          <cell r="M50">
            <v>5</v>
          </cell>
          <cell r="S50">
            <v>3</v>
          </cell>
          <cell r="V50">
            <v>1</v>
          </cell>
          <cell r="Y50">
            <v>2</v>
          </cell>
          <cell r="AB50">
            <v>0</v>
          </cell>
          <cell r="AE50">
            <v>4</v>
          </cell>
          <cell r="AH50">
            <v>1</v>
          </cell>
          <cell r="AK50">
            <v>2</v>
          </cell>
          <cell r="BI50">
            <v>3</v>
          </cell>
        </row>
        <row r="51">
          <cell r="J51">
            <v>4</v>
          </cell>
          <cell r="M51">
            <v>1</v>
          </cell>
          <cell r="S51">
            <v>2</v>
          </cell>
          <cell r="V51">
            <v>2</v>
          </cell>
          <cell r="Y51">
            <v>5</v>
          </cell>
          <cell r="AB51">
            <v>1</v>
          </cell>
          <cell r="AE51">
            <v>2</v>
          </cell>
          <cell r="AH51">
            <v>1</v>
          </cell>
          <cell r="AK51">
            <v>1</v>
          </cell>
          <cell r="BI51">
            <v>2</v>
          </cell>
        </row>
        <row r="52">
          <cell r="J52">
            <v>11</v>
          </cell>
          <cell r="M52">
            <v>0</v>
          </cell>
          <cell r="S52">
            <v>5</v>
          </cell>
          <cell r="V52">
            <v>2</v>
          </cell>
          <cell r="Y52">
            <v>0</v>
          </cell>
          <cell r="AB52">
            <v>3</v>
          </cell>
          <cell r="AE52">
            <v>6</v>
          </cell>
          <cell r="AH52">
            <v>0</v>
          </cell>
          <cell r="AK52">
            <v>1</v>
          </cell>
          <cell r="BI52">
            <v>10</v>
          </cell>
        </row>
        <row r="53">
          <cell r="J53">
            <v>6</v>
          </cell>
          <cell r="M53">
            <v>0</v>
          </cell>
          <cell r="S53">
            <v>1</v>
          </cell>
          <cell r="V53">
            <v>3</v>
          </cell>
          <cell r="Y53">
            <v>2</v>
          </cell>
          <cell r="AB53">
            <v>6</v>
          </cell>
          <cell r="AE53">
            <v>0</v>
          </cell>
          <cell r="AH53">
            <v>1</v>
          </cell>
          <cell r="AK53">
            <v>6</v>
          </cell>
          <cell r="BI53">
            <v>4</v>
          </cell>
        </row>
        <row r="54">
          <cell r="J54">
            <v>3</v>
          </cell>
          <cell r="M54">
            <v>0</v>
          </cell>
          <cell r="S54">
            <v>3</v>
          </cell>
          <cell r="V54">
            <v>10</v>
          </cell>
          <cell r="Y54">
            <v>0</v>
          </cell>
          <cell r="AB54">
            <v>2</v>
          </cell>
          <cell r="AE54">
            <v>0</v>
          </cell>
          <cell r="AH54">
            <v>1</v>
          </cell>
          <cell r="AK54">
            <v>12</v>
          </cell>
          <cell r="BI54">
            <v>1</v>
          </cell>
        </row>
        <row r="55">
          <cell r="BI5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IP2HGGFNVYYJHJTEWAW7TKDBDP"/>
    <sheetNames>
      <sheetName val="Master"/>
      <sheetName val="Teacher List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7">
          <cell r="I47">
            <v>0</v>
          </cell>
          <cell r="L47">
            <v>0</v>
          </cell>
          <cell r="O47">
            <v>0</v>
          </cell>
          <cell r="R47">
            <v>0</v>
          </cell>
          <cell r="U47">
            <v>0</v>
          </cell>
          <cell r="AA47">
            <v>0</v>
          </cell>
          <cell r="AD47">
            <v>0</v>
          </cell>
          <cell r="BR47">
            <v>0</v>
          </cell>
        </row>
        <row r="48">
          <cell r="I48">
            <v>0</v>
          </cell>
          <cell r="L48">
            <v>2</v>
          </cell>
          <cell r="O48">
            <v>0</v>
          </cell>
          <cell r="R48">
            <v>10</v>
          </cell>
          <cell r="U48">
            <v>0</v>
          </cell>
          <cell r="AA48">
            <v>0</v>
          </cell>
          <cell r="AD48">
            <v>0</v>
          </cell>
          <cell r="BR48">
            <v>0</v>
          </cell>
        </row>
        <row r="49">
          <cell r="I49">
            <v>2</v>
          </cell>
          <cell r="L49">
            <v>3</v>
          </cell>
          <cell r="O49">
            <v>0</v>
          </cell>
          <cell r="R49">
            <v>3</v>
          </cell>
          <cell r="U49">
            <v>0</v>
          </cell>
          <cell r="AA49">
            <v>0</v>
          </cell>
          <cell r="AD49">
            <v>0</v>
          </cell>
          <cell r="BR49">
            <v>0</v>
          </cell>
        </row>
        <row r="50">
          <cell r="I50">
            <v>13</v>
          </cell>
          <cell r="L50">
            <v>4</v>
          </cell>
          <cell r="O50">
            <v>0</v>
          </cell>
          <cell r="R50">
            <v>3</v>
          </cell>
          <cell r="U50">
            <v>0</v>
          </cell>
          <cell r="AA50">
            <v>0</v>
          </cell>
          <cell r="AD50">
            <v>0</v>
          </cell>
          <cell r="BR50">
            <v>1</v>
          </cell>
        </row>
        <row r="51">
          <cell r="I51">
            <v>4</v>
          </cell>
          <cell r="L51">
            <v>4</v>
          </cell>
          <cell r="O51">
            <v>0</v>
          </cell>
          <cell r="R51">
            <v>0</v>
          </cell>
          <cell r="U51">
            <v>0</v>
          </cell>
          <cell r="AA51">
            <v>0</v>
          </cell>
          <cell r="AD51">
            <v>0</v>
          </cell>
          <cell r="BR51">
            <v>1</v>
          </cell>
        </row>
        <row r="52">
          <cell r="I52">
            <v>3</v>
          </cell>
          <cell r="L52">
            <v>5</v>
          </cell>
          <cell r="O52">
            <v>0</v>
          </cell>
          <cell r="R52">
            <v>3</v>
          </cell>
          <cell r="U52">
            <v>1</v>
          </cell>
          <cell r="AA52">
            <v>1</v>
          </cell>
          <cell r="AD52">
            <v>5</v>
          </cell>
          <cell r="BR52">
            <v>7</v>
          </cell>
        </row>
        <row r="53">
          <cell r="I53">
            <v>0</v>
          </cell>
          <cell r="L53">
            <v>5</v>
          </cell>
          <cell r="O53">
            <v>2</v>
          </cell>
          <cell r="R53">
            <v>2</v>
          </cell>
          <cell r="U53">
            <v>5</v>
          </cell>
          <cell r="AA53">
            <v>9</v>
          </cell>
          <cell r="AD53">
            <v>6</v>
          </cell>
          <cell r="BR53">
            <v>12</v>
          </cell>
        </row>
        <row r="54">
          <cell r="I54">
            <v>1</v>
          </cell>
          <cell r="L54">
            <v>0</v>
          </cell>
          <cell r="O54">
            <v>2</v>
          </cell>
          <cell r="R54">
            <v>1</v>
          </cell>
          <cell r="U54">
            <v>4</v>
          </cell>
          <cell r="AA54">
            <v>7</v>
          </cell>
          <cell r="AD54">
            <v>5</v>
          </cell>
          <cell r="BR54">
            <v>3</v>
          </cell>
        </row>
        <row r="55">
          <cell r="I55">
            <v>0</v>
          </cell>
          <cell r="L55">
            <v>0</v>
          </cell>
          <cell r="O55">
            <v>19</v>
          </cell>
          <cell r="R55">
            <v>0</v>
          </cell>
          <cell r="U55">
            <v>13</v>
          </cell>
          <cell r="AA55">
            <v>6</v>
          </cell>
          <cell r="AD55">
            <v>7</v>
          </cell>
          <cell r="BR55">
            <v>0</v>
          </cell>
        </row>
        <row r="56">
          <cell r="BR5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LQQLQFOFHBQ5H3GB5RXCSAI3UA">
      <xxl21:absoluteUrl r:id="rId2"/>
    </xxl21:alternateUrls>
    <sheetNames>
      <sheetName val="Master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NWTNQ65SQBE5DJKK5HW2XR4TFC">
      <xxl21:absoluteUrl r:id="rId2"/>
    </xxl21:alternateUrls>
    <sheetNames>
      <sheetName val="Master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MKQ26HCRY7NZCLVGRDIDB6F3SM">
      <xxl21:absoluteUrl r:id="rId2"/>
    </xxl21:alternateUrls>
    <sheetNames>
      <sheetName val="Master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OCABVUC3YWK5EI2N3HX7M7YQE4">
      <xxl21:absoluteUrl r:id="rId2"/>
    </xxl21:alternateUrls>
    <sheetNames>
      <sheetName val="Master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7">
          <cell r="I47">
            <v>4</v>
          </cell>
          <cell r="L47">
            <v>2</v>
          </cell>
          <cell r="O47">
            <v>0</v>
          </cell>
          <cell r="R47">
            <v>0</v>
          </cell>
          <cell r="U47">
            <v>0</v>
          </cell>
          <cell r="X47">
            <v>0</v>
          </cell>
          <cell r="AA47">
            <v>1</v>
          </cell>
          <cell r="AD47">
            <v>0</v>
          </cell>
          <cell r="BX47">
            <v>0</v>
          </cell>
        </row>
        <row r="48">
          <cell r="I48">
            <v>19</v>
          </cell>
          <cell r="L48">
            <v>11</v>
          </cell>
          <cell r="O48">
            <v>0</v>
          </cell>
          <cell r="R48">
            <v>2</v>
          </cell>
          <cell r="U48">
            <v>0</v>
          </cell>
          <cell r="X48">
            <v>0</v>
          </cell>
          <cell r="AA48">
            <v>1</v>
          </cell>
          <cell r="AD48">
            <v>0</v>
          </cell>
          <cell r="BX48">
            <v>0</v>
          </cell>
        </row>
        <row r="49">
          <cell r="I49">
            <v>0</v>
          </cell>
          <cell r="L49">
            <v>3</v>
          </cell>
          <cell r="O49">
            <v>0</v>
          </cell>
          <cell r="R49">
            <v>3</v>
          </cell>
          <cell r="U49">
            <v>0</v>
          </cell>
          <cell r="X49">
            <v>0</v>
          </cell>
          <cell r="AA49">
            <v>3</v>
          </cell>
          <cell r="AD49">
            <v>0</v>
          </cell>
          <cell r="BX49">
            <v>0</v>
          </cell>
        </row>
        <row r="50">
          <cell r="I50">
            <v>0</v>
          </cell>
          <cell r="L50">
            <v>0</v>
          </cell>
          <cell r="O50">
            <v>0</v>
          </cell>
          <cell r="R50">
            <v>0</v>
          </cell>
          <cell r="U50">
            <v>0</v>
          </cell>
          <cell r="X50">
            <v>3</v>
          </cell>
          <cell r="AA50">
            <v>0</v>
          </cell>
          <cell r="AD50">
            <v>0</v>
          </cell>
          <cell r="BX50">
            <v>2</v>
          </cell>
        </row>
        <row r="51">
          <cell r="I51">
            <v>0</v>
          </cell>
          <cell r="L51">
            <v>3</v>
          </cell>
          <cell r="O51">
            <v>0</v>
          </cell>
          <cell r="R51">
            <v>3</v>
          </cell>
          <cell r="U51">
            <v>0</v>
          </cell>
          <cell r="X51">
            <v>10</v>
          </cell>
          <cell r="AA51">
            <v>5</v>
          </cell>
          <cell r="AD51">
            <v>0</v>
          </cell>
          <cell r="BX51">
            <v>3</v>
          </cell>
        </row>
        <row r="52">
          <cell r="I52">
            <v>1</v>
          </cell>
          <cell r="L52">
            <v>2</v>
          </cell>
          <cell r="O52">
            <v>0</v>
          </cell>
          <cell r="R52">
            <v>3</v>
          </cell>
          <cell r="U52">
            <v>1</v>
          </cell>
          <cell r="X52">
            <v>6</v>
          </cell>
          <cell r="AA52">
            <v>2</v>
          </cell>
          <cell r="AD52">
            <v>2</v>
          </cell>
          <cell r="BX52">
            <v>8</v>
          </cell>
        </row>
        <row r="53">
          <cell r="I53">
            <v>0</v>
          </cell>
          <cell r="L53">
            <v>1</v>
          </cell>
          <cell r="O53">
            <v>1</v>
          </cell>
          <cell r="R53">
            <v>5</v>
          </cell>
          <cell r="U53">
            <v>0</v>
          </cell>
          <cell r="X53">
            <v>2</v>
          </cell>
          <cell r="AA53">
            <v>4</v>
          </cell>
          <cell r="AD53">
            <v>0</v>
          </cell>
          <cell r="BX53">
            <v>9</v>
          </cell>
        </row>
        <row r="54">
          <cell r="I54">
            <v>0</v>
          </cell>
          <cell r="L54">
            <v>1</v>
          </cell>
          <cell r="O54">
            <v>0</v>
          </cell>
          <cell r="R54">
            <v>1</v>
          </cell>
          <cell r="U54">
            <v>3</v>
          </cell>
          <cell r="X54">
            <v>3</v>
          </cell>
          <cell r="AA54">
            <v>0</v>
          </cell>
          <cell r="AD54">
            <v>3</v>
          </cell>
          <cell r="BX54">
            <v>2</v>
          </cell>
        </row>
        <row r="55">
          <cell r="I55">
            <v>0</v>
          </cell>
          <cell r="L55">
            <v>1</v>
          </cell>
          <cell r="O55">
            <v>23</v>
          </cell>
          <cell r="R55">
            <v>7</v>
          </cell>
          <cell r="U55">
            <v>20</v>
          </cell>
          <cell r="X55">
            <v>0</v>
          </cell>
          <cell r="AA55">
            <v>8</v>
          </cell>
          <cell r="AD55">
            <v>19</v>
          </cell>
          <cell r="BX55">
            <v>0</v>
          </cell>
        </row>
        <row r="56">
          <cell r="BX5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OEKGK4J7DLVFHKFH4ZL5ECMOMU">
      <xxl21:absoluteUrl r:id="rId2"/>
    </xxl21:alternateUrls>
    <sheetNames>
      <sheetName val="Comments"/>
      <sheetName val="Mas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NJN7ZBJF4CT5AZQW6CKBG3NXFV">
      <xxl21:absoluteUrl r:id="rId2"/>
    </xxl21:alternateUrls>
    <sheetNames>
      <sheetName val="Master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LMU6VJ5UKDBJGKR4IMZBO2QK3O">
      <xxl21:absoluteUrl r:id="rId2"/>
    </xxl21:alternateUrls>
    <sheetNames>
      <sheetName val="Master"/>
      <sheetName val="Comments"/>
      <sheetName val="1"/>
      <sheetName val="2"/>
      <sheetName val="3"/>
      <sheetName val="4"/>
      <sheetName val="5"/>
      <sheetName val="6"/>
      <sheetName val="8"/>
      <sheetName val="7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Teachers List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7">
          <cell r="J47">
            <v>0</v>
          </cell>
          <cell r="M47">
            <v>0</v>
          </cell>
          <cell r="P47">
            <v>0</v>
          </cell>
          <cell r="S47">
            <v>0</v>
          </cell>
          <cell r="V47">
            <v>0</v>
          </cell>
          <cell r="Y47">
            <v>0</v>
          </cell>
          <cell r="AB47">
            <v>0</v>
          </cell>
          <cell r="AE47">
            <v>0</v>
          </cell>
          <cell r="AH47">
            <v>0</v>
          </cell>
          <cell r="BI47">
            <v>0</v>
          </cell>
        </row>
        <row r="48">
          <cell r="J48">
            <v>0</v>
          </cell>
          <cell r="M48">
            <v>0</v>
          </cell>
          <cell r="P48">
            <v>0</v>
          </cell>
          <cell r="S48">
            <v>3</v>
          </cell>
          <cell r="V48">
            <v>0</v>
          </cell>
          <cell r="Y48">
            <v>0</v>
          </cell>
          <cell r="AB48">
            <v>0</v>
          </cell>
          <cell r="AE48">
            <v>0</v>
          </cell>
          <cell r="AH48">
            <v>0</v>
          </cell>
          <cell r="BI48">
            <v>0</v>
          </cell>
        </row>
        <row r="49">
          <cell r="J49">
            <v>1</v>
          </cell>
          <cell r="M49">
            <v>0</v>
          </cell>
          <cell r="P49">
            <v>0</v>
          </cell>
          <cell r="S49">
            <v>4</v>
          </cell>
          <cell r="V49">
            <v>0</v>
          </cell>
          <cell r="Y49">
            <v>1</v>
          </cell>
          <cell r="AB49">
            <v>0</v>
          </cell>
          <cell r="AE49">
            <v>0</v>
          </cell>
          <cell r="AH49">
            <v>0</v>
          </cell>
          <cell r="BI49">
            <v>0</v>
          </cell>
        </row>
        <row r="50">
          <cell r="J50">
            <v>1</v>
          </cell>
          <cell r="M50">
            <v>0</v>
          </cell>
          <cell r="P50">
            <v>0</v>
          </cell>
          <cell r="S50">
            <v>1</v>
          </cell>
          <cell r="V50">
            <v>0</v>
          </cell>
          <cell r="Y50">
            <v>1</v>
          </cell>
          <cell r="AB50">
            <v>0</v>
          </cell>
          <cell r="AE50">
            <v>0</v>
          </cell>
          <cell r="AH50">
            <v>0</v>
          </cell>
          <cell r="BI50">
            <v>0</v>
          </cell>
        </row>
        <row r="51">
          <cell r="J51">
            <v>2</v>
          </cell>
          <cell r="M51">
            <v>2</v>
          </cell>
          <cell r="P51">
            <v>0</v>
          </cell>
          <cell r="S51">
            <v>4</v>
          </cell>
          <cell r="V51">
            <v>0</v>
          </cell>
          <cell r="Y51">
            <v>4</v>
          </cell>
          <cell r="AB51">
            <v>2</v>
          </cell>
          <cell r="AE51">
            <v>1</v>
          </cell>
          <cell r="AH51">
            <v>0</v>
          </cell>
          <cell r="BI51">
            <v>0</v>
          </cell>
        </row>
        <row r="52">
          <cell r="J52">
            <v>6</v>
          </cell>
          <cell r="M52">
            <v>2</v>
          </cell>
          <cell r="P52">
            <v>0</v>
          </cell>
          <cell r="S52">
            <v>2</v>
          </cell>
          <cell r="V52">
            <v>0</v>
          </cell>
          <cell r="Y52">
            <v>2</v>
          </cell>
          <cell r="AB52">
            <v>0</v>
          </cell>
          <cell r="AE52">
            <v>1</v>
          </cell>
          <cell r="AH52">
            <v>1</v>
          </cell>
          <cell r="BI52">
            <v>2</v>
          </cell>
        </row>
        <row r="53">
          <cell r="J53">
            <v>11</v>
          </cell>
          <cell r="M53">
            <v>13</v>
          </cell>
          <cell r="P53">
            <v>0</v>
          </cell>
          <cell r="S53">
            <v>5</v>
          </cell>
          <cell r="V53">
            <v>0</v>
          </cell>
          <cell r="Y53">
            <v>0</v>
          </cell>
          <cell r="AB53">
            <v>7</v>
          </cell>
          <cell r="AE53">
            <v>1</v>
          </cell>
          <cell r="AH53">
            <v>2</v>
          </cell>
          <cell r="BI53">
            <v>3</v>
          </cell>
        </row>
        <row r="54">
          <cell r="J54">
            <v>4</v>
          </cell>
          <cell r="M54">
            <v>7</v>
          </cell>
          <cell r="P54">
            <v>2</v>
          </cell>
          <cell r="S54">
            <v>4</v>
          </cell>
          <cell r="V54">
            <v>3</v>
          </cell>
          <cell r="Y54">
            <v>1</v>
          </cell>
          <cell r="AB54">
            <v>4</v>
          </cell>
          <cell r="AE54">
            <v>9</v>
          </cell>
          <cell r="AH54">
            <v>7</v>
          </cell>
          <cell r="BI54">
            <v>9</v>
          </cell>
        </row>
        <row r="55">
          <cell r="J55">
            <v>1</v>
          </cell>
          <cell r="M55">
            <v>2</v>
          </cell>
          <cell r="P55">
            <v>24</v>
          </cell>
          <cell r="S55">
            <v>3</v>
          </cell>
          <cell r="V55">
            <v>23</v>
          </cell>
          <cell r="Y55">
            <v>0</v>
          </cell>
          <cell r="AB55">
            <v>4</v>
          </cell>
          <cell r="AE55">
            <v>14</v>
          </cell>
          <cell r="AH55">
            <v>16</v>
          </cell>
          <cell r="BI55">
            <v>6</v>
          </cell>
        </row>
        <row r="56">
          <cell r="BI56">
            <v>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Teacher List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7">
          <cell r="I47">
            <v>0</v>
          </cell>
          <cell r="L47">
            <v>0</v>
          </cell>
          <cell r="O47">
            <v>0</v>
          </cell>
          <cell r="R47">
            <v>0</v>
          </cell>
          <cell r="U47">
            <v>0</v>
          </cell>
          <cell r="X47">
            <v>0</v>
          </cell>
          <cell r="AA47">
            <v>0</v>
          </cell>
          <cell r="AD47">
            <v>0</v>
          </cell>
          <cell r="AG47">
            <v>0</v>
          </cell>
          <cell r="BR47">
            <v>0</v>
          </cell>
        </row>
        <row r="48">
          <cell r="I48">
            <v>0</v>
          </cell>
          <cell r="L48">
            <v>1</v>
          </cell>
          <cell r="O48">
            <v>4</v>
          </cell>
          <cell r="R48">
            <v>0</v>
          </cell>
          <cell r="U48">
            <v>0</v>
          </cell>
          <cell r="X48">
            <v>0</v>
          </cell>
          <cell r="AA48">
            <v>3</v>
          </cell>
          <cell r="AD48">
            <v>0</v>
          </cell>
          <cell r="AG48">
            <v>0</v>
          </cell>
          <cell r="BR48">
            <v>0</v>
          </cell>
        </row>
        <row r="49">
          <cell r="I49">
            <v>0</v>
          </cell>
          <cell r="L49">
            <v>1</v>
          </cell>
          <cell r="O49">
            <v>4</v>
          </cell>
          <cell r="R49">
            <v>0</v>
          </cell>
          <cell r="U49">
            <v>0</v>
          </cell>
          <cell r="X49">
            <v>0</v>
          </cell>
          <cell r="AA49">
            <v>0</v>
          </cell>
          <cell r="AD49">
            <v>0</v>
          </cell>
          <cell r="AG49">
            <v>2</v>
          </cell>
          <cell r="BR49">
            <v>0</v>
          </cell>
        </row>
        <row r="50">
          <cell r="I50">
            <v>0</v>
          </cell>
          <cell r="L50">
            <v>1</v>
          </cell>
          <cell r="O50">
            <v>5</v>
          </cell>
          <cell r="R50">
            <v>2</v>
          </cell>
          <cell r="U50">
            <v>0</v>
          </cell>
          <cell r="X50">
            <v>0</v>
          </cell>
          <cell r="AA50">
            <v>0</v>
          </cell>
          <cell r="AD50">
            <v>0</v>
          </cell>
          <cell r="AG50">
            <v>1</v>
          </cell>
          <cell r="BR50">
            <v>0</v>
          </cell>
        </row>
        <row r="51">
          <cell r="I51">
            <v>1</v>
          </cell>
          <cell r="L51">
            <v>2</v>
          </cell>
          <cell r="O51">
            <v>4</v>
          </cell>
          <cell r="R51">
            <v>2</v>
          </cell>
          <cell r="U51">
            <v>1</v>
          </cell>
          <cell r="X51">
            <v>1</v>
          </cell>
          <cell r="AA51">
            <v>1</v>
          </cell>
          <cell r="AD51">
            <v>0</v>
          </cell>
          <cell r="AG51">
            <v>5</v>
          </cell>
          <cell r="BR51">
            <v>0</v>
          </cell>
        </row>
        <row r="52">
          <cell r="I52">
            <v>0</v>
          </cell>
          <cell r="L52">
            <v>4</v>
          </cell>
          <cell r="O52">
            <v>0</v>
          </cell>
          <cell r="R52">
            <v>1</v>
          </cell>
          <cell r="U52">
            <v>0</v>
          </cell>
          <cell r="X52">
            <v>0</v>
          </cell>
          <cell r="AA52">
            <v>4</v>
          </cell>
          <cell r="AD52">
            <v>0</v>
          </cell>
          <cell r="AG52">
            <v>2</v>
          </cell>
          <cell r="BR52">
            <v>1</v>
          </cell>
        </row>
        <row r="53">
          <cell r="I53">
            <v>7</v>
          </cell>
          <cell r="L53">
            <v>6</v>
          </cell>
          <cell r="R53">
            <v>2</v>
          </cell>
          <cell r="U53">
            <v>1</v>
          </cell>
          <cell r="X53">
            <v>3</v>
          </cell>
          <cell r="AA53">
            <v>2</v>
          </cell>
          <cell r="AD53">
            <v>1</v>
          </cell>
          <cell r="AG53">
            <v>8</v>
          </cell>
          <cell r="BR53">
            <v>5</v>
          </cell>
        </row>
        <row r="54">
          <cell r="I54">
            <v>5</v>
          </cell>
          <cell r="L54">
            <v>4</v>
          </cell>
          <cell r="R54">
            <v>2</v>
          </cell>
          <cell r="U54">
            <v>5</v>
          </cell>
          <cell r="X54">
            <v>1</v>
          </cell>
          <cell r="AA54">
            <v>0</v>
          </cell>
          <cell r="AD54">
            <v>0</v>
          </cell>
          <cell r="AG54">
            <v>0</v>
          </cell>
          <cell r="BR54">
            <v>9</v>
          </cell>
        </row>
        <row r="55">
          <cell r="I55">
            <v>8</v>
          </cell>
          <cell r="L55">
            <v>2</v>
          </cell>
          <cell r="R55">
            <v>12</v>
          </cell>
          <cell r="U55">
            <v>14</v>
          </cell>
          <cell r="X55">
            <v>2</v>
          </cell>
          <cell r="AA55">
            <v>3</v>
          </cell>
          <cell r="AD55">
            <v>0</v>
          </cell>
          <cell r="AG55">
            <v>3</v>
          </cell>
          <cell r="BR55">
            <v>5</v>
          </cell>
        </row>
        <row r="56">
          <cell r="BR56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Teachers List"/>
      <sheetName val="Comment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>
        <row r="47">
          <cell r="J47">
            <v>0</v>
          </cell>
          <cell r="M47">
            <v>0</v>
          </cell>
          <cell r="P47">
            <v>0</v>
          </cell>
          <cell r="S47">
            <v>0</v>
          </cell>
          <cell r="V47">
            <v>0</v>
          </cell>
          <cell r="Y47">
            <v>0</v>
          </cell>
          <cell r="AB47">
            <v>0</v>
          </cell>
          <cell r="AN47">
            <v>0</v>
          </cell>
          <cell r="BA47">
            <v>0</v>
          </cell>
        </row>
        <row r="48">
          <cell r="J48">
            <v>0</v>
          </cell>
          <cell r="M48">
            <v>0</v>
          </cell>
          <cell r="P48">
            <v>0</v>
          </cell>
          <cell r="S48">
            <v>0</v>
          </cell>
          <cell r="V48">
            <v>0</v>
          </cell>
          <cell r="Y48">
            <v>3</v>
          </cell>
          <cell r="AB48">
            <v>4</v>
          </cell>
          <cell r="AN48">
            <v>0</v>
          </cell>
          <cell r="BA48">
            <v>0</v>
          </cell>
        </row>
        <row r="49">
          <cell r="J49">
            <v>0</v>
          </cell>
          <cell r="M49">
            <v>0</v>
          </cell>
          <cell r="P49">
            <v>6</v>
          </cell>
          <cell r="S49">
            <v>1</v>
          </cell>
          <cell r="V49">
            <v>0</v>
          </cell>
          <cell r="Y49">
            <v>2</v>
          </cell>
          <cell r="AB49">
            <v>6</v>
          </cell>
          <cell r="AN49">
            <v>0</v>
          </cell>
          <cell r="BA49">
            <v>0</v>
          </cell>
        </row>
        <row r="50">
          <cell r="J50">
            <v>0</v>
          </cell>
          <cell r="M50">
            <v>0</v>
          </cell>
          <cell r="P50">
            <v>2</v>
          </cell>
          <cell r="S50">
            <v>0</v>
          </cell>
          <cell r="V50">
            <v>0</v>
          </cell>
          <cell r="Y50">
            <v>0</v>
          </cell>
          <cell r="AB50">
            <v>0</v>
          </cell>
          <cell r="AN50">
            <v>0</v>
          </cell>
          <cell r="BA50">
            <v>0</v>
          </cell>
        </row>
        <row r="51">
          <cell r="J51">
            <v>1</v>
          </cell>
          <cell r="M51">
            <v>1</v>
          </cell>
          <cell r="P51">
            <v>7</v>
          </cell>
          <cell r="S51">
            <v>3</v>
          </cell>
          <cell r="V51">
            <v>0</v>
          </cell>
          <cell r="Y51">
            <v>5</v>
          </cell>
          <cell r="AB51">
            <v>3</v>
          </cell>
          <cell r="AN51">
            <v>1</v>
          </cell>
          <cell r="BA51">
            <v>1</v>
          </cell>
        </row>
        <row r="52">
          <cell r="J52">
            <v>2</v>
          </cell>
          <cell r="M52">
            <v>3</v>
          </cell>
          <cell r="P52">
            <v>5</v>
          </cell>
          <cell r="S52">
            <v>5</v>
          </cell>
          <cell r="V52">
            <v>0</v>
          </cell>
          <cell r="Y52">
            <v>3</v>
          </cell>
          <cell r="AB52">
            <v>2</v>
          </cell>
          <cell r="AN52">
            <v>2</v>
          </cell>
          <cell r="BA52">
            <v>2</v>
          </cell>
        </row>
        <row r="53">
          <cell r="J53">
            <v>4</v>
          </cell>
          <cell r="M53">
            <v>5</v>
          </cell>
          <cell r="S53">
            <v>2</v>
          </cell>
          <cell r="V53">
            <v>0</v>
          </cell>
          <cell r="Y53">
            <v>5</v>
          </cell>
          <cell r="AB53">
            <v>4</v>
          </cell>
          <cell r="AN53">
            <v>6</v>
          </cell>
          <cell r="BA53">
            <v>6</v>
          </cell>
        </row>
        <row r="54">
          <cell r="J54">
            <v>7</v>
          </cell>
          <cell r="M54">
            <v>3</v>
          </cell>
          <cell r="S54">
            <v>3</v>
          </cell>
          <cell r="V54">
            <v>4</v>
          </cell>
          <cell r="Y54">
            <v>0</v>
          </cell>
          <cell r="AB54">
            <v>1</v>
          </cell>
          <cell r="AN54">
            <v>5</v>
          </cell>
          <cell r="BA54">
            <v>5</v>
          </cell>
        </row>
        <row r="55">
          <cell r="J55">
            <v>6</v>
          </cell>
          <cell r="M55">
            <v>8</v>
          </cell>
          <cell r="S55">
            <v>6</v>
          </cell>
          <cell r="V55">
            <v>16</v>
          </cell>
          <cell r="Y55">
            <v>2</v>
          </cell>
          <cell r="AB55">
            <v>0</v>
          </cell>
          <cell r="AN55">
            <v>3</v>
          </cell>
          <cell r="BA55">
            <v>3</v>
          </cell>
        </row>
        <row r="56">
          <cell r="AN56">
            <v>3</v>
          </cell>
          <cell r="BA56">
            <v>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0"/>
  <sheetViews>
    <sheetView view="pageLayout" topLeftCell="A28" zoomScale="109" zoomScaleNormal="119" zoomScalePageLayoutView="109" workbookViewId="0">
      <selection activeCell="D62" sqref="D62"/>
    </sheetView>
  </sheetViews>
  <sheetFormatPr defaultColWidth="8.85546875" defaultRowHeight="12.95"/>
  <cols>
    <col min="1" max="1" width="8.7109375" style="71" customWidth="1"/>
    <col min="2" max="2" width="15" style="71" customWidth="1"/>
    <col min="3" max="3" width="9" style="71" customWidth="1"/>
    <col min="4" max="4" width="8.140625" style="71" customWidth="1"/>
    <col min="5" max="6" width="6.85546875" style="71" customWidth="1"/>
    <col min="7" max="7" width="6.42578125" style="71" customWidth="1"/>
    <col min="8" max="12" width="6.85546875" style="71" customWidth="1"/>
    <col min="13" max="13" width="7.85546875" style="71" customWidth="1"/>
    <col min="14" max="14" width="10.7109375" style="71" customWidth="1"/>
    <col min="15" max="15" width="7.85546875" style="71" customWidth="1"/>
    <col min="16" max="16" width="11.7109375" style="72" bestFit="1" customWidth="1"/>
    <col min="17" max="16384" width="8.85546875" style="71"/>
  </cols>
  <sheetData>
    <row r="1" spans="1:16" ht="18">
      <c r="A1" s="70" t="s">
        <v>0</v>
      </c>
    </row>
    <row r="2" spans="1:16" s="77" customFormat="1">
      <c r="A2" s="71"/>
      <c r="B2" s="71"/>
      <c r="C2" s="71"/>
      <c r="D2" s="238" t="s">
        <v>1</v>
      </c>
      <c r="E2" s="240"/>
      <c r="F2" s="238" t="s">
        <v>2</v>
      </c>
      <c r="G2" s="239"/>
      <c r="H2" s="239"/>
      <c r="I2" s="240"/>
      <c r="J2" s="241" t="s">
        <v>3</v>
      </c>
      <c r="K2" s="242"/>
      <c r="L2" s="142" t="s">
        <v>4</v>
      </c>
      <c r="M2" s="71"/>
      <c r="N2" s="71"/>
      <c r="O2" s="71"/>
      <c r="P2" s="72"/>
    </row>
    <row r="3" spans="1:16" ht="27.95">
      <c r="A3" s="137" t="s">
        <v>5</v>
      </c>
      <c r="B3" s="137" t="s">
        <v>6</v>
      </c>
      <c r="C3" s="137" t="s">
        <v>7</v>
      </c>
      <c r="D3" s="137" t="s">
        <v>8</v>
      </c>
      <c r="E3" s="137" t="s">
        <v>9</v>
      </c>
      <c r="F3" s="137" t="s">
        <v>10</v>
      </c>
      <c r="G3" s="137" t="s">
        <v>11</v>
      </c>
      <c r="H3" s="137" t="s">
        <v>12</v>
      </c>
      <c r="I3" s="137" t="s">
        <v>13</v>
      </c>
      <c r="J3" s="137" t="s">
        <v>14</v>
      </c>
      <c r="K3" s="137" t="s">
        <v>15</v>
      </c>
      <c r="L3" s="137" t="s">
        <v>16</v>
      </c>
      <c r="M3" s="138" t="s">
        <v>17</v>
      </c>
      <c r="N3" s="138" t="s">
        <v>18</v>
      </c>
      <c r="O3" s="138" t="s">
        <v>19</v>
      </c>
      <c r="P3" s="139" t="s">
        <v>20</v>
      </c>
    </row>
    <row r="4" spans="1:16" ht="13.5">
      <c r="A4" s="76" t="s">
        <v>21</v>
      </c>
      <c r="B4" s="79" t="s">
        <v>22</v>
      </c>
      <c r="C4" s="79">
        <f>SUM(D4:L4)</f>
        <v>21</v>
      </c>
      <c r="D4" s="79" cm="1">
        <f t="array" ref="D4:L4">TRANSPOSE([1]Master!$G$47:$G$55)</f>
        <v>0</v>
      </c>
      <c r="E4" s="79">
        <v>0</v>
      </c>
      <c r="F4" s="79">
        <v>2</v>
      </c>
      <c r="G4" s="79">
        <v>2</v>
      </c>
      <c r="H4" s="79">
        <v>3</v>
      </c>
      <c r="I4" s="79">
        <v>3</v>
      </c>
      <c r="J4" s="79">
        <v>8</v>
      </c>
      <c r="K4" s="79">
        <v>3</v>
      </c>
      <c r="L4" s="79">
        <v>0</v>
      </c>
      <c r="M4" s="79">
        <f t="shared" ref="M4" si="0">SUM(D4:I4)</f>
        <v>10</v>
      </c>
      <c r="N4" s="80">
        <f t="shared" ref="N4" si="1">((M4/C4)*100)</f>
        <v>47.619047619047613</v>
      </c>
      <c r="O4" s="79">
        <f t="shared" ref="O4" si="2">SUM(D4:K4)</f>
        <v>21</v>
      </c>
      <c r="P4" s="80">
        <f t="shared" ref="P4" si="3">((O4/C4)*100)</f>
        <v>100</v>
      </c>
    </row>
    <row r="5" spans="1:16">
      <c r="A5" s="76" t="s">
        <v>23</v>
      </c>
      <c r="B5" s="79" t="s">
        <v>24</v>
      </c>
      <c r="C5" s="79">
        <f t="shared" ref="C5:C10" si="4">SUM(D5:L5)</f>
        <v>14</v>
      </c>
      <c r="D5" s="79" cm="1">
        <f t="array" ref="D5:L5">TRANSPOSE([2]Master!$J$47:$J$55)</f>
        <v>0</v>
      </c>
      <c r="E5" s="79">
        <v>2</v>
      </c>
      <c r="F5" s="79">
        <v>4</v>
      </c>
      <c r="G5" s="79">
        <v>5</v>
      </c>
      <c r="H5" s="79">
        <v>3</v>
      </c>
      <c r="I5" s="79">
        <v>0</v>
      </c>
      <c r="J5" s="79">
        <v>0</v>
      </c>
      <c r="K5" s="79">
        <v>0</v>
      </c>
      <c r="L5" s="79">
        <v>0</v>
      </c>
      <c r="M5" s="79">
        <f t="shared" ref="M5:M7" si="5">SUM(D5:I5)</f>
        <v>14</v>
      </c>
      <c r="N5" s="80">
        <f t="shared" ref="N5:N9" si="6">((M5/C5)*100)</f>
        <v>100</v>
      </c>
      <c r="O5" s="79">
        <f t="shared" ref="O5:O7" si="7">SUM(D5:K5)</f>
        <v>14</v>
      </c>
      <c r="P5" s="80">
        <f t="shared" ref="P5:P11" si="8">((O5/C5)*100)</f>
        <v>100</v>
      </c>
    </row>
    <row r="6" spans="1:16">
      <c r="A6" s="93" t="s">
        <v>25</v>
      </c>
      <c r="B6" s="79" t="s">
        <v>22</v>
      </c>
      <c r="C6" s="79">
        <f t="shared" si="4"/>
        <v>24</v>
      </c>
      <c r="D6" s="79" cm="1">
        <f t="array" ref="D6:L6">TRANSPOSE([3]Master!$J$46:$J$54)</f>
        <v>0</v>
      </c>
      <c r="E6" s="79">
        <v>0</v>
      </c>
      <c r="F6" s="79">
        <v>0</v>
      </c>
      <c r="G6" s="79">
        <v>0</v>
      </c>
      <c r="H6" s="79">
        <v>0</v>
      </c>
      <c r="I6" s="79">
        <v>4</v>
      </c>
      <c r="J6" s="79">
        <v>11</v>
      </c>
      <c r="K6" s="79">
        <v>6</v>
      </c>
      <c r="L6" s="79">
        <v>3</v>
      </c>
      <c r="M6" s="79">
        <f t="shared" si="5"/>
        <v>4</v>
      </c>
      <c r="N6" s="80">
        <f t="shared" si="6"/>
        <v>16.666666666666664</v>
      </c>
      <c r="O6" s="79">
        <f t="shared" si="7"/>
        <v>21</v>
      </c>
      <c r="P6" s="80">
        <f t="shared" si="8"/>
        <v>87.5</v>
      </c>
    </row>
    <row r="7" spans="1:16">
      <c r="A7" s="76" t="s">
        <v>26</v>
      </c>
      <c r="B7" s="79" t="s">
        <v>24</v>
      </c>
      <c r="C7" s="79">
        <f t="shared" si="4"/>
        <v>23</v>
      </c>
      <c r="D7" s="235" cm="1">
        <f t="array" ref="D7:L7">TRANSPOSE([4]Master!$I$47:$I$55)</f>
        <v>0</v>
      </c>
      <c r="E7" s="235">
        <v>0</v>
      </c>
      <c r="F7" s="235">
        <v>2</v>
      </c>
      <c r="G7" s="235">
        <v>13</v>
      </c>
      <c r="H7" s="235">
        <v>4</v>
      </c>
      <c r="I7" s="235">
        <v>3</v>
      </c>
      <c r="J7" s="235">
        <v>0</v>
      </c>
      <c r="K7" s="235">
        <v>1</v>
      </c>
      <c r="L7" s="235">
        <v>0</v>
      </c>
      <c r="M7" s="79">
        <f t="shared" si="5"/>
        <v>22</v>
      </c>
      <c r="N7" s="80">
        <f t="shared" si="6"/>
        <v>95.652173913043484</v>
      </c>
      <c r="O7" s="79">
        <f t="shared" si="7"/>
        <v>23</v>
      </c>
      <c r="P7" s="80">
        <f t="shared" si="8"/>
        <v>100</v>
      </c>
    </row>
    <row r="8" spans="1:16" ht="13.5">
      <c r="A8" s="76" t="s">
        <v>27</v>
      </c>
      <c r="B8" s="79" t="s">
        <v>28</v>
      </c>
      <c r="C8" s="79">
        <f t="shared" si="4"/>
        <v>26</v>
      </c>
      <c r="D8" s="237" cm="1">
        <f t="array" ref="D8:L8">TRANSPOSE([12]Master!$J$47:$J$55)</f>
        <v>0</v>
      </c>
      <c r="E8" s="237">
        <v>0</v>
      </c>
      <c r="F8" s="237">
        <v>1</v>
      </c>
      <c r="G8" s="237">
        <v>1</v>
      </c>
      <c r="H8" s="237">
        <v>2</v>
      </c>
      <c r="I8" s="237">
        <v>6</v>
      </c>
      <c r="J8" s="237">
        <v>11</v>
      </c>
      <c r="K8" s="237">
        <v>4</v>
      </c>
      <c r="L8" s="237">
        <v>1</v>
      </c>
      <c r="M8" s="208">
        <f>SUM(G9:L9)</f>
        <v>21</v>
      </c>
      <c r="N8" s="80">
        <f t="shared" si="6"/>
        <v>80.769230769230774</v>
      </c>
      <c r="O8" s="79">
        <f>SUM(F8:L8)</f>
        <v>26</v>
      </c>
      <c r="P8" s="80">
        <f t="shared" si="8"/>
        <v>100</v>
      </c>
    </row>
    <row r="9" spans="1:16" ht="13.5">
      <c r="A9" s="76" t="s">
        <v>29</v>
      </c>
      <c r="B9" s="79" t="s">
        <v>28</v>
      </c>
      <c r="C9" s="79">
        <f t="shared" si="4"/>
        <v>21</v>
      </c>
      <c r="D9" s="237" cm="1">
        <f t="array" ref="D9:L9">TRANSPOSE([13]Master!$I$47:$I$55)</f>
        <v>0</v>
      </c>
      <c r="E9" s="237">
        <v>0</v>
      </c>
      <c r="F9" s="237">
        <v>0</v>
      </c>
      <c r="G9" s="237">
        <v>0</v>
      </c>
      <c r="H9" s="237">
        <v>1</v>
      </c>
      <c r="I9" s="237">
        <v>0</v>
      </c>
      <c r="J9" s="237">
        <v>7</v>
      </c>
      <c r="K9" s="237">
        <v>5</v>
      </c>
      <c r="L9" s="237">
        <v>8</v>
      </c>
      <c r="M9" s="208">
        <f>SUM(G10:L10)</f>
        <v>20</v>
      </c>
      <c r="N9" s="80">
        <f t="shared" si="6"/>
        <v>95.238095238095227</v>
      </c>
      <c r="O9" s="79">
        <f>SUM(G10:L10)</f>
        <v>20</v>
      </c>
      <c r="P9" s="80">
        <f t="shared" si="8"/>
        <v>95.238095238095227</v>
      </c>
    </row>
    <row r="10" spans="1:16" ht="13.5">
      <c r="A10" s="76" t="s">
        <v>30</v>
      </c>
      <c r="B10" s="79" t="s">
        <v>22</v>
      </c>
      <c r="C10" s="79">
        <f t="shared" si="4"/>
        <v>20</v>
      </c>
      <c r="D10" s="237" cm="1">
        <f t="array" ref="D10:L10">TRANSPOSE([14]Master!$J$47:$J$55)</f>
        <v>0</v>
      </c>
      <c r="E10" s="237">
        <v>0</v>
      </c>
      <c r="F10" s="237">
        <v>0</v>
      </c>
      <c r="G10" s="237">
        <v>0</v>
      </c>
      <c r="H10" s="237">
        <v>1</v>
      </c>
      <c r="I10" s="237">
        <v>2</v>
      </c>
      <c r="J10" s="237">
        <v>4</v>
      </c>
      <c r="K10" s="237">
        <v>7</v>
      </c>
      <c r="L10" s="237">
        <v>6</v>
      </c>
      <c r="M10" s="208">
        <f>SUM(D10:F10)</f>
        <v>0</v>
      </c>
      <c r="N10" s="80">
        <f t="shared" ref="N10" si="9">((M10/C10)*100)</f>
        <v>0</v>
      </c>
      <c r="O10" s="79">
        <f>SUM(D10:F10)</f>
        <v>0</v>
      </c>
      <c r="P10" s="80">
        <f t="shared" ref="P10" si="10">((O10/C10)*100)</f>
        <v>0</v>
      </c>
    </row>
    <row r="11" spans="1:16">
      <c r="A11" s="73"/>
      <c r="B11" s="74" t="s">
        <v>31</v>
      </c>
      <c r="C11" s="76">
        <f t="shared" ref="C11:M11" si="11">SUM(C4:C10)</f>
        <v>149</v>
      </c>
      <c r="D11" s="236">
        <f t="shared" si="11"/>
        <v>0</v>
      </c>
      <c r="E11" s="236">
        <f t="shared" si="11"/>
        <v>2</v>
      </c>
      <c r="F11" s="236">
        <f t="shared" si="11"/>
        <v>9</v>
      </c>
      <c r="G11" s="236">
        <f>SUM(G4:G10)</f>
        <v>21</v>
      </c>
      <c r="H11" s="236">
        <f>SUM(H4:H10)</f>
        <v>14</v>
      </c>
      <c r="I11" s="236">
        <f>SUM(I4:I10)</f>
        <v>18</v>
      </c>
      <c r="J11" s="236">
        <f>SUM(J4:J10)</f>
        <v>41</v>
      </c>
      <c r="K11" s="236">
        <f>SUM(K4:K10)</f>
        <v>26</v>
      </c>
      <c r="L11" s="236">
        <f>SUM(L4:L10)</f>
        <v>18</v>
      </c>
      <c r="M11" s="76">
        <f t="shared" si="11"/>
        <v>91</v>
      </c>
      <c r="N11" s="81">
        <f>((M11/C11)*100)</f>
        <v>61.073825503355707</v>
      </c>
      <c r="O11" s="76">
        <f>SUM(O4:O10)</f>
        <v>125</v>
      </c>
      <c r="P11" s="81">
        <f t="shared" si="8"/>
        <v>83.892617449664428</v>
      </c>
    </row>
    <row r="12" spans="1:16" ht="15" customHeight="1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3"/>
      <c r="O12" s="82"/>
      <c r="P12" s="83"/>
    </row>
    <row r="13" spans="1:16" s="77" customFormat="1" ht="18">
      <c r="A13" s="70" t="s">
        <v>32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2"/>
    </row>
    <row r="14" spans="1:16" ht="12.75" customHeight="1">
      <c r="D14" s="238" t="s">
        <v>1</v>
      </c>
      <c r="E14" s="240"/>
      <c r="F14" s="238" t="s">
        <v>2</v>
      </c>
      <c r="G14" s="239"/>
      <c r="H14" s="239"/>
      <c r="I14" s="240"/>
      <c r="J14" s="241" t="s">
        <v>3</v>
      </c>
      <c r="K14" s="242"/>
      <c r="L14" s="142" t="s">
        <v>4</v>
      </c>
    </row>
    <row r="15" spans="1:16" ht="27.95">
      <c r="A15" s="137" t="s">
        <v>5</v>
      </c>
      <c r="B15" s="137" t="s">
        <v>6</v>
      </c>
      <c r="C15" s="137" t="s">
        <v>7</v>
      </c>
      <c r="D15" s="137" t="s">
        <v>8</v>
      </c>
      <c r="E15" s="137" t="s">
        <v>9</v>
      </c>
      <c r="F15" s="137" t="s">
        <v>10</v>
      </c>
      <c r="G15" s="137" t="s">
        <v>11</v>
      </c>
      <c r="H15" s="137" t="s">
        <v>12</v>
      </c>
      <c r="I15" s="137" t="s">
        <v>13</v>
      </c>
      <c r="J15" s="137" t="s">
        <v>14</v>
      </c>
      <c r="K15" s="137" t="s">
        <v>15</v>
      </c>
      <c r="L15" s="137" t="s">
        <v>16</v>
      </c>
      <c r="M15" s="138" t="s">
        <v>17</v>
      </c>
      <c r="N15" s="138" t="s">
        <v>18</v>
      </c>
      <c r="O15" s="138" t="s">
        <v>19</v>
      </c>
      <c r="P15" s="139" t="s">
        <v>20</v>
      </c>
    </row>
    <row r="16" spans="1:16" ht="12.75" customHeight="1">
      <c r="A16" s="76" t="s">
        <v>29</v>
      </c>
      <c r="B16" s="79" t="s">
        <v>33</v>
      </c>
      <c r="C16" s="79">
        <f>SUM(D16:L16)</f>
        <v>21</v>
      </c>
      <c r="D16" s="79" cm="1">
        <f t="array" ref="D16:L16">TRANSPOSE([13]Master!$AG$47:$AG$55)</f>
        <v>0</v>
      </c>
      <c r="E16" s="79">
        <v>0</v>
      </c>
      <c r="F16" s="79">
        <v>2</v>
      </c>
      <c r="G16" s="79">
        <v>1</v>
      </c>
      <c r="H16" s="79">
        <v>5</v>
      </c>
      <c r="I16" s="79">
        <v>2</v>
      </c>
      <c r="J16" s="79">
        <v>8</v>
      </c>
      <c r="K16" s="79">
        <v>0</v>
      </c>
      <c r="L16" s="79">
        <v>3</v>
      </c>
      <c r="M16" s="79">
        <f>SUM(D16:I16)</f>
        <v>10</v>
      </c>
      <c r="N16" s="80">
        <f>((M16/C16)*100)</f>
        <v>47.619047619047613</v>
      </c>
      <c r="O16" s="79">
        <f>SUM(D16:K16)</f>
        <v>18</v>
      </c>
      <c r="P16" s="80">
        <f t="shared" ref="P16:P17" si="12">((O16/C16)*100)</f>
        <v>85.714285714285708</v>
      </c>
    </row>
    <row r="17" spans="1:16" ht="12.75" customHeight="1">
      <c r="A17" s="73" t="s">
        <v>30</v>
      </c>
      <c r="B17" s="79" t="s">
        <v>33</v>
      </c>
      <c r="C17" s="79">
        <f>SUM(D17:L17)</f>
        <v>20</v>
      </c>
      <c r="D17" s="79" cm="1">
        <f t="array" ref="D17:L17">TRANSPOSE([14]Master!$Y$47:$Y$55)</f>
        <v>0</v>
      </c>
      <c r="E17" s="79">
        <v>3</v>
      </c>
      <c r="F17" s="79">
        <v>2</v>
      </c>
      <c r="G17" s="79">
        <v>0</v>
      </c>
      <c r="H17" s="79">
        <v>5</v>
      </c>
      <c r="I17" s="79">
        <v>3</v>
      </c>
      <c r="J17" s="79">
        <v>5</v>
      </c>
      <c r="K17" s="79">
        <v>0</v>
      </c>
      <c r="L17" s="79">
        <v>2</v>
      </c>
      <c r="M17" s="79">
        <f>SUM(D17:I17)</f>
        <v>13</v>
      </c>
      <c r="N17" s="80">
        <f>((M17/C17)*100)</f>
        <v>65</v>
      </c>
      <c r="O17" s="79">
        <f>SUM(D17:K17)</f>
        <v>18</v>
      </c>
      <c r="P17" s="80">
        <f t="shared" si="12"/>
        <v>90</v>
      </c>
    </row>
    <row r="18" spans="1:16" ht="13.5" customHeight="1">
      <c r="A18" s="73"/>
      <c r="B18" s="74" t="s">
        <v>31</v>
      </c>
      <c r="C18" s="76">
        <f>SUM(C16:C17)</f>
        <v>41</v>
      </c>
      <c r="D18" s="76">
        <f t="shared" ref="D18:O18" si="13">SUM(D16:D17)</f>
        <v>0</v>
      </c>
      <c r="E18" s="76">
        <f t="shared" si="13"/>
        <v>3</v>
      </c>
      <c r="F18" s="76">
        <f t="shared" si="13"/>
        <v>4</v>
      </c>
      <c r="G18" s="76">
        <f t="shared" si="13"/>
        <v>1</v>
      </c>
      <c r="H18" s="76">
        <f t="shared" si="13"/>
        <v>10</v>
      </c>
      <c r="I18" s="76">
        <f t="shared" si="13"/>
        <v>5</v>
      </c>
      <c r="J18" s="76">
        <f t="shared" si="13"/>
        <v>13</v>
      </c>
      <c r="K18" s="76">
        <f t="shared" si="13"/>
        <v>0</v>
      </c>
      <c r="L18" s="76">
        <f t="shared" si="13"/>
        <v>5</v>
      </c>
      <c r="M18" s="76">
        <f t="shared" si="13"/>
        <v>23</v>
      </c>
      <c r="N18" s="81">
        <f>((M18/C18)*100)</f>
        <v>56.09756097560976</v>
      </c>
      <c r="O18" s="76">
        <f t="shared" si="13"/>
        <v>36</v>
      </c>
      <c r="P18" s="81">
        <f t="shared" ref="P18" si="14">((O18/C18)*100)</f>
        <v>87.804878048780495</v>
      </c>
    </row>
    <row r="19" spans="1:16" ht="15.75" customHeight="1"/>
    <row r="20" spans="1:16" s="77" customFormat="1" ht="18">
      <c r="A20" s="70" t="s">
        <v>34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2"/>
    </row>
    <row r="21" spans="1:16">
      <c r="D21" s="238" t="s">
        <v>1</v>
      </c>
      <c r="E21" s="240"/>
      <c r="F21" s="238" t="s">
        <v>2</v>
      </c>
      <c r="G21" s="239"/>
      <c r="H21" s="239"/>
      <c r="I21" s="240"/>
      <c r="J21" s="241" t="s">
        <v>3</v>
      </c>
      <c r="K21" s="242"/>
      <c r="L21" s="142" t="s">
        <v>4</v>
      </c>
    </row>
    <row r="22" spans="1:16" ht="27.95">
      <c r="A22" s="137" t="s">
        <v>5</v>
      </c>
      <c r="B22" s="137" t="s">
        <v>6</v>
      </c>
      <c r="C22" s="137" t="s">
        <v>7</v>
      </c>
      <c r="D22" s="137" t="s">
        <v>8</v>
      </c>
      <c r="E22" s="137" t="s">
        <v>9</v>
      </c>
      <c r="F22" s="137" t="s">
        <v>10</v>
      </c>
      <c r="G22" s="137" t="s">
        <v>11</v>
      </c>
      <c r="H22" s="137" t="s">
        <v>12</v>
      </c>
      <c r="I22" s="137" t="s">
        <v>13</v>
      </c>
      <c r="J22" s="137" t="s">
        <v>14</v>
      </c>
      <c r="K22" s="137" t="s">
        <v>15</v>
      </c>
      <c r="L22" s="137" t="s">
        <v>16</v>
      </c>
      <c r="M22" s="140" t="s">
        <v>17</v>
      </c>
      <c r="N22" s="140" t="s">
        <v>18</v>
      </c>
      <c r="O22" s="140" t="s">
        <v>19</v>
      </c>
      <c r="P22" s="141" t="s">
        <v>20</v>
      </c>
    </row>
    <row r="23" spans="1:16">
      <c r="A23" s="76" t="s">
        <v>21</v>
      </c>
      <c r="B23" s="79" t="s">
        <v>35</v>
      </c>
      <c r="C23" s="208">
        <f>SUM(D23:L23)</f>
        <v>21</v>
      </c>
      <c r="D23" s="208" cm="1">
        <f t="array" ref="D23:L23">TRANSPOSE([1]Master!$J$47:$J$55)</f>
        <v>0</v>
      </c>
      <c r="E23" s="208">
        <v>0</v>
      </c>
      <c r="F23" s="208">
        <v>0</v>
      </c>
      <c r="G23" s="208">
        <v>0</v>
      </c>
      <c r="H23" s="208">
        <v>7</v>
      </c>
      <c r="I23" s="208">
        <v>8</v>
      </c>
      <c r="J23" s="208">
        <v>6</v>
      </c>
      <c r="K23" s="208">
        <v>0</v>
      </c>
      <c r="L23" s="208">
        <v>0</v>
      </c>
      <c r="M23" s="79">
        <f t="shared" ref="M23" si="15">SUM(D23:I23)</f>
        <v>15</v>
      </c>
      <c r="N23" s="80">
        <f t="shared" ref="N23" si="16">((M23/C23)*100)</f>
        <v>71.428571428571431</v>
      </c>
      <c r="O23" s="79">
        <f t="shared" ref="O23" si="17">SUM(D23:K23)</f>
        <v>21</v>
      </c>
      <c r="P23" s="80">
        <f t="shared" ref="P23" si="18">((O23/C23)*100)</f>
        <v>100</v>
      </c>
    </row>
    <row r="24" spans="1:16">
      <c r="A24" s="76" t="s">
        <v>23</v>
      </c>
      <c r="B24" s="88" t="s">
        <v>36</v>
      </c>
      <c r="C24" s="208">
        <f t="shared" ref="C24:C29" si="19">SUM(D24:L24)</f>
        <v>14</v>
      </c>
      <c r="D24" s="90" cm="1">
        <f t="array" ref="D24:L24">TRANSPOSE([2]Master!$M$47:$M$55)</f>
        <v>0</v>
      </c>
      <c r="E24" s="90">
        <v>3</v>
      </c>
      <c r="F24" s="90">
        <v>3</v>
      </c>
      <c r="G24" s="90">
        <v>3</v>
      </c>
      <c r="H24" s="90">
        <v>3</v>
      </c>
      <c r="I24" s="90">
        <v>2</v>
      </c>
      <c r="J24" s="90">
        <v>0</v>
      </c>
      <c r="K24" s="90">
        <v>0</v>
      </c>
      <c r="L24" s="90">
        <v>0</v>
      </c>
      <c r="M24" s="79">
        <f t="shared" ref="M24:M28" si="20">SUM(D24:I24)</f>
        <v>14</v>
      </c>
      <c r="N24" s="80">
        <f t="shared" ref="N24:N29" si="21">((M24/C24)*100)</f>
        <v>100</v>
      </c>
      <c r="O24" s="79">
        <f t="shared" ref="O24:O29" si="22">SUM(D24:K24)</f>
        <v>14</v>
      </c>
      <c r="P24" s="80">
        <f t="shared" ref="P24:P30" si="23">((O24/C24)*100)</f>
        <v>100</v>
      </c>
    </row>
    <row r="25" spans="1:16" ht="14.1">
      <c r="A25" s="76" t="s">
        <v>25</v>
      </c>
      <c r="B25" s="91" t="s">
        <v>37</v>
      </c>
      <c r="C25" s="208">
        <f t="shared" si="19"/>
        <v>24</v>
      </c>
      <c r="D25" s="90" cm="1">
        <f t="array" ref="D25:L25">TRANSPOSE([3]Master!$M$46:$M$54)</f>
        <v>0</v>
      </c>
      <c r="E25" s="90">
        <v>10</v>
      </c>
      <c r="F25" s="90">
        <v>3</v>
      </c>
      <c r="G25" s="90">
        <v>5</v>
      </c>
      <c r="H25" s="90">
        <v>5</v>
      </c>
      <c r="I25" s="90">
        <v>1</v>
      </c>
      <c r="J25" s="90">
        <v>0</v>
      </c>
      <c r="K25" s="90">
        <v>0</v>
      </c>
      <c r="L25" s="90">
        <v>0</v>
      </c>
      <c r="M25" s="79">
        <f t="shared" si="20"/>
        <v>24</v>
      </c>
      <c r="N25" s="80">
        <f t="shared" si="21"/>
        <v>100</v>
      </c>
      <c r="O25" s="79">
        <f t="shared" si="22"/>
        <v>24</v>
      </c>
      <c r="P25" s="80">
        <f t="shared" si="23"/>
        <v>100</v>
      </c>
    </row>
    <row r="26" spans="1:16">
      <c r="A26" s="76" t="s">
        <v>26</v>
      </c>
      <c r="B26" s="88" t="s">
        <v>36</v>
      </c>
      <c r="C26" s="208">
        <f t="shared" si="19"/>
        <v>23</v>
      </c>
      <c r="D26" s="90" cm="1">
        <f t="array" ref="D26:L26">TRANSPOSE([4]Master!$L$47:$L$55)</f>
        <v>0</v>
      </c>
      <c r="E26" s="90">
        <v>2</v>
      </c>
      <c r="F26" s="90">
        <v>3</v>
      </c>
      <c r="G26" s="90">
        <v>4</v>
      </c>
      <c r="H26" s="90">
        <v>4</v>
      </c>
      <c r="I26" s="90">
        <v>5</v>
      </c>
      <c r="J26" s="90">
        <v>5</v>
      </c>
      <c r="K26" s="90">
        <v>0</v>
      </c>
      <c r="L26" s="90">
        <v>0</v>
      </c>
      <c r="M26" s="79">
        <f t="shared" si="20"/>
        <v>18</v>
      </c>
      <c r="N26" s="80">
        <f t="shared" si="21"/>
        <v>78.260869565217391</v>
      </c>
      <c r="O26" s="79">
        <f t="shared" si="22"/>
        <v>23</v>
      </c>
      <c r="P26" s="80">
        <f t="shared" si="23"/>
        <v>100</v>
      </c>
    </row>
    <row r="27" spans="1:16">
      <c r="A27" s="76" t="s">
        <v>27</v>
      </c>
      <c r="B27" s="79" t="s">
        <v>38</v>
      </c>
      <c r="C27" s="208">
        <f t="shared" si="19"/>
        <v>26</v>
      </c>
      <c r="D27" s="90" cm="1">
        <f t="array" ref="D27:L27">TRANSPOSE([12]Master!$M$47:$M$55)</f>
        <v>0</v>
      </c>
      <c r="E27" s="90">
        <v>0</v>
      </c>
      <c r="F27" s="90">
        <v>0</v>
      </c>
      <c r="G27" s="90">
        <v>0</v>
      </c>
      <c r="H27" s="90">
        <v>2</v>
      </c>
      <c r="I27" s="90">
        <v>2</v>
      </c>
      <c r="J27" s="90">
        <v>13</v>
      </c>
      <c r="K27" s="90">
        <v>7</v>
      </c>
      <c r="L27" s="90">
        <v>2</v>
      </c>
      <c r="M27" s="79">
        <f t="shared" si="20"/>
        <v>4</v>
      </c>
      <c r="N27" s="80">
        <f t="shared" si="21"/>
        <v>15.384615384615385</v>
      </c>
      <c r="O27" s="79">
        <f t="shared" si="22"/>
        <v>24</v>
      </c>
      <c r="P27" s="80">
        <f t="shared" si="23"/>
        <v>92.307692307692307</v>
      </c>
    </row>
    <row r="28" spans="1:16">
      <c r="A28" s="76" t="s">
        <v>29</v>
      </c>
      <c r="B28" s="89" t="s">
        <v>39</v>
      </c>
      <c r="C28" s="208">
        <f t="shared" si="19"/>
        <v>21</v>
      </c>
      <c r="D28" s="90" cm="1">
        <f t="array" ref="D28:L28">TRANSPOSE([13]Master!$L$47:$L$55)</f>
        <v>0</v>
      </c>
      <c r="E28" s="90">
        <v>1</v>
      </c>
      <c r="F28" s="90">
        <v>1</v>
      </c>
      <c r="G28" s="90">
        <v>1</v>
      </c>
      <c r="H28" s="90">
        <v>2</v>
      </c>
      <c r="I28" s="90">
        <v>4</v>
      </c>
      <c r="J28" s="90">
        <v>6</v>
      </c>
      <c r="K28" s="90">
        <v>4</v>
      </c>
      <c r="L28" s="90">
        <v>2</v>
      </c>
      <c r="M28" s="79">
        <f t="shared" si="20"/>
        <v>9</v>
      </c>
      <c r="N28" s="80">
        <f t="shared" si="21"/>
        <v>42.857142857142854</v>
      </c>
      <c r="O28" s="79">
        <f t="shared" si="22"/>
        <v>19</v>
      </c>
      <c r="P28" s="80">
        <f t="shared" si="23"/>
        <v>90.476190476190482</v>
      </c>
    </row>
    <row r="29" spans="1:16">
      <c r="A29" s="76" t="s">
        <v>30</v>
      </c>
      <c r="B29" s="88" t="s">
        <v>39</v>
      </c>
      <c r="C29" s="208">
        <f t="shared" si="19"/>
        <v>20</v>
      </c>
      <c r="D29" s="90" cm="1">
        <f t="array" ref="D29:L29">TRANSPOSE([14]Master!$M$47:$M$55)</f>
        <v>0</v>
      </c>
      <c r="E29" s="90">
        <v>0</v>
      </c>
      <c r="F29" s="90">
        <v>0</v>
      </c>
      <c r="G29" s="90">
        <v>0</v>
      </c>
      <c r="H29" s="90">
        <v>1</v>
      </c>
      <c r="I29" s="90">
        <v>3</v>
      </c>
      <c r="J29" s="90">
        <v>5</v>
      </c>
      <c r="K29" s="90">
        <v>3</v>
      </c>
      <c r="L29" s="90">
        <v>8</v>
      </c>
      <c r="M29" s="79">
        <f>SUM(D29:I29)</f>
        <v>4</v>
      </c>
      <c r="N29" s="80">
        <f t="shared" si="21"/>
        <v>20</v>
      </c>
      <c r="O29" s="79">
        <f t="shared" si="22"/>
        <v>12</v>
      </c>
      <c r="P29" s="80">
        <f t="shared" si="23"/>
        <v>60</v>
      </c>
    </row>
    <row r="30" spans="1:16">
      <c r="A30" s="73"/>
      <c r="B30" s="74" t="s">
        <v>31</v>
      </c>
      <c r="C30" s="76">
        <f t="shared" ref="C30:L30" si="24">SUM(C23:C29)</f>
        <v>149</v>
      </c>
      <c r="D30" s="76">
        <f t="shared" si="24"/>
        <v>0</v>
      </c>
      <c r="E30" s="76">
        <f t="shared" si="24"/>
        <v>16</v>
      </c>
      <c r="F30" s="76">
        <f>SUM(F23:F29)</f>
        <v>10</v>
      </c>
      <c r="G30" s="76">
        <f t="shared" si="24"/>
        <v>13</v>
      </c>
      <c r="H30" s="76">
        <f t="shared" si="24"/>
        <v>24</v>
      </c>
      <c r="I30" s="76">
        <f t="shared" si="24"/>
        <v>25</v>
      </c>
      <c r="J30" s="76">
        <f t="shared" si="24"/>
        <v>35</v>
      </c>
      <c r="K30" s="76">
        <f t="shared" si="24"/>
        <v>14</v>
      </c>
      <c r="L30" s="76">
        <f t="shared" si="24"/>
        <v>12</v>
      </c>
      <c r="M30" s="76">
        <f>SUM(M23:M29)</f>
        <v>88</v>
      </c>
      <c r="N30" s="81">
        <f>((M30/C30)*100)</f>
        <v>59.060402684563762</v>
      </c>
      <c r="O30" s="76">
        <f>SUM(O23:O29)</f>
        <v>137</v>
      </c>
      <c r="P30" s="81">
        <f t="shared" si="23"/>
        <v>91.946308724832221</v>
      </c>
    </row>
    <row r="31" spans="1:16" ht="21.75" customHeight="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3"/>
      <c r="O31" s="82"/>
      <c r="P31" s="83"/>
    </row>
    <row r="32" spans="1:16" ht="18">
      <c r="A32" s="70" t="s">
        <v>40</v>
      </c>
    </row>
    <row r="33" spans="1:16">
      <c r="D33" s="238" t="s">
        <v>1</v>
      </c>
      <c r="E33" s="240"/>
      <c r="F33" s="238" t="s">
        <v>2</v>
      </c>
      <c r="G33" s="239"/>
      <c r="H33" s="239"/>
      <c r="I33" s="240"/>
      <c r="J33" s="241" t="s">
        <v>3</v>
      </c>
      <c r="K33" s="242"/>
      <c r="L33" s="142" t="s">
        <v>4</v>
      </c>
    </row>
    <row r="34" spans="1:16" ht="27.95">
      <c r="A34" s="137" t="s">
        <v>5</v>
      </c>
      <c r="B34" s="137" t="s">
        <v>6</v>
      </c>
      <c r="C34" s="137" t="s">
        <v>7</v>
      </c>
      <c r="D34" s="137" t="s">
        <v>8</v>
      </c>
      <c r="E34" s="137" t="s">
        <v>9</v>
      </c>
      <c r="F34" s="137" t="s">
        <v>10</v>
      </c>
      <c r="G34" s="137" t="s">
        <v>11</v>
      </c>
      <c r="H34" s="137" t="s">
        <v>12</v>
      </c>
      <c r="I34" s="137" t="s">
        <v>13</v>
      </c>
      <c r="J34" s="137" t="s">
        <v>14</v>
      </c>
      <c r="K34" s="137" t="s">
        <v>15</v>
      </c>
      <c r="L34" s="137" t="s">
        <v>16</v>
      </c>
      <c r="M34" s="138" t="s">
        <v>17</v>
      </c>
      <c r="N34" s="138" t="s">
        <v>18</v>
      </c>
      <c r="O34" s="138" t="s">
        <v>19</v>
      </c>
      <c r="P34" s="139" t="s">
        <v>20</v>
      </c>
    </row>
    <row r="35" spans="1:16" ht="14.1">
      <c r="A35" s="225" t="s">
        <v>21</v>
      </c>
      <c r="B35" s="97" t="s">
        <v>41</v>
      </c>
      <c r="C35" s="97">
        <f>SUM(D35:L35)</f>
        <v>21</v>
      </c>
      <c r="D35" s="97" cm="1">
        <f t="array" ref="D35:L35">TRANSPOSE([1]Master!$M$47:$M$55)</f>
        <v>0</v>
      </c>
      <c r="E35" s="97">
        <v>1</v>
      </c>
      <c r="F35" s="97">
        <v>0</v>
      </c>
      <c r="G35" s="97">
        <v>1</v>
      </c>
      <c r="H35" s="97">
        <v>0</v>
      </c>
      <c r="I35" s="97">
        <v>0</v>
      </c>
      <c r="J35" s="97">
        <v>6</v>
      </c>
      <c r="K35" s="97">
        <v>7</v>
      </c>
      <c r="L35" s="97">
        <v>6</v>
      </c>
      <c r="M35" s="79">
        <f t="shared" ref="M35" si="25">SUM(D35:I35)</f>
        <v>2</v>
      </c>
      <c r="N35" s="80">
        <f t="shared" ref="N35" si="26">((M35/C35)*100)</f>
        <v>9.5238095238095237</v>
      </c>
      <c r="O35" s="79">
        <f t="shared" ref="O35" si="27">SUM(D35:K35)</f>
        <v>15</v>
      </c>
      <c r="P35" s="80">
        <f t="shared" ref="P35" si="28">((O35/C35)*100)</f>
        <v>71.428571428571431</v>
      </c>
    </row>
    <row r="36" spans="1:16">
      <c r="A36" s="76" t="s">
        <v>23</v>
      </c>
      <c r="B36" s="97" t="s">
        <v>42</v>
      </c>
      <c r="C36" s="97">
        <f t="shared" ref="C36:C39" si="29">SUM(D36:L36)</f>
        <v>14</v>
      </c>
      <c r="D36" s="97" cm="1">
        <f t="array" ref="D36:L36">TRANSPOSE([2]Master!$P$47:$P$55)</f>
        <v>0</v>
      </c>
      <c r="E36" s="97">
        <v>0</v>
      </c>
      <c r="F36" s="97">
        <v>0</v>
      </c>
      <c r="G36" s="97">
        <v>2</v>
      </c>
      <c r="H36" s="97">
        <v>1</v>
      </c>
      <c r="I36" s="97">
        <v>3</v>
      </c>
      <c r="J36" s="97">
        <v>5</v>
      </c>
      <c r="K36" s="97">
        <v>3</v>
      </c>
      <c r="L36" s="97">
        <v>0</v>
      </c>
      <c r="M36" s="79">
        <f t="shared" ref="M36:M39" si="30">SUM(D36:I36)</f>
        <v>6</v>
      </c>
      <c r="N36" s="80">
        <f t="shared" ref="N36:N40" si="31">((M36/C36)*100)</f>
        <v>42.857142857142854</v>
      </c>
      <c r="O36" s="79">
        <f t="shared" ref="O36:O39" si="32">SUM(D36:K36)</f>
        <v>14</v>
      </c>
      <c r="P36" s="80">
        <f t="shared" ref="P36:P40" si="33">((O36/C36)*100)</f>
        <v>100</v>
      </c>
    </row>
    <row r="37" spans="1:16">
      <c r="A37" s="76" t="s">
        <v>25</v>
      </c>
      <c r="B37" s="98" t="s">
        <v>43</v>
      </c>
      <c r="C37" s="97">
        <f t="shared" si="29"/>
        <v>24</v>
      </c>
      <c r="D37" s="98" cm="1">
        <f t="array" ref="D37:L37">TRANSPOSE([3]Master!$M$46:$M$54)</f>
        <v>0</v>
      </c>
      <c r="E37" s="98">
        <v>10</v>
      </c>
      <c r="F37" s="98">
        <v>3</v>
      </c>
      <c r="G37" s="98">
        <v>5</v>
      </c>
      <c r="H37" s="98">
        <v>5</v>
      </c>
      <c r="I37" s="98">
        <v>1</v>
      </c>
      <c r="J37" s="98">
        <v>0</v>
      </c>
      <c r="K37" s="98">
        <v>0</v>
      </c>
      <c r="L37" s="98">
        <v>0</v>
      </c>
      <c r="M37" s="79">
        <f t="shared" si="30"/>
        <v>24</v>
      </c>
      <c r="N37" s="80">
        <v>0</v>
      </c>
      <c r="O37" s="79">
        <f t="shared" si="32"/>
        <v>24</v>
      </c>
      <c r="P37" s="80">
        <v>6.25</v>
      </c>
    </row>
    <row r="38" spans="1:16">
      <c r="A38" s="76" t="s">
        <v>26</v>
      </c>
      <c r="B38" s="98" t="s">
        <v>41</v>
      </c>
      <c r="C38" s="97">
        <f t="shared" si="29"/>
        <v>23</v>
      </c>
      <c r="D38" s="98" cm="1">
        <f t="array" ref="D38:L38">TRANSPOSE([4]Master!$O$47:$O$55)</f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2</v>
      </c>
      <c r="K38" s="98">
        <v>2</v>
      </c>
      <c r="L38" s="98">
        <v>19</v>
      </c>
      <c r="M38" s="79">
        <f t="shared" si="30"/>
        <v>0</v>
      </c>
      <c r="N38" s="80">
        <v>0</v>
      </c>
      <c r="O38" s="79">
        <f t="shared" si="32"/>
        <v>4</v>
      </c>
      <c r="P38" s="80">
        <v>14.285714285714285</v>
      </c>
    </row>
    <row r="39" spans="1:16">
      <c r="A39" s="76" t="s">
        <v>27</v>
      </c>
      <c r="B39" s="98" t="s">
        <v>42</v>
      </c>
      <c r="C39" s="97">
        <f t="shared" si="29"/>
        <v>26</v>
      </c>
      <c r="D39" s="98" cm="1">
        <f t="array" ref="D39:L39">TRANSPOSE([12]Master!$P$47:$P$55)</f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2</v>
      </c>
      <c r="L39" s="98">
        <v>24</v>
      </c>
      <c r="M39" s="79">
        <f t="shared" si="30"/>
        <v>0</v>
      </c>
      <c r="N39" s="80">
        <v>0</v>
      </c>
      <c r="O39" s="79">
        <f t="shared" si="32"/>
        <v>2</v>
      </c>
      <c r="P39" s="80">
        <v>28.571428571428569</v>
      </c>
    </row>
    <row r="40" spans="1:16">
      <c r="A40" s="73"/>
      <c r="B40" s="76" t="s">
        <v>31</v>
      </c>
      <c r="C40" s="76">
        <f>SUM(C35:C39)</f>
        <v>108</v>
      </c>
      <c r="D40" s="76">
        <f>SUM(D35:D39)</f>
        <v>0</v>
      </c>
      <c r="E40" s="76">
        <f>SUM(E35:E39)</f>
        <v>11</v>
      </c>
      <c r="F40" s="76">
        <f>SUM(F35:F39)</f>
        <v>3</v>
      </c>
      <c r="G40" s="76">
        <f>SUM(G35:G39)</f>
        <v>8</v>
      </c>
      <c r="H40" s="76">
        <f>SUM(H35:H39)</f>
        <v>6</v>
      </c>
      <c r="I40" s="76">
        <f>SUM(I35:I39)</f>
        <v>4</v>
      </c>
      <c r="J40" s="76">
        <f>SUM(J35:J39)</f>
        <v>13</v>
      </c>
      <c r="K40" s="76">
        <f>SUM(K35:K39)</f>
        <v>14</v>
      </c>
      <c r="L40" s="76">
        <f>SUM(L35:L39)</f>
        <v>49</v>
      </c>
      <c r="M40" s="76">
        <f>SUM(M35:M39)</f>
        <v>32</v>
      </c>
      <c r="N40" s="81">
        <f t="shared" si="31"/>
        <v>29.629629629629626</v>
      </c>
      <c r="O40" s="76">
        <f>SUM(O35:O39)</f>
        <v>59</v>
      </c>
      <c r="P40" s="81">
        <f t="shared" si="33"/>
        <v>54.629629629629626</v>
      </c>
    </row>
    <row r="41" spans="1:16" ht="23.2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3"/>
      <c r="O41" s="82"/>
      <c r="P41" s="83"/>
    </row>
    <row r="42" spans="1:16" ht="18">
      <c r="A42" s="70" t="s">
        <v>44</v>
      </c>
      <c r="B42" s="99"/>
      <c r="C42" s="99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3"/>
      <c r="O42" s="82"/>
      <c r="P42" s="83"/>
    </row>
    <row r="43" spans="1:16">
      <c r="A43" s="100"/>
      <c r="B43" s="100"/>
      <c r="C43" s="100"/>
      <c r="D43" s="250" t="s">
        <v>45</v>
      </c>
      <c r="E43" s="250"/>
      <c r="F43" s="250"/>
      <c r="G43" s="250"/>
      <c r="H43" s="250"/>
      <c r="I43" s="250"/>
      <c r="J43" s="92"/>
      <c r="K43" s="92"/>
      <c r="L43" s="82"/>
      <c r="M43" s="82"/>
      <c r="N43" s="83"/>
      <c r="O43" s="82"/>
      <c r="P43" s="83"/>
    </row>
    <row r="44" spans="1:16" ht="27.95">
      <c r="A44" s="137" t="s">
        <v>5</v>
      </c>
      <c r="B44" s="137" t="s">
        <v>6</v>
      </c>
      <c r="C44" s="137" t="s">
        <v>7</v>
      </c>
      <c r="D44" s="137" t="s">
        <v>46</v>
      </c>
      <c r="E44" s="137" t="s">
        <v>47</v>
      </c>
      <c r="F44" s="137" t="s">
        <v>48</v>
      </c>
      <c r="G44" s="137" t="s">
        <v>49</v>
      </c>
      <c r="H44" s="137" t="s">
        <v>50</v>
      </c>
      <c r="I44" s="137" t="s">
        <v>16</v>
      </c>
      <c r="J44" s="137"/>
      <c r="K44" s="137"/>
      <c r="L44" s="137"/>
      <c r="M44" s="138" t="s">
        <v>51</v>
      </c>
      <c r="N44" s="138" t="s">
        <v>52</v>
      </c>
      <c r="O44" s="138" t="s">
        <v>53</v>
      </c>
      <c r="P44" s="139" t="s">
        <v>54</v>
      </c>
    </row>
    <row r="45" spans="1:16" ht="13.5">
      <c r="A45" s="93" t="s">
        <v>29</v>
      </c>
      <c r="B45" s="101" t="s">
        <v>55</v>
      </c>
      <c r="C45" s="97">
        <f>SUM(D45:I45)</f>
        <v>17</v>
      </c>
      <c r="D45" s="106" cm="1">
        <f t="array" ref="D45:I45">TRANSPOSE([13]Master!$O$47:$O$52)</f>
        <v>0</v>
      </c>
      <c r="E45" s="106">
        <v>4</v>
      </c>
      <c r="F45" s="106">
        <v>4</v>
      </c>
      <c r="G45" s="106">
        <v>5</v>
      </c>
      <c r="H45" s="106">
        <v>4</v>
      </c>
      <c r="I45" s="106">
        <v>0</v>
      </c>
      <c r="J45" s="94"/>
      <c r="K45" s="94"/>
      <c r="L45" s="94"/>
      <c r="M45" s="95">
        <f>D46</f>
        <v>0</v>
      </c>
      <c r="N45" s="80">
        <f>((M45/C45)*100)</f>
        <v>0</v>
      </c>
      <c r="O45" s="95">
        <f>SUM(D46:H46)</f>
        <v>15</v>
      </c>
      <c r="P45" s="80">
        <f>((O45/C45)*100)</f>
        <v>88.235294117647058</v>
      </c>
    </row>
    <row r="46" spans="1:16">
      <c r="A46" s="93" t="s">
        <v>30</v>
      </c>
      <c r="B46" s="97" t="s">
        <v>55</v>
      </c>
      <c r="C46" s="97">
        <f>SUM(D46:I46)</f>
        <v>20</v>
      </c>
      <c r="D46" s="98" cm="1">
        <f t="array" ref="D46:I46">TRANSPOSE([14]Master!$P$47:$P$52)</f>
        <v>0</v>
      </c>
      <c r="E46" s="98">
        <v>0</v>
      </c>
      <c r="F46" s="98">
        <v>6</v>
      </c>
      <c r="G46" s="98">
        <v>2</v>
      </c>
      <c r="H46" s="98">
        <v>7</v>
      </c>
      <c r="I46" s="98">
        <v>5</v>
      </c>
      <c r="J46" s="94"/>
      <c r="K46" s="94"/>
      <c r="L46" s="94"/>
      <c r="M46" s="95">
        <f>D47</f>
        <v>0</v>
      </c>
      <c r="N46" s="80">
        <f>((M46/C46)*100)</f>
        <v>0</v>
      </c>
      <c r="O46" s="95">
        <f>SUM(D47:H47)</f>
        <v>15</v>
      </c>
      <c r="P46" s="80">
        <f>((O46/C46)*100)</f>
        <v>75</v>
      </c>
    </row>
    <row r="47" spans="1:16" s="77" customFormat="1">
      <c r="A47" s="76"/>
      <c r="B47" s="76" t="s">
        <v>31</v>
      </c>
      <c r="C47" s="76">
        <f t="shared" ref="C47" si="34">SUM(C45:C46)</f>
        <v>37</v>
      </c>
      <c r="D47" s="76">
        <f>SUM(D46:D46)</f>
        <v>0</v>
      </c>
      <c r="E47" s="76">
        <f>SUM(E46:E46)</f>
        <v>0</v>
      </c>
      <c r="F47" s="76">
        <f>SUM(F46:F46)</f>
        <v>6</v>
      </c>
      <c r="G47" s="76">
        <f>SUM(G46:G46)</f>
        <v>2</v>
      </c>
      <c r="H47" s="76">
        <f>SUM(H46:H46)</f>
        <v>7</v>
      </c>
      <c r="I47" s="76">
        <f>SUM(I46:I46)</f>
        <v>5</v>
      </c>
      <c r="J47" s="96"/>
      <c r="K47" s="96"/>
      <c r="L47" s="96"/>
      <c r="M47" s="76">
        <f>SUM(M45:M46)</f>
        <v>0</v>
      </c>
      <c r="N47" s="81">
        <f>((M47/C47)*100)</f>
        <v>0</v>
      </c>
      <c r="O47" s="76">
        <f>SUM(O45:O46)</f>
        <v>30</v>
      </c>
      <c r="P47" s="81">
        <f>((O47/C47)*100)</f>
        <v>81.081081081081081</v>
      </c>
    </row>
    <row r="48" spans="1:16" s="77" customFormat="1" ht="24.7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3"/>
      <c r="O48" s="82"/>
      <c r="P48" s="83"/>
    </row>
    <row r="49" spans="1:16" s="104" customFormat="1" ht="18">
      <c r="A49" s="70" t="s">
        <v>56</v>
      </c>
      <c r="P49" s="105"/>
    </row>
    <row r="50" spans="1:16">
      <c r="D50" s="238" t="s">
        <v>1</v>
      </c>
      <c r="E50" s="240"/>
      <c r="F50" s="238" t="s">
        <v>2</v>
      </c>
      <c r="G50" s="239"/>
      <c r="H50" s="239"/>
      <c r="I50" s="240"/>
      <c r="J50" s="241" t="s">
        <v>3</v>
      </c>
      <c r="K50" s="242"/>
      <c r="L50" s="142" t="s">
        <v>4</v>
      </c>
    </row>
    <row r="51" spans="1:16" ht="22.5" customHeight="1">
      <c r="A51" s="137" t="s">
        <v>5</v>
      </c>
      <c r="B51" s="137" t="s">
        <v>6</v>
      </c>
      <c r="C51" s="137" t="s">
        <v>7</v>
      </c>
      <c r="D51" s="137" t="s">
        <v>8</v>
      </c>
      <c r="E51" s="137" t="s">
        <v>9</v>
      </c>
      <c r="F51" s="137" t="s">
        <v>10</v>
      </c>
      <c r="G51" s="137" t="s">
        <v>11</v>
      </c>
      <c r="H51" s="137" t="s">
        <v>12</v>
      </c>
      <c r="I51" s="137" t="s">
        <v>13</v>
      </c>
      <c r="J51" s="137" t="s">
        <v>14</v>
      </c>
      <c r="K51" s="137" t="s">
        <v>15</v>
      </c>
      <c r="L51" s="137" t="s">
        <v>16</v>
      </c>
      <c r="M51" s="138" t="s">
        <v>17</v>
      </c>
      <c r="N51" s="138" t="s">
        <v>18</v>
      </c>
      <c r="O51" s="138" t="s">
        <v>19</v>
      </c>
      <c r="P51" s="139" t="s">
        <v>20</v>
      </c>
    </row>
    <row r="52" spans="1:16" s="77" customFormat="1">
      <c r="A52" s="78" t="s">
        <v>21</v>
      </c>
      <c r="B52" s="97" t="s">
        <v>57</v>
      </c>
      <c r="C52" s="97">
        <f>SUM(D52:L52)</f>
        <v>21</v>
      </c>
      <c r="D52" s="97" cm="1">
        <f t="array" ref="D52:L52">TRANSPOSE([1]Master!$S$47:$S$55)</f>
        <v>0</v>
      </c>
      <c r="E52" s="97">
        <v>4</v>
      </c>
      <c r="F52" s="97">
        <v>0</v>
      </c>
      <c r="G52" s="97">
        <v>2</v>
      </c>
      <c r="H52" s="97">
        <v>4</v>
      </c>
      <c r="I52" s="97">
        <v>2</v>
      </c>
      <c r="J52" s="97">
        <v>5</v>
      </c>
      <c r="K52" s="97">
        <v>1</v>
      </c>
      <c r="L52" s="97">
        <v>3</v>
      </c>
      <c r="M52" s="79">
        <f>SUM(D52:I52)</f>
        <v>12</v>
      </c>
      <c r="N52" s="80">
        <f>((M52/C52)*100)</f>
        <v>57.142857142857139</v>
      </c>
      <c r="O52" s="79">
        <f>SUM(D52:K52)</f>
        <v>18</v>
      </c>
      <c r="P52" s="80">
        <f>((O52/C52)*100)</f>
        <v>85.714285714285708</v>
      </c>
    </row>
    <row r="53" spans="1:16" s="77" customFormat="1" ht="13.5">
      <c r="A53" s="225" t="s">
        <v>58</v>
      </c>
      <c r="B53" s="97" t="s">
        <v>57</v>
      </c>
      <c r="C53" s="97">
        <f t="shared" ref="C53:C54" si="35">SUM(D53:L53)</f>
        <v>14</v>
      </c>
      <c r="D53" s="106" cm="1">
        <f t="array" ref="D53:L53">TRANSPOSE([2]Master!$V$47:$V$55)</f>
        <v>0</v>
      </c>
      <c r="E53" s="106">
        <v>0</v>
      </c>
      <c r="F53" s="106">
        <v>1</v>
      </c>
      <c r="G53" s="106">
        <v>1</v>
      </c>
      <c r="H53" s="106">
        <v>3</v>
      </c>
      <c r="I53" s="106">
        <v>2</v>
      </c>
      <c r="J53" s="106">
        <v>0</v>
      </c>
      <c r="K53" s="106">
        <v>0</v>
      </c>
      <c r="L53" s="106">
        <v>7</v>
      </c>
      <c r="M53" s="79">
        <f t="shared" ref="M53:M54" si="36">SUM(D53:I53)</f>
        <v>7</v>
      </c>
      <c r="N53" s="80">
        <f t="shared" ref="N53:N54" si="37">((M53/C53)*100)</f>
        <v>50</v>
      </c>
      <c r="O53" s="79">
        <f t="shared" ref="O53:O54" si="38">SUM(D53:K53)</f>
        <v>7</v>
      </c>
      <c r="P53" s="80">
        <f t="shared" ref="P53:P54" si="39">((O53/C53)*100)</f>
        <v>50</v>
      </c>
    </row>
    <row r="54" spans="1:16" s="77" customFormat="1" ht="13.5">
      <c r="A54" s="226" t="s">
        <v>25</v>
      </c>
      <c r="B54" s="227" t="s">
        <v>57</v>
      </c>
      <c r="C54" s="97">
        <f t="shared" si="35"/>
        <v>19</v>
      </c>
      <c r="D54" s="106" cm="1">
        <f t="array" ref="D54:L54">TRANSPOSE([3]Master!$V$46:$V$54)</f>
        <v>0</v>
      </c>
      <c r="E54" s="106">
        <v>0</v>
      </c>
      <c r="F54" s="106">
        <v>1</v>
      </c>
      <c r="G54" s="106">
        <v>0</v>
      </c>
      <c r="H54" s="106">
        <v>1</v>
      </c>
      <c r="I54" s="106">
        <v>2</v>
      </c>
      <c r="J54" s="106">
        <v>2</v>
      </c>
      <c r="K54" s="106">
        <v>3</v>
      </c>
      <c r="L54" s="106">
        <v>10</v>
      </c>
      <c r="M54" s="79">
        <f t="shared" si="36"/>
        <v>4</v>
      </c>
      <c r="N54" s="80">
        <f t="shared" si="37"/>
        <v>21.052631578947366</v>
      </c>
      <c r="O54" s="79">
        <f t="shared" si="38"/>
        <v>9</v>
      </c>
      <c r="P54" s="80">
        <f t="shared" si="39"/>
        <v>47.368421052631575</v>
      </c>
    </row>
    <row r="55" spans="1:16">
      <c r="A55" s="73"/>
      <c r="B55" s="74" t="s">
        <v>31</v>
      </c>
      <c r="C55" s="76">
        <f>SUM(C52:C54)</f>
        <v>54</v>
      </c>
      <c r="D55" s="76">
        <f>SUM(D52:D54)</f>
        <v>0</v>
      </c>
      <c r="E55" s="76">
        <f>SUM(E52:E54)</f>
        <v>4</v>
      </c>
      <c r="F55" s="76">
        <f t="shared" ref="F55:L55" si="40">SUM(F52:F54)</f>
        <v>2</v>
      </c>
      <c r="G55" s="76">
        <f t="shared" si="40"/>
        <v>3</v>
      </c>
      <c r="H55" s="76">
        <f t="shared" si="40"/>
        <v>8</v>
      </c>
      <c r="I55" s="76">
        <f t="shared" si="40"/>
        <v>6</v>
      </c>
      <c r="J55" s="76">
        <f t="shared" si="40"/>
        <v>7</v>
      </c>
      <c r="K55" s="76">
        <f t="shared" si="40"/>
        <v>4</v>
      </c>
      <c r="L55" s="76">
        <f t="shared" si="40"/>
        <v>20</v>
      </c>
      <c r="M55" s="76">
        <f>SUM(D55:I55)</f>
        <v>23</v>
      </c>
      <c r="N55" s="81">
        <f>((M55/C55)*100)</f>
        <v>42.592592592592595</v>
      </c>
      <c r="O55" s="76">
        <f>SUM(D55:K55)</f>
        <v>34</v>
      </c>
      <c r="P55" s="81">
        <f>((O55/C55)*100)</f>
        <v>62.962962962962962</v>
      </c>
    </row>
    <row r="56" spans="1:16" ht="5.2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3"/>
      <c r="O56" s="82"/>
      <c r="P56" s="83"/>
    </row>
    <row r="57" spans="1:16" ht="5.2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3"/>
      <c r="O57" s="82"/>
      <c r="P57" s="83"/>
    </row>
    <row r="58" spans="1:16" ht="18">
      <c r="A58" s="70" t="s">
        <v>59</v>
      </c>
    </row>
    <row r="59" spans="1:16">
      <c r="D59" s="238" t="s">
        <v>1</v>
      </c>
      <c r="E59" s="240"/>
      <c r="F59" s="238" t="s">
        <v>2</v>
      </c>
      <c r="G59" s="239"/>
      <c r="H59" s="239"/>
      <c r="I59" s="240"/>
      <c r="J59" s="241" t="s">
        <v>3</v>
      </c>
      <c r="K59" s="242"/>
      <c r="L59" s="142" t="s">
        <v>4</v>
      </c>
    </row>
    <row r="60" spans="1:16" ht="22.5" customHeight="1">
      <c r="A60" s="137" t="s">
        <v>5</v>
      </c>
      <c r="B60" s="137" t="s">
        <v>6</v>
      </c>
      <c r="C60" s="137" t="s">
        <v>7</v>
      </c>
      <c r="D60" s="137" t="s">
        <v>8</v>
      </c>
      <c r="E60" s="137" t="s">
        <v>9</v>
      </c>
      <c r="F60" s="137" t="s">
        <v>10</v>
      </c>
      <c r="G60" s="137" t="s">
        <v>11</v>
      </c>
      <c r="H60" s="137" t="s">
        <v>12</v>
      </c>
      <c r="I60" s="137" t="s">
        <v>13</v>
      </c>
      <c r="J60" s="137" t="s">
        <v>14</v>
      </c>
      <c r="K60" s="137" t="s">
        <v>15</v>
      </c>
      <c r="L60" s="137" t="s">
        <v>16</v>
      </c>
      <c r="M60" s="138" t="s">
        <v>17</v>
      </c>
      <c r="N60" s="138" t="s">
        <v>18</v>
      </c>
      <c r="O60" s="138" t="s">
        <v>19</v>
      </c>
      <c r="P60" s="139" t="s">
        <v>20</v>
      </c>
    </row>
    <row r="61" spans="1:16" s="77" customFormat="1">
      <c r="A61" s="76" t="s">
        <v>21</v>
      </c>
      <c r="B61" s="106" t="s">
        <v>60</v>
      </c>
      <c r="C61" s="106">
        <f>SUM(D61:L61)</f>
        <v>21</v>
      </c>
      <c r="D61" s="106" cm="1">
        <f t="array" ref="D61:L61">TRANSPOSE([1]Master!$V$47:$V$55)</f>
        <v>1</v>
      </c>
      <c r="E61" s="106">
        <v>2</v>
      </c>
      <c r="F61" s="106">
        <v>3</v>
      </c>
      <c r="G61" s="106">
        <v>4</v>
      </c>
      <c r="H61" s="106">
        <v>2</v>
      </c>
      <c r="I61" s="106">
        <v>2</v>
      </c>
      <c r="J61" s="106">
        <v>2</v>
      </c>
      <c r="K61" s="106">
        <v>4</v>
      </c>
      <c r="L61" s="106">
        <v>1</v>
      </c>
      <c r="M61" s="79">
        <f t="shared" ref="M61" si="41">SUM(D61:I61)</f>
        <v>14</v>
      </c>
      <c r="N61" s="80">
        <f t="shared" ref="N61" si="42">((M61/C61)*100)</f>
        <v>66.666666666666657</v>
      </c>
      <c r="O61" s="79">
        <f t="shared" ref="O61" si="43">SUM(D61:K61)</f>
        <v>20</v>
      </c>
      <c r="P61" s="80">
        <f t="shared" ref="P61" si="44">((O61/C61)*100)</f>
        <v>95.238095238095227</v>
      </c>
    </row>
    <row r="62" spans="1:16" s="77" customFormat="1">
      <c r="A62" s="76" t="s">
        <v>23</v>
      </c>
      <c r="B62" s="106" t="s">
        <v>60</v>
      </c>
      <c r="C62" s="106">
        <f t="shared" ref="C62:C63" si="45">SUM(D62:L62)</f>
        <v>16</v>
      </c>
      <c r="D62" s="106" cm="1">
        <f t="array" ref="D62:L62">TRANSPOSE([2]Master!$Y$47:$Y$55)</f>
        <v>0</v>
      </c>
      <c r="E62" s="106">
        <v>1</v>
      </c>
      <c r="F62" s="106">
        <v>0</v>
      </c>
      <c r="G62" s="106">
        <v>3</v>
      </c>
      <c r="H62" s="106">
        <v>2</v>
      </c>
      <c r="I62" s="106">
        <v>3</v>
      </c>
      <c r="J62" s="106">
        <v>4</v>
      </c>
      <c r="K62" s="106">
        <v>2</v>
      </c>
      <c r="L62" s="106">
        <v>1</v>
      </c>
      <c r="M62" s="79">
        <f t="shared" ref="M62:M63" si="46">SUM(D62:I62)</f>
        <v>9</v>
      </c>
      <c r="N62" s="80">
        <f t="shared" ref="N62:N63" si="47">((M62/C62)*100)</f>
        <v>56.25</v>
      </c>
      <c r="O62" s="79">
        <f t="shared" ref="O62:O63" si="48">SUM(D62:K62)</f>
        <v>15</v>
      </c>
      <c r="P62" s="80">
        <f t="shared" ref="P62:P63" si="49">((O62/C62)*100)</f>
        <v>93.75</v>
      </c>
    </row>
    <row r="63" spans="1:16" s="77" customFormat="1">
      <c r="A63" s="73" t="s">
        <v>27</v>
      </c>
      <c r="B63" s="118" t="s">
        <v>61</v>
      </c>
      <c r="C63" s="106">
        <f t="shared" si="45"/>
        <v>26</v>
      </c>
      <c r="D63" s="106" cm="1">
        <f t="array" ref="D63:L63">TRANSPOSE([12]Master!$V$47:$V$55)</f>
        <v>0</v>
      </c>
      <c r="E63" s="106">
        <v>0</v>
      </c>
      <c r="F63" s="106">
        <v>0</v>
      </c>
      <c r="G63" s="106">
        <v>0</v>
      </c>
      <c r="H63" s="106">
        <v>0</v>
      </c>
      <c r="I63" s="106">
        <v>0</v>
      </c>
      <c r="J63" s="106">
        <v>0</v>
      </c>
      <c r="K63" s="106">
        <v>3</v>
      </c>
      <c r="L63" s="106">
        <v>23</v>
      </c>
      <c r="M63" s="79">
        <f t="shared" si="46"/>
        <v>0</v>
      </c>
      <c r="N63" s="80">
        <f t="shared" si="47"/>
        <v>0</v>
      </c>
      <c r="O63" s="79">
        <f t="shared" si="48"/>
        <v>3</v>
      </c>
      <c r="P63" s="80">
        <f t="shared" si="49"/>
        <v>11.538461538461538</v>
      </c>
    </row>
    <row r="64" spans="1:16" ht="13.5" customHeight="1">
      <c r="A64" s="73"/>
      <c r="B64" s="74" t="s">
        <v>31</v>
      </c>
      <c r="C64" s="76">
        <f>SUM(C61:C62)</f>
        <v>37</v>
      </c>
      <c r="D64" s="76">
        <f>SUM(D61:D62)</f>
        <v>1</v>
      </c>
      <c r="E64" s="76">
        <f>SUM(E61:E62)</f>
        <v>3</v>
      </c>
      <c r="F64" s="76">
        <f>SUM(F61:F62)</f>
        <v>3</v>
      </c>
      <c r="G64" s="76">
        <f>SUM(G61:G62)</f>
        <v>7</v>
      </c>
      <c r="H64" s="76">
        <f>SUM(H61:H62)</f>
        <v>4</v>
      </c>
      <c r="I64" s="76">
        <f>SUM(I61:I62)</f>
        <v>5</v>
      </c>
      <c r="J64" s="76">
        <f>SUM(J61:J62)</f>
        <v>6</v>
      </c>
      <c r="K64" s="76">
        <f>SUM(K61:K62)</f>
        <v>6</v>
      </c>
      <c r="L64" s="76">
        <f>SUM(L61:L62)</f>
        <v>2</v>
      </c>
      <c r="M64" s="76">
        <f>SUM(D64:I64)</f>
        <v>23</v>
      </c>
      <c r="N64" s="81">
        <f>((M64/C64)*100)</f>
        <v>62.162162162162161</v>
      </c>
      <c r="O64" s="76">
        <f>SUM(O61:O62)</f>
        <v>35</v>
      </c>
      <c r="P64" s="81">
        <f>((O64/C64)*100)</f>
        <v>94.594594594594597</v>
      </c>
    </row>
    <row r="65" spans="1:16" ht="18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3"/>
      <c r="O65" s="82"/>
      <c r="P65" s="83"/>
    </row>
    <row r="66" spans="1:16" ht="18">
      <c r="A66" s="70" t="s">
        <v>62</v>
      </c>
    </row>
    <row r="67" spans="1:16">
      <c r="D67" s="238" t="s">
        <v>1</v>
      </c>
      <c r="E67" s="240"/>
      <c r="F67" s="238" t="s">
        <v>2</v>
      </c>
      <c r="G67" s="239"/>
      <c r="H67" s="239"/>
      <c r="I67" s="240"/>
      <c r="J67" s="241" t="s">
        <v>3</v>
      </c>
      <c r="K67" s="242"/>
      <c r="L67" s="142" t="s">
        <v>4</v>
      </c>
    </row>
    <row r="68" spans="1:16" s="77" customFormat="1" ht="23.25" customHeight="1">
      <c r="A68" s="137" t="s">
        <v>5</v>
      </c>
      <c r="B68" s="137" t="s">
        <v>6</v>
      </c>
      <c r="C68" s="137" t="s">
        <v>7</v>
      </c>
      <c r="D68" s="137" t="s">
        <v>8</v>
      </c>
      <c r="E68" s="137" t="s">
        <v>9</v>
      </c>
      <c r="F68" s="137" t="s">
        <v>10</v>
      </c>
      <c r="G68" s="137" t="s">
        <v>11</v>
      </c>
      <c r="H68" s="137" t="s">
        <v>12</v>
      </c>
      <c r="I68" s="137" t="s">
        <v>13</v>
      </c>
      <c r="J68" s="137" t="s">
        <v>14</v>
      </c>
      <c r="K68" s="137" t="s">
        <v>15</v>
      </c>
      <c r="L68" s="137" t="s">
        <v>16</v>
      </c>
      <c r="M68" s="138" t="s">
        <v>17</v>
      </c>
      <c r="N68" s="138" t="s">
        <v>18</v>
      </c>
      <c r="O68" s="138" t="s">
        <v>19</v>
      </c>
      <c r="P68" s="139" t="s">
        <v>20</v>
      </c>
    </row>
    <row r="69" spans="1:16" ht="14.1">
      <c r="A69" s="225" t="s">
        <v>21</v>
      </c>
      <c r="B69" s="106" t="s">
        <v>63</v>
      </c>
      <c r="C69" s="106">
        <f>SUM(D69:L69)</f>
        <v>21</v>
      </c>
      <c r="D69" s="106" cm="1">
        <f t="array" ref="D69:L69">TRANSPOSE([1]Master!$Y$47:$Y$55)</f>
        <v>0</v>
      </c>
      <c r="E69" s="106">
        <v>0</v>
      </c>
      <c r="F69" s="106">
        <v>2</v>
      </c>
      <c r="G69" s="106">
        <v>4</v>
      </c>
      <c r="H69" s="106">
        <v>1</v>
      </c>
      <c r="I69" s="106">
        <v>7</v>
      </c>
      <c r="J69" s="106">
        <v>4</v>
      </c>
      <c r="K69" s="106">
        <v>3</v>
      </c>
      <c r="L69" s="106">
        <v>0</v>
      </c>
      <c r="M69" s="79">
        <f>SUM(D69:I69)</f>
        <v>14</v>
      </c>
      <c r="N69" s="80">
        <f>((M69/C69)*100)</f>
        <v>66.666666666666657</v>
      </c>
      <c r="O69" s="79">
        <f>SUM(D69:K69)</f>
        <v>21</v>
      </c>
      <c r="P69" s="80">
        <f>((O69/C69)*100)</f>
        <v>100</v>
      </c>
    </row>
    <row r="70" spans="1:16" ht="14.1">
      <c r="A70" s="225" t="s">
        <v>23</v>
      </c>
      <c r="B70" s="106" t="s">
        <v>63</v>
      </c>
      <c r="C70" s="106">
        <f t="shared" ref="C70:C71" si="50">SUM(D70:L70)</f>
        <v>14</v>
      </c>
      <c r="D70" s="106" cm="1">
        <f t="array" ref="D70:L70">TRANSPOSE([2]Master!$AB$47:$AB$55)</f>
        <v>0</v>
      </c>
      <c r="E70" s="106">
        <v>0</v>
      </c>
      <c r="F70" s="106">
        <v>1</v>
      </c>
      <c r="G70" s="106">
        <v>1</v>
      </c>
      <c r="H70" s="106">
        <v>2</v>
      </c>
      <c r="I70" s="106">
        <v>6</v>
      </c>
      <c r="J70" s="106">
        <v>0</v>
      </c>
      <c r="K70" s="106">
        <v>2</v>
      </c>
      <c r="L70" s="106">
        <v>2</v>
      </c>
      <c r="M70" s="79">
        <f>SUM(D70:I70)</f>
        <v>10</v>
      </c>
      <c r="N70" s="80">
        <f>((M70/C70)*100)</f>
        <v>71.428571428571431</v>
      </c>
      <c r="O70" s="79">
        <f>SUM(D70:K70)</f>
        <v>12</v>
      </c>
      <c r="P70" s="80">
        <f>((O70/C70)*100)</f>
        <v>85.714285714285708</v>
      </c>
    </row>
    <row r="71" spans="1:16" ht="13.5">
      <c r="A71" s="226" t="s">
        <v>26</v>
      </c>
      <c r="B71" s="118" t="s">
        <v>63</v>
      </c>
      <c r="C71" s="106">
        <f t="shared" si="50"/>
        <v>23</v>
      </c>
      <c r="D71" s="106" cm="1">
        <f t="array" ref="D71:L71">TRANSPOSE([4]Master!$U$47:$U$55)</f>
        <v>0</v>
      </c>
      <c r="E71" s="106">
        <v>0</v>
      </c>
      <c r="F71" s="106">
        <v>0</v>
      </c>
      <c r="G71" s="106">
        <v>0</v>
      </c>
      <c r="H71" s="106">
        <v>0</v>
      </c>
      <c r="I71" s="106">
        <v>1</v>
      </c>
      <c r="J71" s="106">
        <v>5</v>
      </c>
      <c r="K71" s="106">
        <v>4</v>
      </c>
      <c r="L71" s="106">
        <v>13</v>
      </c>
      <c r="M71" s="79">
        <f>SUM(D71:I71)</f>
        <v>1</v>
      </c>
      <c r="N71" s="80">
        <f>((M71/C71)*100)</f>
        <v>4.3478260869565215</v>
      </c>
      <c r="O71" s="79">
        <f>SUM(D71:K71)</f>
        <v>10</v>
      </c>
      <c r="P71" s="80">
        <f>((O71/C71)*100)</f>
        <v>43.478260869565219</v>
      </c>
    </row>
    <row r="72" spans="1:16">
      <c r="A72" s="107"/>
      <c r="B72" s="108" t="s">
        <v>31</v>
      </c>
      <c r="C72" s="78">
        <f>SUM(C69:C70)</f>
        <v>35</v>
      </c>
      <c r="D72" s="78">
        <f>SUM(D69:D70)</f>
        <v>0</v>
      </c>
      <c r="E72" s="78">
        <f>SUM(E69:E70)</f>
        <v>0</v>
      </c>
      <c r="F72" s="78">
        <f>SUM(F69:F70)</f>
        <v>3</v>
      </c>
      <c r="G72" s="78">
        <f>SUM(G69:G70)</f>
        <v>5</v>
      </c>
      <c r="H72" s="78">
        <f>SUM(H69:H70)</f>
        <v>3</v>
      </c>
      <c r="I72" s="78">
        <f>SUM(I69:I70)</f>
        <v>13</v>
      </c>
      <c r="J72" s="78">
        <f>SUM(J69:J70)</f>
        <v>4</v>
      </c>
      <c r="K72" s="78">
        <f>SUM(K69:K70)</f>
        <v>5</v>
      </c>
      <c r="L72" s="78">
        <f>SUM(L69:L70)</f>
        <v>2</v>
      </c>
      <c r="M72" s="76">
        <f>SUM(D72:I72)</f>
        <v>24</v>
      </c>
      <c r="N72" s="81">
        <f>((M72/C72)*100)</f>
        <v>68.571428571428569</v>
      </c>
      <c r="O72" s="76">
        <f>SUM(D72:K72)</f>
        <v>33</v>
      </c>
      <c r="P72" s="81">
        <f>((O72/C72)*100)</f>
        <v>94.285714285714278</v>
      </c>
    </row>
    <row r="73" spans="1:16" ht="18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3"/>
      <c r="O73" s="82"/>
      <c r="P73" s="83"/>
    </row>
    <row r="74" spans="1:16" ht="18">
      <c r="A74" s="70" t="s">
        <v>64</v>
      </c>
    </row>
    <row r="75" spans="1:16">
      <c r="D75" s="238" t="s">
        <v>1</v>
      </c>
      <c r="E75" s="240"/>
      <c r="F75" s="238" t="s">
        <v>2</v>
      </c>
      <c r="G75" s="239"/>
      <c r="H75" s="239"/>
      <c r="I75" s="240"/>
      <c r="J75" s="241" t="s">
        <v>3</v>
      </c>
      <c r="K75" s="242"/>
      <c r="L75" s="142" t="s">
        <v>4</v>
      </c>
    </row>
    <row r="76" spans="1:16" ht="22.5" customHeight="1">
      <c r="A76" s="137" t="s">
        <v>5</v>
      </c>
      <c r="B76" s="137" t="s">
        <v>6</v>
      </c>
      <c r="C76" s="137" t="s">
        <v>7</v>
      </c>
      <c r="D76" s="137" t="s">
        <v>8</v>
      </c>
      <c r="E76" s="137" t="s">
        <v>9</v>
      </c>
      <c r="F76" s="137" t="s">
        <v>10</v>
      </c>
      <c r="G76" s="137" t="s">
        <v>11</v>
      </c>
      <c r="H76" s="137" t="s">
        <v>12</v>
      </c>
      <c r="I76" s="137" t="s">
        <v>13</v>
      </c>
      <c r="J76" s="137" t="s">
        <v>14</v>
      </c>
      <c r="K76" s="137" t="s">
        <v>15</v>
      </c>
      <c r="L76" s="137" t="s">
        <v>16</v>
      </c>
      <c r="M76" s="138" t="s">
        <v>17</v>
      </c>
      <c r="N76" s="138" t="s">
        <v>18</v>
      </c>
      <c r="O76" s="138" t="s">
        <v>19</v>
      </c>
      <c r="P76" s="139" t="s">
        <v>20</v>
      </c>
    </row>
    <row r="77" spans="1:16" ht="13.5" customHeight="1">
      <c r="A77" s="76" t="s">
        <v>29</v>
      </c>
      <c r="B77" s="106" t="s">
        <v>65</v>
      </c>
      <c r="C77" s="106">
        <f>SUM(D77:L77)</f>
        <v>21</v>
      </c>
      <c r="D77" s="106" cm="1">
        <f t="array" ref="D77:L77">TRANSPOSE([13]Master!$U$47:$U$55)</f>
        <v>0</v>
      </c>
      <c r="E77" s="106">
        <v>0</v>
      </c>
      <c r="F77" s="106">
        <v>0</v>
      </c>
      <c r="G77" s="106">
        <v>0</v>
      </c>
      <c r="H77" s="106">
        <v>1</v>
      </c>
      <c r="I77" s="106">
        <v>0</v>
      </c>
      <c r="J77" s="106">
        <v>1</v>
      </c>
      <c r="K77" s="106">
        <v>5</v>
      </c>
      <c r="L77" s="106">
        <v>14</v>
      </c>
      <c r="M77" s="79">
        <f t="shared" ref="M77:M79" si="51">SUM(D77:I77)</f>
        <v>1</v>
      </c>
      <c r="N77" s="80">
        <f t="shared" ref="N77:N79" si="52">((M77/C77)*100)</f>
        <v>4.7619047619047619</v>
      </c>
      <c r="O77" s="79">
        <f t="shared" ref="O77:O79" si="53">SUM(D77:K77)</f>
        <v>7</v>
      </c>
      <c r="P77" s="80">
        <f t="shared" ref="P77:P79" si="54">((O77/C77)*100)</f>
        <v>33.333333333333329</v>
      </c>
    </row>
    <row r="78" spans="1:16" ht="13.5" customHeight="1">
      <c r="A78" s="76" t="s">
        <v>30</v>
      </c>
      <c r="B78" s="106" t="s">
        <v>65</v>
      </c>
      <c r="C78" s="106">
        <f>SUM(D78:L78)</f>
        <v>20</v>
      </c>
      <c r="D78" s="106" cm="1">
        <f t="array" ref="D78:L78">TRANSPOSE([14]Master!$V$47:$V$55)</f>
        <v>0</v>
      </c>
      <c r="E78" s="106">
        <v>0</v>
      </c>
      <c r="F78" s="106">
        <v>0</v>
      </c>
      <c r="G78" s="106">
        <v>0</v>
      </c>
      <c r="H78" s="106">
        <v>0</v>
      </c>
      <c r="I78" s="106">
        <v>0</v>
      </c>
      <c r="J78" s="106">
        <v>0</v>
      </c>
      <c r="K78" s="106">
        <v>4</v>
      </c>
      <c r="L78" s="106">
        <v>16</v>
      </c>
      <c r="M78" s="79">
        <f t="shared" si="51"/>
        <v>0</v>
      </c>
      <c r="N78" s="80">
        <f t="shared" si="52"/>
        <v>0</v>
      </c>
      <c r="O78" s="79">
        <f t="shared" si="53"/>
        <v>4</v>
      </c>
      <c r="P78" s="80">
        <f t="shared" si="54"/>
        <v>20</v>
      </c>
    </row>
    <row r="79" spans="1:16">
      <c r="A79" s="73"/>
      <c r="B79" s="74" t="s">
        <v>31</v>
      </c>
      <c r="C79" s="76">
        <f>SUM(C77:C78)</f>
        <v>41</v>
      </c>
      <c r="D79" s="76">
        <f>SUM(D77:D78)</f>
        <v>0</v>
      </c>
      <c r="E79" s="76">
        <f>SUM(E77:E78)</f>
        <v>0</v>
      </c>
      <c r="F79" s="76">
        <f>SUM(F77:F78)</f>
        <v>0</v>
      </c>
      <c r="G79" s="76">
        <f>SUM(G77:G78)</f>
        <v>0</v>
      </c>
      <c r="H79" s="76">
        <f>SUM(H77:H78)</f>
        <v>1</v>
      </c>
      <c r="I79" s="76">
        <f>SUM(I77:I78)</f>
        <v>0</v>
      </c>
      <c r="J79" s="76">
        <f>SUM(J77:J78)</f>
        <v>1</v>
      </c>
      <c r="K79" s="76">
        <f>SUM(K77:K78)</f>
        <v>9</v>
      </c>
      <c r="L79" s="76">
        <f>SUM(L77:L78)</f>
        <v>30</v>
      </c>
      <c r="M79" s="76">
        <f t="shared" si="51"/>
        <v>1</v>
      </c>
      <c r="N79" s="81">
        <f t="shared" si="52"/>
        <v>2.4390243902439024</v>
      </c>
      <c r="O79" s="76">
        <f t="shared" si="53"/>
        <v>11</v>
      </c>
      <c r="P79" s="81">
        <f t="shared" si="54"/>
        <v>26.829268292682929</v>
      </c>
    </row>
    <row r="80" spans="1:16" ht="1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3"/>
      <c r="O80" s="82"/>
      <c r="P80" s="83"/>
    </row>
    <row r="81" spans="1:16" ht="18.75" customHeight="1">
      <c r="A81" s="70" t="s">
        <v>66</v>
      </c>
    </row>
    <row r="82" spans="1:16">
      <c r="D82" s="238" t="s">
        <v>1</v>
      </c>
      <c r="E82" s="240"/>
      <c r="F82" s="238" t="s">
        <v>2</v>
      </c>
      <c r="G82" s="239"/>
      <c r="H82" s="239"/>
      <c r="I82" s="240"/>
      <c r="J82" s="241" t="s">
        <v>3</v>
      </c>
      <c r="K82" s="242"/>
      <c r="L82" s="142" t="s">
        <v>4</v>
      </c>
    </row>
    <row r="83" spans="1:16" ht="22.5" customHeight="1">
      <c r="A83" s="137" t="s">
        <v>5</v>
      </c>
      <c r="B83" s="137" t="s">
        <v>6</v>
      </c>
      <c r="C83" s="137" t="s">
        <v>7</v>
      </c>
      <c r="D83" s="137" t="s">
        <v>8</v>
      </c>
      <c r="E83" s="137" t="s">
        <v>9</v>
      </c>
      <c r="F83" s="137" t="s">
        <v>10</v>
      </c>
      <c r="G83" s="137" t="s">
        <v>11</v>
      </c>
      <c r="H83" s="137" t="s">
        <v>12</v>
      </c>
      <c r="I83" s="137" t="s">
        <v>13</v>
      </c>
      <c r="J83" s="137" t="s">
        <v>14</v>
      </c>
      <c r="K83" s="137" t="s">
        <v>15</v>
      </c>
      <c r="L83" s="137" t="s">
        <v>16</v>
      </c>
      <c r="M83" s="138" t="s">
        <v>17</v>
      </c>
      <c r="N83" s="138" t="s">
        <v>18</v>
      </c>
      <c r="O83" s="138" t="s">
        <v>19</v>
      </c>
      <c r="P83" s="139" t="s">
        <v>20</v>
      </c>
    </row>
    <row r="84" spans="1:16" ht="13.5" customHeight="1">
      <c r="A84" s="76" t="s">
        <v>23</v>
      </c>
      <c r="B84" s="79" t="s">
        <v>67</v>
      </c>
      <c r="C84" s="79">
        <f>SUM(D84:L84)</f>
        <v>14</v>
      </c>
      <c r="D84" s="79" cm="1">
        <f t="array" ref="D84:L84">TRANSPOSE([2]Master!$AH$47:$AH$55)</f>
        <v>0</v>
      </c>
      <c r="E84" s="79">
        <v>0</v>
      </c>
      <c r="F84" s="79">
        <v>0</v>
      </c>
      <c r="G84" s="79">
        <v>0</v>
      </c>
      <c r="H84" s="79">
        <v>0</v>
      </c>
      <c r="I84" s="79">
        <v>2</v>
      </c>
      <c r="J84" s="79">
        <v>3</v>
      </c>
      <c r="K84" s="79">
        <v>2</v>
      </c>
      <c r="L84" s="79">
        <v>7</v>
      </c>
      <c r="M84" s="79">
        <f>SUM(D84:I84)</f>
        <v>2</v>
      </c>
      <c r="N84" s="109">
        <f>((M84/C84)*100)</f>
        <v>14.285714285714285</v>
      </c>
      <c r="O84" s="79">
        <f>SUM(D84:K84)</f>
        <v>7</v>
      </c>
      <c r="P84" s="80">
        <f>((O84/C84)*100)</f>
        <v>50</v>
      </c>
    </row>
    <row r="85" spans="1:16" ht="13.5" customHeight="1">
      <c r="A85" s="76" t="s">
        <v>26</v>
      </c>
      <c r="B85" s="79" t="s">
        <v>68</v>
      </c>
      <c r="C85" s="79">
        <f t="shared" ref="C85:C86" si="55">SUM(D85:L85)</f>
        <v>23</v>
      </c>
      <c r="D85" s="79" cm="1">
        <f t="array" ref="D85:L85">TRANSPOSE([4]Master!$AA$47:$AA$55)</f>
        <v>0</v>
      </c>
      <c r="E85" s="79">
        <v>0</v>
      </c>
      <c r="F85" s="79">
        <v>0</v>
      </c>
      <c r="G85" s="79">
        <v>0</v>
      </c>
      <c r="H85" s="79">
        <v>0</v>
      </c>
      <c r="I85" s="79">
        <v>1</v>
      </c>
      <c r="J85" s="79">
        <v>9</v>
      </c>
      <c r="K85" s="79">
        <v>7</v>
      </c>
      <c r="L85" s="79">
        <v>6</v>
      </c>
      <c r="M85" s="79">
        <f>SUM(D85:I85)</f>
        <v>1</v>
      </c>
      <c r="N85" s="109">
        <f>((M85/C85)*100)</f>
        <v>4.3478260869565215</v>
      </c>
      <c r="O85" s="79">
        <f>SUM(D85:K85)</f>
        <v>17</v>
      </c>
      <c r="P85" s="80">
        <f>((O85/C85)*100)</f>
        <v>73.91304347826086</v>
      </c>
    </row>
    <row r="86" spans="1:16" ht="13.5" customHeight="1">
      <c r="A86" s="76" t="s">
        <v>27</v>
      </c>
      <c r="B86" s="79" t="s">
        <v>68</v>
      </c>
      <c r="C86" s="79">
        <f t="shared" si="55"/>
        <v>26</v>
      </c>
      <c r="D86" s="79" cm="1">
        <f t="array" ref="D86:L86">TRANSPOSE([12]Master!$AE$47:$AE$55)</f>
        <v>0</v>
      </c>
      <c r="E86" s="79">
        <v>0</v>
      </c>
      <c r="F86" s="79">
        <v>0</v>
      </c>
      <c r="G86" s="79">
        <v>0</v>
      </c>
      <c r="H86" s="79">
        <v>1</v>
      </c>
      <c r="I86" s="79">
        <v>1</v>
      </c>
      <c r="J86" s="79">
        <v>1</v>
      </c>
      <c r="K86" s="79">
        <v>9</v>
      </c>
      <c r="L86" s="79">
        <v>14</v>
      </c>
      <c r="M86" s="79">
        <f t="shared" ref="M86" si="56">SUM(D86:I86)</f>
        <v>2</v>
      </c>
      <c r="N86" s="109">
        <f t="shared" ref="N86" si="57">((M86/C86)*100)</f>
        <v>7.6923076923076925</v>
      </c>
      <c r="O86" s="79">
        <f t="shared" ref="O86" si="58">SUM(D86:K86)</f>
        <v>12</v>
      </c>
      <c r="P86" s="80">
        <f t="shared" ref="P86" si="59">((O86/C86)*100)</f>
        <v>46.153846153846153</v>
      </c>
    </row>
    <row r="87" spans="1:16" s="77" customFormat="1">
      <c r="A87" s="73"/>
      <c r="B87" s="74" t="s">
        <v>31</v>
      </c>
      <c r="C87" s="76">
        <f t="shared" ref="C87:M87" si="60">SUM(C84:C86)</f>
        <v>63</v>
      </c>
      <c r="D87" s="76">
        <f t="shared" si="60"/>
        <v>0</v>
      </c>
      <c r="E87" s="76">
        <f t="shared" si="60"/>
        <v>0</v>
      </c>
      <c r="F87" s="76">
        <f t="shared" si="60"/>
        <v>0</v>
      </c>
      <c r="G87" s="76">
        <f t="shared" si="60"/>
        <v>0</v>
      </c>
      <c r="H87" s="76">
        <f t="shared" si="60"/>
        <v>1</v>
      </c>
      <c r="I87" s="76">
        <f t="shared" si="60"/>
        <v>4</v>
      </c>
      <c r="J87" s="76">
        <f t="shared" si="60"/>
        <v>13</v>
      </c>
      <c r="K87" s="76">
        <f t="shared" si="60"/>
        <v>18</v>
      </c>
      <c r="L87" s="76">
        <f t="shared" si="60"/>
        <v>27</v>
      </c>
      <c r="M87" s="76">
        <f t="shared" si="60"/>
        <v>5</v>
      </c>
      <c r="N87" s="81">
        <f>((M87/C87)*100)</f>
        <v>7.9365079365079358</v>
      </c>
      <c r="O87" s="76">
        <f>SUM(O84:O86)</f>
        <v>36</v>
      </c>
      <c r="P87" s="81">
        <f>((O87/C87)*100)</f>
        <v>57.142857142857139</v>
      </c>
    </row>
    <row r="88" spans="1:16" ht="24.7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3"/>
      <c r="O88" s="82"/>
      <c r="P88" s="83"/>
    </row>
    <row r="89" spans="1:16" ht="18">
      <c r="A89" s="70" t="s">
        <v>69</v>
      </c>
    </row>
    <row r="90" spans="1:16">
      <c r="D90" s="238" t="s">
        <v>1</v>
      </c>
      <c r="E90" s="240"/>
      <c r="F90" s="238" t="s">
        <v>2</v>
      </c>
      <c r="G90" s="239"/>
      <c r="H90" s="239"/>
      <c r="I90" s="240"/>
      <c r="J90" s="241" t="s">
        <v>3</v>
      </c>
      <c r="K90" s="242"/>
      <c r="L90" s="142" t="s">
        <v>4</v>
      </c>
    </row>
    <row r="91" spans="1:16" ht="24.75" customHeight="1">
      <c r="A91" s="137" t="s">
        <v>5</v>
      </c>
      <c r="B91" s="137" t="s">
        <v>6</v>
      </c>
      <c r="C91" s="137" t="s">
        <v>7</v>
      </c>
      <c r="D91" s="137" t="s">
        <v>8</v>
      </c>
      <c r="E91" s="137" t="s">
        <v>9</v>
      </c>
      <c r="F91" s="137" t="s">
        <v>10</v>
      </c>
      <c r="G91" s="137" t="s">
        <v>11</v>
      </c>
      <c r="H91" s="137" t="s">
        <v>12</v>
      </c>
      <c r="I91" s="137" t="s">
        <v>13</v>
      </c>
      <c r="J91" s="137" t="s">
        <v>14</v>
      </c>
      <c r="K91" s="137" t="s">
        <v>15</v>
      </c>
      <c r="L91" s="137" t="s">
        <v>16</v>
      </c>
      <c r="M91" s="138" t="s">
        <v>17</v>
      </c>
      <c r="N91" s="138" t="s">
        <v>18</v>
      </c>
      <c r="O91" s="138" t="s">
        <v>19</v>
      </c>
      <c r="P91" s="139" t="s">
        <v>20</v>
      </c>
    </row>
    <row r="92" spans="1:16" ht="13.5" customHeight="1">
      <c r="A92" s="76" t="s">
        <v>21</v>
      </c>
      <c r="B92" s="79" t="s">
        <v>70</v>
      </c>
      <c r="C92" s="79">
        <f>SUM(D92:L92)</f>
        <v>21</v>
      </c>
      <c r="D92" s="79" cm="1">
        <f t="array" ref="D92:L92">TRANSPOSE([1]Master!$P$47:$P$55)</f>
        <v>3</v>
      </c>
      <c r="E92" s="79">
        <v>4</v>
      </c>
      <c r="F92" s="79">
        <v>3</v>
      </c>
      <c r="G92" s="79">
        <v>2</v>
      </c>
      <c r="H92" s="79">
        <v>2</v>
      </c>
      <c r="I92" s="79">
        <v>2</v>
      </c>
      <c r="J92" s="79">
        <v>0</v>
      </c>
      <c r="K92" s="79">
        <v>4</v>
      </c>
      <c r="L92" s="79">
        <v>1</v>
      </c>
      <c r="M92" s="79">
        <f>SUM(D92:I92)</f>
        <v>16</v>
      </c>
      <c r="N92" s="80">
        <f t="shared" ref="N92" si="61">((M92/C92)*100)</f>
        <v>76.19047619047619</v>
      </c>
      <c r="O92" s="79">
        <f t="shared" ref="O92" si="62">SUM(D92:K92)</f>
        <v>20</v>
      </c>
      <c r="P92" s="80">
        <f t="shared" ref="P92" si="63">((O92/C92)*100)</f>
        <v>95.238095238095227</v>
      </c>
    </row>
    <row r="93" spans="1:16" ht="13.5" customHeight="1">
      <c r="A93" s="76" t="s">
        <v>58</v>
      </c>
      <c r="B93" s="79" t="s">
        <v>71</v>
      </c>
      <c r="C93" s="79">
        <f t="shared" ref="C93:C98" si="64">SUM(D93:L93)</f>
        <v>14</v>
      </c>
      <c r="D93" s="79" cm="1">
        <f t="array" ref="D93:L93">TRANSPOSE([2]Master!$S$47:$S$55)</f>
        <v>7</v>
      </c>
      <c r="E93" s="79">
        <v>5</v>
      </c>
      <c r="F93" s="79">
        <v>1</v>
      </c>
      <c r="G93" s="79">
        <v>0</v>
      </c>
      <c r="H93" s="79">
        <v>1</v>
      </c>
      <c r="I93" s="79">
        <v>0</v>
      </c>
      <c r="J93" s="79">
        <v>0</v>
      </c>
      <c r="K93" s="79">
        <v>0</v>
      </c>
      <c r="L93" s="79">
        <v>0</v>
      </c>
      <c r="M93" s="79">
        <f t="shared" ref="M93:M98" si="65">SUM(D93:I93)</f>
        <v>14</v>
      </c>
      <c r="N93" s="80">
        <f t="shared" ref="N93:N99" si="66">((M93/C93)*100)</f>
        <v>100</v>
      </c>
      <c r="O93" s="79">
        <f t="shared" ref="O93:O98" si="67">SUM(D93:K93)</f>
        <v>14</v>
      </c>
      <c r="P93" s="80">
        <f t="shared" ref="P93:P99" si="68">((O93/C93)*100)</f>
        <v>100</v>
      </c>
    </row>
    <row r="94" spans="1:16" ht="13.5" customHeight="1">
      <c r="A94" s="76" t="s">
        <v>25</v>
      </c>
      <c r="B94" s="79" t="s">
        <v>70</v>
      </c>
      <c r="C94" s="79">
        <f t="shared" si="64"/>
        <v>24</v>
      </c>
      <c r="D94" s="79" cm="1">
        <f t="array" ref="D94:L94">TRANSPOSE([3]Master!$S$46:$S$54)</f>
        <v>0</v>
      </c>
      <c r="E94" s="79">
        <v>3</v>
      </c>
      <c r="F94" s="79">
        <v>3</v>
      </c>
      <c r="G94" s="79">
        <v>4</v>
      </c>
      <c r="H94" s="79">
        <v>3</v>
      </c>
      <c r="I94" s="79">
        <v>2</v>
      </c>
      <c r="J94" s="79">
        <v>5</v>
      </c>
      <c r="K94" s="79">
        <v>1</v>
      </c>
      <c r="L94" s="79">
        <v>3</v>
      </c>
      <c r="M94" s="79">
        <f t="shared" si="65"/>
        <v>15</v>
      </c>
      <c r="N94" s="80">
        <f>((M94/C94)*100)</f>
        <v>62.5</v>
      </c>
      <c r="O94" s="79">
        <f>SUM(D94:K94)</f>
        <v>21</v>
      </c>
      <c r="P94" s="80">
        <f t="shared" si="68"/>
        <v>87.5</v>
      </c>
    </row>
    <row r="95" spans="1:16" ht="13.5" customHeight="1">
      <c r="A95" s="76" t="s">
        <v>26</v>
      </c>
      <c r="B95" s="79" t="s">
        <v>71</v>
      </c>
      <c r="C95" s="79">
        <f t="shared" si="64"/>
        <v>22</v>
      </c>
      <c r="D95" s="79" cm="1">
        <f t="array" ref="D95:L95">TRANSPOSE([4]Master!$R$47:$R$55)</f>
        <v>0</v>
      </c>
      <c r="E95" s="79">
        <v>10</v>
      </c>
      <c r="F95" s="79">
        <v>3</v>
      </c>
      <c r="G95" s="79">
        <v>3</v>
      </c>
      <c r="H95" s="79">
        <v>0</v>
      </c>
      <c r="I95" s="79">
        <v>3</v>
      </c>
      <c r="J95" s="79">
        <v>2</v>
      </c>
      <c r="K95" s="79">
        <v>1</v>
      </c>
      <c r="L95" s="79">
        <v>0</v>
      </c>
      <c r="M95" s="79">
        <f t="shared" si="65"/>
        <v>19</v>
      </c>
      <c r="N95" s="80">
        <f t="shared" si="66"/>
        <v>86.36363636363636</v>
      </c>
      <c r="O95" s="79">
        <f t="shared" si="67"/>
        <v>22</v>
      </c>
      <c r="P95" s="80">
        <f t="shared" si="68"/>
        <v>100</v>
      </c>
    </row>
    <row r="96" spans="1:16" ht="13.5" customHeight="1">
      <c r="A96" s="76" t="s">
        <v>27</v>
      </c>
      <c r="B96" s="79" t="s">
        <v>70</v>
      </c>
      <c r="C96" s="79">
        <f t="shared" si="64"/>
        <v>26</v>
      </c>
      <c r="D96" s="79" cm="1">
        <f t="array" ref="D96:L96">TRANSPOSE([12]Master!$S$47:$S$55)</f>
        <v>0</v>
      </c>
      <c r="E96" s="79">
        <v>3</v>
      </c>
      <c r="F96" s="79">
        <v>4</v>
      </c>
      <c r="G96" s="79">
        <v>1</v>
      </c>
      <c r="H96" s="79">
        <v>4</v>
      </c>
      <c r="I96" s="79">
        <v>2</v>
      </c>
      <c r="J96" s="79">
        <v>5</v>
      </c>
      <c r="K96" s="79">
        <v>4</v>
      </c>
      <c r="L96" s="79">
        <v>3</v>
      </c>
      <c r="M96" s="79">
        <f t="shared" si="65"/>
        <v>14</v>
      </c>
      <c r="N96" s="80">
        <f t="shared" si="66"/>
        <v>53.846153846153847</v>
      </c>
      <c r="O96" s="79">
        <f t="shared" si="67"/>
        <v>23</v>
      </c>
      <c r="P96" s="80">
        <f t="shared" si="68"/>
        <v>88.461538461538453</v>
      </c>
    </row>
    <row r="97" spans="1:16" ht="13.5" customHeight="1">
      <c r="A97" s="76" t="s">
        <v>29</v>
      </c>
      <c r="B97" s="79" t="s">
        <v>71</v>
      </c>
      <c r="C97" s="79">
        <f t="shared" si="64"/>
        <v>21</v>
      </c>
      <c r="D97" s="79" cm="1">
        <f t="array" ref="D97:L97">TRANSPOSE([13]Master!$R$47:$R$55)</f>
        <v>0</v>
      </c>
      <c r="E97" s="79">
        <v>0</v>
      </c>
      <c r="F97" s="79">
        <v>0</v>
      </c>
      <c r="G97" s="79">
        <v>2</v>
      </c>
      <c r="H97" s="79">
        <v>2</v>
      </c>
      <c r="I97" s="79">
        <v>1</v>
      </c>
      <c r="J97" s="79">
        <v>2</v>
      </c>
      <c r="K97" s="79">
        <v>2</v>
      </c>
      <c r="L97" s="79">
        <v>12</v>
      </c>
      <c r="M97" s="79">
        <f t="shared" si="65"/>
        <v>5</v>
      </c>
      <c r="N97" s="80">
        <f t="shared" si="66"/>
        <v>23.809523809523807</v>
      </c>
      <c r="O97" s="79">
        <f t="shared" si="67"/>
        <v>9</v>
      </c>
      <c r="P97" s="80">
        <f t="shared" si="68"/>
        <v>42.857142857142854</v>
      </c>
    </row>
    <row r="98" spans="1:16" ht="13.5" customHeight="1">
      <c r="A98" s="76" t="s">
        <v>30</v>
      </c>
      <c r="B98" s="79" t="s">
        <v>70</v>
      </c>
      <c r="C98" s="79">
        <f t="shared" si="64"/>
        <v>20</v>
      </c>
      <c r="D98" s="79" cm="1">
        <f t="array" ref="D98:L98">TRANSPOSE([14]Master!$S$47:$S$55)</f>
        <v>0</v>
      </c>
      <c r="E98" s="79">
        <v>0</v>
      </c>
      <c r="F98" s="79">
        <v>1</v>
      </c>
      <c r="G98" s="79">
        <v>0</v>
      </c>
      <c r="H98" s="79">
        <v>3</v>
      </c>
      <c r="I98" s="79">
        <v>5</v>
      </c>
      <c r="J98" s="79">
        <v>2</v>
      </c>
      <c r="K98" s="79">
        <v>3</v>
      </c>
      <c r="L98" s="79">
        <v>6</v>
      </c>
      <c r="M98" s="79">
        <f t="shared" si="65"/>
        <v>9</v>
      </c>
      <c r="N98" s="80">
        <f t="shared" si="66"/>
        <v>45</v>
      </c>
      <c r="O98" s="79">
        <f t="shared" si="67"/>
        <v>14</v>
      </c>
      <c r="P98" s="80">
        <f t="shared" si="68"/>
        <v>70</v>
      </c>
    </row>
    <row r="99" spans="1:16" s="77" customFormat="1">
      <c r="A99" s="73"/>
      <c r="B99" s="74" t="s">
        <v>31</v>
      </c>
      <c r="C99" s="76">
        <f t="shared" ref="C99:M99" si="69">SUM(C92:C98)</f>
        <v>148</v>
      </c>
      <c r="D99" s="76">
        <f t="shared" si="69"/>
        <v>10</v>
      </c>
      <c r="E99" s="76">
        <f t="shared" si="69"/>
        <v>25</v>
      </c>
      <c r="F99" s="76">
        <f t="shared" si="69"/>
        <v>15</v>
      </c>
      <c r="G99" s="76">
        <f t="shared" si="69"/>
        <v>12</v>
      </c>
      <c r="H99" s="76">
        <f t="shared" si="69"/>
        <v>15</v>
      </c>
      <c r="I99" s="76">
        <f t="shared" si="69"/>
        <v>15</v>
      </c>
      <c r="J99" s="76">
        <f t="shared" si="69"/>
        <v>16</v>
      </c>
      <c r="K99" s="76">
        <f t="shared" si="69"/>
        <v>15</v>
      </c>
      <c r="L99" s="76">
        <f t="shared" si="69"/>
        <v>25</v>
      </c>
      <c r="M99" s="76">
        <f t="shared" si="69"/>
        <v>92</v>
      </c>
      <c r="N99" s="81">
        <f t="shared" si="66"/>
        <v>62.162162162162161</v>
      </c>
      <c r="O99" s="76">
        <f>SUM(O92:O98)</f>
        <v>123</v>
      </c>
      <c r="P99" s="81">
        <f t="shared" si="68"/>
        <v>83.108108108108098</v>
      </c>
    </row>
    <row r="100" spans="1:16" ht="11.25" customHeight="1"/>
    <row r="101" spans="1:16" ht="16.5" customHeight="1">
      <c r="A101" s="70" t="s">
        <v>72</v>
      </c>
    </row>
    <row r="102" spans="1:16">
      <c r="A102" s="110"/>
      <c r="D102" s="238" t="s">
        <v>1</v>
      </c>
      <c r="E102" s="240"/>
      <c r="F102" s="238" t="s">
        <v>2</v>
      </c>
      <c r="G102" s="239"/>
      <c r="H102" s="239"/>
      <c r="I102" s="240"/>
      <c r="J102" s="241" t="s">
        <v>3</v>
      </c>
      <c r="K102" s="242"/>
      <c r="L102" s="142" t="s">
        <v>4</v>
      </c>
    </row>
    <row r="103" spans="1:16" ht="26.25" customHeight="1">
      <c r="A103" s="137" t="s">
        <v>5</v>
      </c>
      <c r="B103" s="137" t="s">
        <v>6</v>
      </c>
      <c r="C103" s="137" t="s">
        <v>7</v>
      </c>
      <c r="D103" s="137" t="s">
        <v>8</v>
      </c>
      <c r="E103" s="137" t="s">
        <v>9</v>
      </c>
      <c r="F103" s="137" t="s">
        <v>10</v>
      </c>
      <c r="G103" s="137" t="s">
        <v>11</v>
      </c>
      <c r="H103" s="137" t="s">
        <v>12</v>
      </c>
      <c r="I103" s="137" t="s">
        <v>13</v>
      </c>
      <c r="J103" s="137" t="s">
        <v>14</v>
      </c>
      <c r="K103" s="137" t="s">
        <v>15</v>
      </c>
      <c r="L103" s="137" t="s">
        <v>16</v>
      </c>
      <c r="M103" s="138" t="s">
        <v>17</v>
      </c>
      <c r="N103" s="138" t="s">
        <v>18</v>
      </c>
      <c r="O103" s="138" t="s">
        <v>19</v>
      </c>
      <c r="P103" s="139" t="s">
        <v>20</v>
      </c>
    </row>
    <row r="104" spans="1:16" ht="13.5" customHeight="1">
      <c r="A104" s="76" t="s">
        <v>21</v>
      </c>
      <c r="B104" s="112" t="s">
        <v>73</v>
      </c>
      <c r="C104" s="79">
        <f>SUM(E104:L104)</f>
        <v>9</v>
      </c>
      <c r="D104" s="79" cm="1">
        <f t="array" ref="D104:L104">TRANSPOSE([1]Master!$AE$47:$AE$55)</f>
        <v>0</v>
      </c>
      <c r="E104" s="79">
        <v>3</v>
      </c>
      <c r="F104" s="79">
        <v>0</v>
      </c>
      <c r="G104" s="79">
        <v>0</v>
      </c>
      <c r="H104" s="79">
        <v>1</v>
      </c>
      <c r="I104" s="79">
        <v>0</v>
      </c>
      <c r="J104" s="79">
        <v>2</v>
      </c>
      <c r="K104" s="79">
        <v>3</v>
      </c>
      <c r="L104" s="79">
        <v>0</v>
      </c>
      <c r="M104" s="79">
        <f>SUM(D104:I104)</f>
        <v>4</v>
      </c>
      <c r="N104" s="80">
        <f>((M104/C104)*100)</f>
        <v>44.444444444444443</v>
      </c>
      <c r="O104" s="79">
        <f>SUM(D104:K104)</f>
        <v>9</v>
      </c>
      <c r="P104" s="80">
        <f>((O104/C104)*100)</f>
        <v>100</v>
      </c>
    </row>
    <row r="105" spans="1:16" ht="13.5" customHeight="1">
      <c r="A105" s="76" t="s">
        <v>25</v>
      </c>
      <c r="B105" s="112" t="s">
        <v>73</v>
      </c>
      <c r="C105" s="79">
        <f>SUM(E105:L105)</f>
        <v>14</v>
      </c>
      <c r="D105" s="79" cm="1">
        <f t="array" ref="D105:L105">TRANSPOSE([3]Master!$AB$46:$AB$54)</f>
        <v>0</v>
      </c>
      <c r="E105" s="79">
        <v>1</v>
      </c>
      <c r="F105" s="79">
        <v>1</v>
      </c>
      <c r="G105" s="79">
        <v>0</v>
      </c>
      <c r="H105" s="79">
        <v>0</v>
      </c>
      <c r="I105" s="79">
        <v>1</v>
      </c>
      <c r="J105" s="79">
        <v>3</v>
      </c>
      <c r="K105" s="79">
        <v>6</v>
      </c>
      <c r="L105" s="79">
        <v>2</v>
      </c>
      <c r="M105" s="79">
        <f>SUM(D105:I105)</f>
        <v>3</v>
      </c>
      <c r="N105" s="80">
        <f>((M105/C105)*100)</f>
        <v>21.428571428571427</v>
      </c>
      <c r="O105" s="79">
        <f>SUM(D105:K105)</f>
        <v>12</v>
      </c>
      <c r="P105" s="80">
        <f>((O105/C105)*100)</f>
        <v>85.714285714285708</v>
      </c>
    </row>
    <row r="106" spans="1:16">
      <c r="A106" s="76"/>
      <c r="B106" s="74" t="s">
        <v>31</v>
      </c>
      <c r="C106" s="76">
        <f>SUM(C104:C105)</f>
        <v>23</v>
      </c>
      <c r="D106" s="76">
        <f>SUM(D104:D105)</f>
        <v>0</v>
      </c>
      <c r="E106" s="76">
        <f>SUM(E104:E105)</f>
        <v>4</v>
      </c>
      <c r="F106" s="76">
        <f>SUM(F104:F105)</f>
        <v>1</v>
      </c>
      <c r="G106" s="76">
        <f>SUM(G104:G105)</f>
        <v>0</v>
      </c>
      <c r="H106" s="76">
        <f>SUM(H104:H105)</f>
        <v>1</v>
      </c>
      <c r="I106" s="76">
        <f>SUM(I104:I105)</f>
        <v>1</v>
      </c>
      <c r="J106" s="76">
        <f>SUM(J104:J105)</f>
        <v>5</v>
      </c>
      <c r="K106" s="76">
        <f>SUM(K104:K105)</f>
        <v>9</v>
      </c>
      <c r="L106" s="76">
        <f>SUM(L104:L105)</f>
        <v>2</v>
      </c>
      <c r="M106" s="76">
        <f>SUM(D106:I106)</f>
        <v>7</v>
      </c>
      <c r="N106" s="81">
        <f>((M106/C106)*100)</f>
        <v>30.434782608695656</v>
      </c>
      <c r="O106" s="76">
        <f>SUM(D106:K106)</f>
        <v>21</v>
      </c>
      <c r="P106" s="81">
        <f>((O106/C106)*100)</f>
        <v>91.304347826086953</v>
      </c>
    </row>
    <row r="107" spans="1:16" ht="11.2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3"/>
      <c r="O107" s="82"/>
      <c r="P107" s="83"/>
    </row>
    <row r="108" spans="1:16" ht="15" customHeight="1">
      <c r="A108" s="70" t="s">
        <v>74</v>
      </c>
    </row>
    <row r="109" spans="1:16">
      <c r="D109" s="238" t="s">
        <v>1</v>
      </c>
      <c r="E109" s="240"/>
      <c r="F109" s="238" t="s">
        <v>2</v>
      </c>
      <c r="G109" s="239"/>
      <c r="H109" s="239"/>
      <c r="I109" s="240"/>
      <c r="J109" s="241" t="s">
        <v>3</v>
      </c>
      <c r="K109" s="242"/>
      <c r="L109" s="142" t="s">
        <v>4</v>
      </c>
    </row>
    <row r="110" spans="1:16" ht="23.25" customHeight="1">
      <c r="A110" s="137" t="s">
        <v>5</v>
      </c>
      <c r="B110" s="137" t="s">
        <v>6</v>
      </c>
      <c r="C110" s="137" t="s">
        <v>7</v>
      </c>
      <c r="D110" s="137" t="s">
        <v>8</v>
      </c>
      <c r="E110" s="137" t="s">
        <v>9</v>
      </c>
      <c r="F110" s="137" t="s">
        <v>10</v>
      </c>
      <c r="G110" s="137" t="s">
        <v>11</v>
      </c>
      <c r="H110" s="137" t="s">
        <v>12</v>
      </c>
      <c r="I110" s="137" t="s">
        <v>13</v>
      </c>
      <c r="J110" s="137" t="s">
        <v>14</v>
      </c>
      <c r="K110" s="137" t="s">
        <v>15</v>
      </c>
      <c r="L110" s="137" t="s">
        <v>16</v>
      </c>
      <c r="M110" s="138" t="s">
        <v>17</v>
      </c>
      <c r="N110" s="138" t="s">
        <v>18</v>
      </c>
      <c r="O110" s="138" t="s">
        <v>19</v>
      </c>
      <c r="P110" s="139" t="s">
        <v>20</v>
      </c>
    </row>
    <row r="111" spans="1:16" ht="13.5">
      <c r="A111" s="78" t="s">
        <v>25</v>
      </c>
      <c r="B111" s="113" t="s">
        <v>75</v>
      </c>
      <c r="C111" s="106">
        <f>SUM(D111:L111)</f>
        <v>10</v>
      </c>
      <c r="D111" s="106" cm="1">
        <f t="array" ref="D111:L111">TRANSPOSE([3]Master!$Y$46:$Y$54)</f>
        <v>0</v>
      </c>
      <c r="E111" s="106">
        <v>1</v>
      </c>
      <c r="F111" s="106">
        <v>0</v>
      </c>
      <c r="G111" s="106">
        <v>0</v>
      </c>
      <c r="H111" s="106">
        <v>2</v>
      </c>
      <c r="I111" s="106">
        <v>5</v>
      </c>
      <c r="J111" s="106">
        <v>0</v>
      </c>
      <c r="K111" s="106">
        <v>2</v>
      </c>
      <c r="L111" s="106">
        <v>0</v>
      </c>
      <c r="M111" s="114">
        <f>SUM(D111:I111)</f>
        <v>8</v>
      </c>
      <c r="N111" s="80">
        <f>((M111/C111)*100)</f>
        <v>80</v>
      </c>
      <c r="O111" s="114">
        <f>SUM(D111:K111)</f>
        <v>10</v>
      </c>
      <c r="P111" s="80">
        <f>((O111/C111)*100)</f>
        <v>100</v>
      </c>
    </row>
    <row r="112" spans="1:16" ht="13.5">
      <c r="A112" s="107" t="s">
        <v>29</v>
      </c>
      <c r="B112" s="228" t="s">
        <v>75</v>
      </c>
      <c r="C112" s="106">
        <f>SUM(D112:L112)</f>
        <v>1</v>
      </c>
      <c r="D112" s="106" cm="1">
        <f t="array" ref="D112:L112">TRANSPOSE([13]Master!$AD$47:$AD$55)</f>
        <v>0</v>
      </c>
      <c r="E112" s="106">
        <v>0</v>
      </c>
      <c r="F112" s="106">
        <v>0</v>
      </c>
      <c r="G112" s="106">
        <v>0</v>
      </c>
      <c r="H112" s="106">
        <v>0</v>
      </c>
      <c r="I112" s="106">
        <v>0</v>
      </c>
      <c r="J112" s="106">
        <v>1</v>
      </c>
      <c r="K112" s="106">
        <v>0</v>
      </c>
      <c r="L112" s="106">
        <v>0</v>
      </c>
      <c r="M112" s="114">
        <f>SUM(D112:I112)</f>
        <v>0</v>
      </c>
      <c r="N112" s="80">
        <f>((M112/C112)*100)</f>
        <v>0</v>
      </c>
      <c r="O112" s="114">
        <f>SUM(D112:K112)</f>
        <v>1</v>
      </c>
      <c r="P112" s="80">
        <f>((O112/C112)*100)</f>
        <v>100</v>
      </c>
    </row>
    <row r="113" spans="1:16">
      <c r="A113" s="73"/>
      <c r="B113" s="74" t="s">
        <v>31</v>
      </c>
      <c r="C113" s="76">
        <f>SUM(C111:C112)</f>
        <v>11</v>
      </c>
      <c r="D113" s="76">
        <f>SUM(D111:D112)</f>
        <v>0</v>
      </c>
      <c r="E113" s="76">
        <f>SUM(E111:E112)</f>
        <v>1</v>
      </c>
      <c r="F113" s="76">
        <f>SUM(F111:F112)</f>
        <v>0</v>
      </c>
      <c r="G113" s="76">
        <f>SUM(G111:G112)</f>
        <v>0</v>
      </c>
      <c r="H113" s="76">
        <f>SUM(H111:H112)</f>
        <v>2</v>
      </c>
      <c r="I113" s="76">
        <f>SUM(I111:I112)</f>
        <v>5</v>
      </c>
      <c r="J113" s="76">
        <f>SUM(J111:J112)</f>
        <v>1</v>
      </c>
      <c r="K113" s="76">
        <f>SUM(K111:K112)</f>
        <v>2</v>
      </c>
      <c r="L113" s="76">
        <f>SUM(L111:L112)</f>
        <v>0</v>
      </c>
      <c r="M113" s="76">
        <f>SUM(D113:I113)</f>
        <v>8</v>
      </c>
      <c r="N113" s="81">
        <f>((M113/C113)*100)</f>
        <v>72.727272727272734</v>
      </c>
      <c r="O113" s="76">
        <f>SUM(D113:K113)</f>
        <v>11</v>
      </c>
      <c r="P113" s="81">
        <f>((O113/C113)*100)</f>
        <v>100</v>
      </c>
    </row>
    <row r="114" spans="1:16" hidden="1">
      <c r="A114" s="73"/>
      <c r="B114" s="74" t="s">
        <v>31</v>
      </c>
      <c r="C114" s="76">
        <f t="shared" ref="C114:M114" si="70">SUM(C113:C113)</f>
        <v>11</v>
      </c>
      <c r="D114" s="76">
        <f t="shared" si="70"/>
        <v>0</v>
      </c>
      <c r="E114" s="76">
        <f t="shared" si="70"/>
        <v>1</v>
      </c>
      <c r="F114" s="76">
        <f t="shared" si="70"/>
        <v>0</v>
      </c>
      <c r="G114" s="76">
        <f t="shared" si="70"/>
        <v>0</v>
      </c>
      <c r="H114" s="76">
        <f t="shared" si="70"/>
        <v>2</v>
      </c>
      <c r="I114" s="76">
        <f t="shared" si="70"/>
        <v>5</v>
      </c>
      <c r="J114" s="76">
        <f t="shared" si="70"/>
        <v>1</v>
      </c>
      <c r="K114" s="76">
        <f t="shared" si="70"/>
        <v>2</v>
      </c>
      <c r="L114" s="76">
        <f t="shared" si="70"/>
        <v>0</v>
      </c>
      <c r="M114" s="76">
        <f t="shared" si="70"/>
        <v>8</v>
      </c>
      <c r="N114" s="81">
        <f>((M114/C114)*100)</f>
        <v>72.727272727272734</v>
      </c>
      <c r="O114" s="76">
        <f>SUM(O113:O113)</f>
        <v>11</v>
      </c>
      <c r="P114" s="81">
        <f>((O114/C114)*100)</f>
        <v>100</v>
      </c>
    </row>
    <row r="115" spans="1:16" ht="10.5" hidden="1" customHeight="1">
      <c r="A115" s="92" t="s">
        <v>76</v>
      </c>
    </row>
    <row r="116" spans="1:16" ht="14.25" hidden="1" customHeight="1">
      <c r="D116" s="111" t="s">
        <v>77</v>
      </c>
      <c r="E116" s="85"/>
      <c r="F116" s="73"/>
      <c r="G116" s="75" t="s">
        <v>78</v>
      </c>
      <c r="H116" s="75"/>
      <c r="I116" s="74"/>
      <c r="J116" s="84" t="s">
        <v>79</v>
      </c>
      <c r="K116" s="85"/>
      <c r="L116" s="76" t="s">
        <v>4</v>
      </c>
    </row>
    <row r="117" spans="1:16" ht="27.95" hidden="1">
      <c r="A117" s="76" t="s">
        <v>5</v>
      </c>
      <c r="B117" s="76" t="s">
        <v>6</v>
      </c>
      <c r="C117" s="76" t="s">
        <v>7</v>
      </c>
      <c r="D117" s="76">
        <v>1</v>
      </c>
      <c r="E117" s="76">
        <v>2</v>
      </c>
      <c r="F117" s="76">
        <v>3</v>
      </c>
      <c r="G117" s="76">
        <v>4</v>
      </c>
      <c r="H117" s="76">
        <v>5</v>
      </c>
      <c r="I117" s="76">
        <v>6</v>
      </c>
      <c r="J117" s="76">
        <v>7</v>
      </c>
      <c r="K117" s="76">
        <v>8</v>
      </c>
      <c r="L117" s="76">
        <v>9</v>
      </c>
      <c r="M117" s="86" t="s">
        <v>17</v>
      </c>
      <c r="N117" s="86" t="s">
        <v>18</v>
      </c>
      <c r="O117" s="86" t="s">
        <v>19</v>
      </c>
      <c r="P117" s="87" t="s">
        <v>20</v>
      </c>
    </row>
    <row r="118" spans="1:16" s="77" customFormat="1" hidden="1">
      <c r="A118" s="76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>
        <f>SUM(D118:I118)</f>
        <v>0</v>
      </c>
      <c r="N118" s="80" t="e">
        <f>((M118/C118)*100)</f>
        <v>#DIV/0!</v>
      </c>
      <c r="O118" s="79">
        <f>SUM(D118:K118)</f>
        <v>0</v>
      </c>
      <c r="P118" s="80" t="e">
        <f>((O118/C118)*100)</f>
        <v>#DIV/0!</v>
      </c>
    </row>
    <row r="119" spans="1:16" hidden="1">
      <c r="A119" s="73"/>
      <c r="B119" s="74" t="s">
        <v>31</v>
      </c>
      <c r="C119" s="76">
        <f t="shared" ref="C119:M119" si="71">SUM(C118:C118)</f>
        <v>0</v>
      </c>
      <c r="D119" s="76">
        <f t="shared" si="71"/>
        <v>0</v>
      </c>
      <c r="E119" s="76">
        <f t="shared" si="71"/>
        <v>0</v>
      </c>
      <c r="F119" s="76">
        <f t="shared" si="71"/>
        <v>0</v>
      </c>
      <c r="G119" s="76">
        <f t="shared" si="71"/>
        <v>0</v>
      </c>
      <c r="H119" s="76">
        <f t="shared" si="71"/>
        <v>0</v>
      </c>
      <c r="I119" s="76">
        <f t="shared" si="71"/>
        <v>0</v>
      </c>
      <c r="J119" s="76">
        <f t="shared" si="71"/>
        <v>0</v>
      </c>
      <c r="K119" s="76">
        <f t="shared" si="71"/>
        <v>0</v>
      </c>
      <c r="L119" s="76">
        <f t="shared" si="71"/>
        <v>0</v>
      </c>
      <c r="M119" s="76">
        <f t="shared" si="71"/>
        <v>0</v>
      </c>
      <c r="N119" s="81" t="e">
        <f>((M119/C119)*100)</f>
        <v>#DIV/0!</v>
      </c>
      <c r="O119" s="76">
        <f>SUM(O118:O118)</f>
        <v>0</v>
      </c>
      <c r="P119" s="81" t="e">
        <f>((O119/C119)*100)</f>
        <v>#DIV/0!</v>
      </c>
    </row>
    <row r="120" spans="1:16" ht="11.2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3"/>
      <c r="O120" s="82"/>
      <c r="P120" s="83"/>
    </row>
    <row r="121" spans="1:16" ht="18">
      <c r="A121" s="70" t="s">
        <v>80</v>
      </c>
    </row>
    <row r="122" spans="1:16">
      <c r="D122" s="238" t="s">
        <v>1</v>
      </c>
      <c r="E122" s="240"/>
      <c r="F122" s="238" t="s">
        <v>2</v>
      </c>
      <c r="G122" s="239"/>
      <c r="H122" s="239"/>
      <c r="I122" s="240"/>
      <c r="J122" s="241" t="s">
        <v>3</v>
      </c>
      <c r="K122" s="242"/>
      <c r="L122" s="142" t="s">
        <v>4</v>
      </c>
    </row>
    <row r="123" spans="1:16" ht="27.95">
      <c r="A123" s="137" t="s">
        <v>5</v>
      </c>
      <c r="B123" s="137" t="s">
        <v>6</v>
      </c>
      <c r="C123" s="137" t="s">
        <v>7</v>
      </c>
      <c r="D123" s="137" t="s">
        <v>8</v>
      </c>
      <c r="E123" s="137" t="s">
        <v>9</v>
      </c>
      <c r="F123" s="137" t="s">
        <v>10</v>
      </c>
      <c r="G123" s="137" t="s">
        <v>11</v>
      </c>
      <c r="H123" s="137" t="s">
        <v>12</v>
      </c>
      <c r="I123" s="137" t="s">
        <v>13</v>
      </c>
      <c r="J123" s="137" t="s">
        <v>14</v>
      </c>
      <c r="K123" s="137" t="s">
        <v>15</v>
      </c>
      <c r="L123" s="137" t="s">
        <v>16</v>
      </c>
      <c r="M123" s="138" t="s">
        <v>17</v>
      </c>
      <c r="N123" s="138" t="s">
        <v>18</v>
      </c>
      <c r="O123" s="138" t="s">
        <v>19</v>
      </c>
      <c r="P123" s="139" t="s">
        <v>20</v>
      </c>
    </row>
    <row r="124" spans="1:16" ht="14.25" customHeight="1">
      <c r="A124" s="76" t="s">
        <v>25</v>
      </c>
      <c r="B124" s="113" t="s">
        <v>81</v>
      </c>
      <c r="C124" s="79">
        <f>SUM(D124:L124)</f>
        <v>24</v>
      </c>
      <c r="D124" s="79" cm="1">
        <f t="array" ref="D124:L124">TRANSPOSE([3]Master!$AK$46:$AK$54)</f>
        <v>0</v>
      </c>
      <c r="E124" s="79">
        <v>0</v>
      </c>
      <c r="F124" s="79">
        <v>0</v>
      </c>
      <c r="G124" s="79">
        <v>2</v>
      </c>
      <c r="H124" s="79">
        <v>2</v>
      </c>
      <c r="I124" s="79">
        <v>1</v>
      </c>
      <c r="J124" s="79">
        <v>1</v>
      </c>
      <c r="K124" s="79">
        <v>6</v>
      </c>
      <c r="L124" s="79">
        <v>12</v>
      </c>
      <c r="M124" s="79">
        <f>SUM(D124:I124)</f>
        <v>5</v>
      </c>
      <c r="N124" s="80">
        <f>((M124/C124)*100)</f>
        <v>20.833333333333336</v>
      </c>
      <c r="O124" s="79">
        <f>SUM(D124:K124)</f>
        <v>12</v>
      </c>
      <c r="P124" s="80">
        <f>((O124/C124)*100)</f>
        <v>50</v>
      </c>
    </row>
    <row r="125" spans="1:16" ht="14.25" customHeight="1">
      <c r="A125" s="233" t="s">
        <v>26</v>
      </c>
      <c r="B125" s="113" t="s">
        <v>82</v>
      </c>
      <c r="C125" s="79">
        <f t="shared" ref="C125:C126" si="72">SUM(D125:L125)</f>
        <v>23</v>
      </c>
      <c r="D125" s="79" cm="1">
        <f t="array" ref="D125:L125">TRANSPOSE([4]Master!$AD$47:$AD$55)</f>
        <v>0</v>
      </c>
      <c r="E125" s="79">
        <v>0</v>
      </c>
      <c r="F125" s="79">
        <v>0</v>
      </c>
      <c r="G125" s="79">
        <v>0</v>
      </c>
      <c r="H125" s="79">
        <v>0</v>
      </c>
      <c r="I125" s="79">
        <v>5</v>
      </c>
      <c r="J125" s="79">
        <v>6</v>
      </c>
      <c r="K125" s="79">
        <v>5</v>
      </c>
      <c r="L125" s="79">
        <v>7</v>
      </c>
      <c r="M125" s="79">
        <f>SUM(D125:I125)</f>
        <v>5</v>
      </c>
      <c r="N125" s="80">
        <f>((M125/C125)*100)</f>
        <v>21.739130434782609</v>
      </c>
      <c r="O125" s="79">
        <f>SUM(D125:K125)</f>
        <v>16</v>
      </c>
      <c r="P125" s="80">
        <f>((O125/C125)*100)</f>
        <v>69.565217391304344</v>
      </c>
    </row>
    <row r="126" spans="1:16" ht="14.25" customHeight="1">
      <c r="A126" s="232" t="s">
        <v>27</v>
      </c>
      <c r="B126" s="228" t="s">
        <v>83</v>
      </c>
      <c r="C126" s="79">
        <f t="shared" si="72"/>
        <v>26</v>
      </c>
      <c r="D126" s="79" cm="1">
        <f t="array" ref="D126:L126">TRANSPOSE([12]Master!$AH$47:$AH$55)</f>
        <v>0</v>
      </c>
      <c r="E126" s="79">
        <v>0</v>
      </c>
      <c r="F126" s="79">
        <v>0</v>
      </c>
      <c r="G126" s="79">
        <v>0</v>
      </c>
      <c r="H126" s="79">
        <v>0</v>
      </c>
      <c r="I126" s="79">
        <v>1</v>
      </c>
      <c r="J126" s="79">
        <v>2</v>
      </c>
      <c r="K126" s="79">
        <v>7</v>
      </c>
      <c r="L126" s="79">
        <v>16</v>
      </c>
      <c r="M126" s="79">
        <f>SUM(D126:I126)</f>
        <v>1</v>
      </c>
      <c r="N126" s="80">
        <f>((M126/C126)*100)</f>
        <v>3.8461538461538463</v>
      </c>
      <c r="O126" s="79">
        <f>SUM(D126:K126)</f>
        <v>10</v>
      </c>
      <c r="P126" s="80">
        <f>((O126/C126)*100)</f>
        <v>38.461538461538467</v>
      </c>
    </row>
    <row r="127" spans="1:16" ht="13.5" customHeight="1">
      <c r="A127" s="234"/>
      <c r="B127" s="74" t="s">
        <v>31</v>
      </c>
      <c r="C127" s="76">
        <f>SUM(C124:C125)</f>
        <v>47</v>
      </c>
      <c r="D127" s="76">
        <f>SUM(D124:D126)</f>
        <v>0</v>
      </c>
      <c r="E127" s="76">
        <f>SUM(E124:E126)</f>
        <v>0</v>
      </c>
      <c r="F127" s="76">
        <f>SUM(F124:F126)</f>
        <v>0</v>
      </c>
      <c r="G127" s="76">
        <f>SUM(G124:G126)</f>
        <v>2</v>
      </c>
      <c r="H127" s="76">
        <f>SUM(H124:H126)</f>
        <v>2</v>
      </c>
      <c r="I127" s="76">
        <f>SUM(I124:I126)</f>
        <v>7</v>
      </c>
      <c r="J127" s="76">
        <f>SUM(J124:J126)</f>
        <v>9</v>
      </c>
      <c r="K127" s="76">
        <f>SUM(K124:K126)</f>
        <v>18</v>
      </c>
      <c r="L127" s="76">
        <f>SUM(L124:L126)</f>
        <v>35</v>
      </c>
      <c r="M127" s="76">
        <f>SUM(M124:M126)</f>
        <v>11</v>
      </c>
      <c r="N127" s="81">
        <f>((M127/C127)*100)</f>
        <v>23.404255319148938</v>
      </c>
      <c r="O127" s="76">
        <f>SUM(O124:O126)</f>
        <v>38</v>
      </c>
      <c r="P127" s="81">
        <f>((O127/C127)*100)</f>
        <v>80.851063829787222</v>
      </c>
    </row>
    <row r="128" spans="1:16" ht="10.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3"/>
      <c r="O128" s="82"/>
      <c r="P128" s="83"/>
    </row>
    <row r="129" spans="1:16" ht="21" customHeight="1">
      <c r="A129" s="70" t="s">
        <v>84</v>
      </c>
    </row>
    <row r="130" spans="1:16" ht="13.5" customHeight="1">
      <c r="D130" s="238" t="s">
        <v>1</v>
      </c>
      <c r="E130" s="240"/>
      <c r="F130" s="238" t="s">
        <v>2</v>
      </c>
      <c r="G130" s="239"/>
      <c r="H130" s="239"/>
      <c r="I130" s="240"/>
      <c r="J130" s="241" t="s">
        <v>3</v>
      </c>
      <c r="K130" s="242"/>
      <c r="L130" s="142" t="s">
        <v>4</v>
      </c>
    </row>
    <row r="131" spans="1:16" ht="27.95">
      <c r="A131" s="137" t="s">
        <v>5</v>
      </c>
      <c r="B131" s="137" t="s">
        <v>6</v>
      </c>
      <c r="C131" s="137" t="s">
        <v>7</v>
      </c>
      <c r="D131" s="137" t="s">
        <v>8</v>
      </c>
      <c r="E131" s="137" t="s">
        <v>9</v>
      </c>
      <c r="F131" s="137" t="s">
        <v>10</v>
      </c>
      <c r="G131" s="137" t="s">
        <v>11</v>
      </c>
      <c r="H131" s="137" t="s">
        <v>12</v>
      </c>
      <c r="I131" s="137" t="s">
        <v>13</v>
      </c>
      <c r="J131" s="137" t="s">
        <v>14</v>
      </c>
      <c r="K131" s="137" t="s">
        <v>15</v>
      </c>
      <c r="L131" s="137" t="s">
        <v>16</v>
      </c>
      <c r="M131" s="138" t="s">
        <v>17</v>
      </c>
      <c r="N131" s="138" t="s">
        <v>18</v>
      </c>
      <c r="O131" s="138" t="s">
        <v>19</v>
      </c>
      <c r="P131" s="139" t="s">
        <v>20</v>
      </c>
    </row>
    <row r="132" spans="1:16">
      <c r="A132" s="76" t="s">
        <v>21</v>
      </c>
      <c r="B132" s="113" t="s">
        <v>85</v>
      </c>
      <c r="C132" s="79">
        <f>SUM(D132:L132)</f>
        <v>12</v>
      </c>
      <c r="D132" s="79" cm="1">
        <f t="array" ref="D132:L132">TRANSPOSE([1]Master!$AH$47:$AH$55)</f>
        <v>0</v>
      </c>
      <c r="E132" s="79">
        <v>0</v>
      </c>
      <c r="F132" s="79">
        <v>1</v>
      </c>
      <c r="G132" s="79">
        <v>0</v>
      </c>
      <c r="H132" s="79">
        <v>2</v>
      </c>
      <c r="I132" s="79">
        <v>1</v>
      </c>
      <c r="J132" s="79">
        <v>5</v>
      </c>
      <c r="K132" s="79">
        <v>2</v>
      </c>
      <c r="L132" s="79">
        <v>1</v>
      </c>
      <c r="M132" s="79">
        <f>SUM(D132:I132)</f>
        <v>4</v>
      </c>
      <c r="N132" s="80">
        <f>((M132/C132)*100)</f>
        <v>33.333333333333329</v>
      </c>
      <c r="O132" s="79">
        <f>SUM(D132:K132)</f>
        <v>11</v>
      </c>
      <c r="P132" s="80">
        <f>((O132/C132)*100)</f>
        <v>91.666666666666657</v>
      </c>
    </row>
    <row r="133" spans="1:16">
      <c r="A133" s="73"/>
      <c r="B133" s="74" t="s">
        <v>31</v>
      </c>
      <c r="C133" s="76">
        <f t="shared" ref="C133:M133" si="73">SUM(C132:C132)</f>
        <v>12</v>
      </c>
      <c r="D133" s="76">
        <f t="shared" si="73"/>
        <v>0</v>
      </c>
      <c r="E133" s="76">
        <f t="shared" si="73"/>
        <v>0</v>
      </c>
      <c r="F133" s="76">
        <f t="shared" si="73"/>
        <v>1</v>
      </c>
      <c r="G133" s="76">
        <f t="shared" si="73"/>
        <v>0</v>
      </c>
      <c r="H133" s="76">
        <f t="shared" si="73"/>
        <v>2</v>
      </c>
      <c r="I133" s="76">
        <f t="shared" si="73"/>
        <v>1</v>
      </c>
      <c r="J133" s="76">
        <f t="shared" si="73"/>
        <v>5</v>
      </c>
      <c r="K133" s="76">
        <f t="shared" si="73"/>
        <v>2</v>
      </c>
      <c r="L133" s="76">
        <f t="shared" si="73"/>
        <v>1</v>
      </c>
      <c r="M133" s="76">
        <f t="shared" si="73"/>
        <v>4</v>
      </c>
      <c r="N133" s="81">
        <f>((M133/C133)*100)</f>
        <v>33.333333333333329</v>
      </c>
      <c r="O133" s="76">
        <f>SUM(O132:O132)</f>
        <v>11</v>
      </c>
      <c r="P133" s="81">
        <f>((O133/C133)*100)</f>
        <v>91.666666666666657</v>
      </c>
    </row>
    <row r="134" spans="1:16" ht="15.7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3"/>
      <c r="O134" s="82"/>
      <c r="P134" s="83"/>
    </row>
    <row r="135" spans="1:16" ht="18">
      <c r="A135" s="70" t="s">
        <v>86</v>
      </c>
    </row>
    <row r="136" spans="1:16">
      <c r="D136" s="238" t="s">
        <v>1</v>
      </c>
      <c r="E136" s="240"/>
      <c r="F136" s="238" t="s">
        <v>2</v>
      </c>
      <c r="G136" s="239"/>
      <c r="H136" s="239"/>
      <c r="I136" s="240"/>
      <c r="J136" s="241" t="s">
        <v>3</v>
      </c>
      <c r="K136" s="242"/>
      <c r="L136" s="142" t="s">
        <v>4</v>
      </c>
    </row>
    <row r="137" spans="1:16" ht="27.95">
      <c r="A137" s="137" t="s">
        <v>5</v>
      </c>
      <c r="B137" s="137" t="s">
        <v>6</v>
      </c>
      <c r="C137" s="137" t="s">
        <v>7</v>
      </c>
      <c r="D137" s="137" t="s">
        <v>8</v>
      </c>
      <c r="E137" s="137" t="s">
        <v>9</v>
      </c>
      <c r="F137" s="137" t="s">
        <v>10</v>
      </c>
      <c r="G137" s="137" t="s">
        <v>11</v>
      </c>
      <c r="H137" s="137" t="s">
        <v>12</v>
      </c>
      <c r="I137" s="137" t="s">
        <v>13</v>
      </c>
      <c r="J137" s="137" t="s">
        <v>14</v>
      </c>
      <c r="K137" s="137" t="s">
        <v>15</v>
      </c>
      <c r="L137" s="137" t="s">
        <v>16</v>
      </c>
      <c r="M137" s="138" t="s">
        <v>17</v>
      </c>
      <c r="N137" s="138" t="s">
        <v>18</v>
      </c>
      <c r="O137" s="138" t="s">
        <v>19</v>
      </c>
      <c r="P137" s="139" t="s">
        <v>20</v>
      </c>
    </row>
    <row r="138" spans="1:16">
      <c r="A138" s="76" t="s">
        <v>23</v>
      </c>
      <c r="B138" s="112" t="s">
        <v>87</v>
      </c>
      <c r="C138" s="79">
        <f>SUM(D138:L138)</f>
        <v>5</v>
      </c>
      <c r="D138" s="79" cm="1">
        <f t="array" ref="D138:L138">TRANSPOSE([2]Master!$AE$47:$AE$55)</f>
        <v>0</v>
      </c>
      <c r="E138" s="79">
        <v>1</v>
      </c>
      <c r="F138" s="79">
        <v>1</v>
      </c>
      <c r="G138" s="79">
        <v>0</v>
      </c>
      <c r="H138" s="79">
        <v>0</v>
      </c>
      <c r="I138" s="79">
        <v>0</v>
      </c>
      <c r="J138" s="79">
        <v>0</v>
      </c>
      <c r="K138" s="79">
        <v>1</v>
      </c>
      <c r="L138" s="79">
        <v>2</v>
      </c>
      <c r="M138" s="79">
        <f>SUM(D138:I138)</f>
        <v>2</v>
      </c>
      <c r="N138" s="116">
        <f>((M138/C138)*100)</f>
        <v>40</v>
      </c>
      <c r="O138" s="79">
        <f>SUM(D138:K138)</f>
        <v>3</v>
      </c>
      <c r="P138" s="80">
        <f>((O138/C138)*100)</f>
        <v>60</v>
      </c>
    </row>
    <row r="139" spans="1:16">
      <c r="A139" s="76" t="s">
        <v>25</v>
      </c>
      <c r="B139" s="112" t="s">
        <v>87</v>
      </c>
      <c r="C139" s="79">
        <f t="shared" ref="C139:C143" si="74">SUM(D139:L139)</f>
        <v>24</v>
      </c>
      <c r="D139" s="79" cm="1">
        <f t="array" ref="D139:L139">TRANSPOSE([3]Master!$AE$46:$AE$54)</f>
        <v>0</v>
      </c>
      <c r="E139" s="79">
        <v>5</v>
      </c>
      <c r="F139" s="79">
        <v>2</v>
      </c>
      <c r="G139" s="79">
        <v>5</v>
      </c>
      <c r="H139" s="79">
        <v>4</v>
      </c>
      <c r="I139" s="79">
        <v>2</v>
      </c>
      <c r="J139" s="79">
        <v>6</v>
      </c>
      <c r="K139" s="79">
        <v>0</v>
      </c>
      <c r="L139" s="79">
        <v>0</v>
      </c>
      <c r="M139" s="79">
        <f t="shared" ref="M139" si="75">SUM(D139:I139)</f>
        <v>18</v>
      </c>
      <c r="N139" s="116">
        <f t="shared" ref="N139" si="76">((M139/C139)*100)</f>
        <v>75</v>
      </c>
      <c r="O139" s="79">
        <f t="shared" ref="O139" si="77">SUM(D139:K139)</f>
        <v>24</v>
      </c>
      <c r="P139" s="80">
        <f>((O139/C139)*100)</f>
        <v>100</v>
      </c>
    </row>
    <row r="140" spans="1:16">
      <c r="A140" s="76" t="s">
        <v>26</v>
      </c>
      <c r="B140" s="112" t="s">
        <v>88</v>
      </c>
      <c r="C140" s="79">
        <f t="shared" si="74"/>
        <v>24</v>
      </c>
      <c r="D140" s="79" cm="1">
        <f t="array" ref="D140:L140">TRANSPOSE([8]Master!$X$47:$X$55)</f>
        <v>0</v>
      </c>
      <c r="E140" s="79">
        <v>0</v>
      </c>
      <c r="F140" s="79">
        <v>0</v>
      </c>
      <c r="G140" s="79">
        <v>3</v>
      </c>
      <c r="H140" s="79">
        <v>10</v>
      </c>
      <c r="I140" s="79">
        <v>6</v>
      </c>
      <c r="J140" s="79">
        <v>2</v>
      </c>
      <c r="K140" s="79">
        <v>3</v>
      </c>
      <c r="L140" s="79">
        <v>0</v>
      </c>
      <c r="M140" s="79">
        <f>SUM(D140:I140)</f>
        <v>19</v>
      </c>
      <c r="N140" s="116">
        <f>((M140/C140)*100)</f>
        <v>79.166666666666657</v>
      </c>
      <c r="O140" s="79">
        <f>SUM(D140:K140)</f>
        <v>24</v>
      </c>
      <c r="P140" s="80">
        <f>((O140/C140)*100)</f>
        <v>100</v>
      </c>
    </row>
    <row r="141" spans="1:16">
      <c r="A141" s="76" t="s">
        <v>27</v>
      </c>
      <c r="B141" s="112" t="s">
        <v>88</v>
      </c>
      <c r="C141" s="79">
        <f t="shared" si="74"/>
        <v>17</v>
      </c>
      <c r="D141" s="79" cm="1">
        <f t="array" ref="D141:L141">TRANSPOSE([12]Master!$AB$47:$AB$55)</f>
        <v>0</v>
      </c>
      <c r="E141" s="79">
        <v>0</v>
      </c>
      <c r="F141" s="79">
        <v>0</v>
      </c>
      <c r="G141" s="79">
        <v>0</v>
      </c>
      <c r="H141" s="79">
        <v>2</v>
      </c>
      <c r="I141" s="79">
        <v>0</v>
      </c>
      <c r="J141" s="79">
        <v>7</v>
      </c>
      <c r="K141" s="79">
        <v>4</v>
      </c>
      <c r="L141" s="79">
        <v>4</v>
      </c>
      <c r="M141" s="79">
        <f t="shared" ref="M141:M143" si="78">SUM(D141:I141)</f>
        <v>2</v>
      </c>
      <c r="N141" s="116">
        <f t="shared" ref="N141:N143" si="79">((M141/C141)*100)</f>
        <v>11.76470588235294</v>
      </c>
      <c r="O141" s="79">
        <f t="shared" ref="O141:O143" si="80">SUM(D141:K141)</f>
        <v>13</v>
      </c>
      <c r="P141" s="80">
        <f>((O141/C141)*100)</f>
        <v>76.470588235294116</v>
      </c>
    </row>
    <row r="142" spans="1:16" ht="13.5">
      <c r="A142" s="73" t="s">
        <v>29</v>
      </c>
      <c r="B142" s="121" t="s">
        <v>87</v>
      </c>
      <c r="C142" s="79">
        <f t="shared" si="74"/>
        <v>13</v>
      </c>
      <c r="D142" s="79" cm="1">
        <f t="array" ref="D142:L142">TRANSPOSE([13]Master!$AA$47:$AA$55)</f>
        <v>0</v>
      </c>
      <c r="E142" s="79">
        <v>3</v>
      </c>
      <c r="F142" s="79">
        <v>0</v>
      </c>
      <c r="G142" s="79">
        <v>0</v>
      </c>
      <c r="H142" s="79">
        <v>1</v>
      </c>
      <c r="I142" s="79">
        <v>4</v>
      </c>
      <c r="J142" s="79">
        <v>2</v>
      </c>
      <c r="K142" s="79">
        <v>0</v>
      </c>
      <c r="L142" s="79">
        <v>3</v>
      </c>
      <c r="M142" s="79">
        <f t="shared" si="78"/>
        <v>8</v>
      </c>
      <c r="N142" s="116">
        <f t="shared" si="79"/>
        <v>61.53846153846154</v>
      </c>
      <c r="O142" s="79">
        <f t="shared" si="80"/>
        <v>10</v>
      </c>
      <c r="P142" s="80">
        <f t="shared" ref="P142:P143" si="81">((O142/C142)*100)</f>
        <v>76.923076923076934</v>
      </c>
    </row>
    <row r="143" spans="1:16" ht="13.5">
      <c r="A143" s="73" t="s">
        <v>30</v>
      </c>
      <c r="B143" s="121" t="s">
        <v>87</v>
      </c>
      <c r="C143" s="79">
        <f t="shared" si="74"/>
        <v>20</v>
      </c>
      <c r="D143" s="79" cm="1">
        <f t="array" ref="D143:L143">TRANSPOSE([14]Master!$AB$47:$AB$55)</f>
        <v>0</v>
      </c>
      <c r="E143" s="79">
        <v>4</v>
      </c>
      <c r="F143" s="79">
        <v>6</v>
      </c>
      <c r="G143" s="79">
        <v>0</v>
      </c>
      <c r="H143" s="79">
        <v>3</v>
      </c>
      <c r="I143" s="79">
        <v>2</v>
      </c>
      <c r="J143" s="79">
        <v>4</v>
      </c>
      <c r="K143" s="79">
        <v>1</v>
      </c>
      <c r="L143" s="79">
        <v>0</v>
      </c>
      <c r="M143" s="79">
        <f t="shared" si="78"/>
        <v>15</v>
      </c>
      <c r="N143" s="116">
        <f t="shared" si="79"/>
        <v>75</v>
      </c>
      <c r="O143" s="79">
        <f t="shared" si="80"/>
        <v>20</v>
      </c>
      <c r="P143" s="80">
        <f t="shared" si="81"/>
        <v>100</v>
      </c>
    </row>
    <row r="144" spans="1:16" ht="13.5" customHeight="1">
      <c r="A144" s="73"/>
      <c r="B144" s="74" t="s">
        <v>31</v>
      </c>
      <c r="C144" s="76">
        <f>SUM(C140:C143)</f>
        <v>74</v>
      </c>
      <c r="D144" s="76">
        <f>SUM(D140:D143)</f>
        <v>0</v>
      </c>
      <c r="E144" s="76">
        <f>SUM(E140:E143)</f>
        <v>7</v>
      </c>
      <c r="F144" s="76">
        <f>SUM(F140:F143)</f>
        <v>6</v>
      </c>
      <c r="G144" s="76">
        <f>SUM(G140:G143)</f>
        <v>3</v>
      </c>
      <c r="H144" s="76">
        <f>SUM(H140:H143)</f>
        <v>16</v>
      </c>
      <c r="I144" s="76">
        <f>SUM(I140:I143)</f>
        <v>12</v>
      </c>
      <c r="J144" s="76">
        <f>SUM(J140:J143)</f>
        <v>15</v>
      </c>
      <c r="K144" s="76">
        <f>SUM(K140:K143)</f>
        <v>8</v>
      </c>
      <c r="L144" s="76">
        <f>SUM(L140:L143)</f>
        <v>7</v>
      </c>
      <c r="M144" s="76">
        <f>SUM(D144:I144)</f>
        <v>44</v>
      </c>
      <c r="N144" s="81">
        <f>((M144/C144)*100)</f>
        <v>59.45945945945946</v>
      </c>
      <c r="O144" s="76">
        <f>SUM(D144:K144)</f>
        <v>67</v>
      </c>
      <c r="P144" s="81">
        <f>((O144/C144)*100)</f>
        <v>90.540540540540533</v>
      </c>
    </row>
    <row r="145" spans="1:16" ht="12" customHeight="1">
      <c r="A145" s="117"/>
    </row>
    <row r="146" spans="1:16" ht="18" customHeight="1">
      <c r="A146" s="117"/>
    </row>
    <row r="147" spans="1:16" ht="15.75" customHeight="1">
      <c r="A147" s="70" t="s">
        <v>89</v>
      </c>
    </row>
    <row r="148" spans="1:16" s="77" customFormat="1">
      <c r="A148" s="110"/>
      <c r="B148" s="71"/>
      <c r="C148" s="71"/>
      <c r="D148" s="238" t="s">
        <v>1</v>
      </c>
      <c r="E148" s="240"/>
      <c r="F148" s="238" t="s">
        <v>2</v>
      </c>
      <c r="G148" s="239"/>
      <c r="H148" s="239"/>
      <c r="I148" s="240"/>
      <c r="J148" s="241" t="s">
        <v>3</v>
      </c>
      <c r="K148" s="242"/>
      <c r="L148" s="142" t="s">
        <v>4</v>
      </c>
      <c r="M148" s="71"/>
      <c r="N148" s="71"/>
      <c r="O148" s="71"/>
      <c r="P148" s="72"/>
    </row>
    <row r="149" spans="1:16" s="77" customFormat="1" ht="27.95">
      <c r="A149" s="137" t="s">
        <v>5</v>
      </c>
      <c r="B149" s="137" t="s">
        <v>6</v>
      </c>
      <c r="C149" s="137" t="s">
        <v>7</v>
      </c>
      <c r="D149" s="137" t="s">
        <v>8</v>
      </c>
      <c r="E149" s="137" t="s">
        <v>9</v>
      </c>
      <c r="F149" s="137" t="s">
        <v>10</v>
      </c>
      <c r="G149" s="137" t="s">
        <v>11</v>
      </c>
      <c r="H149" s="137" t="s">
        <v>12</v>
      </c>
      <c r="I149" s="137" t="s">
        <v>13</v>
      </c>
      <c r="J149" s="137" t="s">
        <v>14</v>
      </c>
      <c r="K149" s="137" t="s">
        <v>15</v>
      </c>
      <c r="L149" s="137" t="s">
        <v>16</v>
      </c>
      <c r="M149" s="138" t="s">
        <v>17</v>
      </c>
      <c r="N149" s="138" t="s">
        <v>18</v>
      </c>
      <c r="O149" s="138" t="s">
        <v>19</v>
      </c>
      <c r="P149" s="139" t="s">
        <v>20</v>
      </c>
    </row>
    <row r="150" spans="1:16">
      <c r="A150" s="76" t="s">
        <v>25</v>
      </c>
      <c r="B150" s="106" t="s">
        <v>90</v>
      </c>
      <c r="C150" s="106">
        <f>SUM(D150:L150)</f>
        <v>5</v>
      </c>
      <c r="D150" s="106" cm="1">
        <f t="array" ref="D150:L150">TRANSPOSE([3]Master!$AH$46:$AH$54)</f>
        <v>0</v>
      </c>
      <c r="E150" s="106">
        <v>0</v>
      </c>
      <c r="F150" s="106">
        <v>1</v>
      </c>
      <c r="G150" s="106">
        <v>0</v>
      </c>
      <c r="H150" s="106">
        <v>1</v>
      </c>
      <c r="I150" s="106">
        <v>1</v>
      </c>
      <c r="J150" s="106">
        <v>0</v>
      </c>
      <c r="K150" s="106">
        <v>1</v>
      </c>
      <c r="L150" s="79">
        <v>1</v>
      </c>
      <c r="M150" s="79">
        <f>SUM(D150:I150)</f>
        <v>3</v>
      </c>
      <c r="N150" s="116">
        <f t="shared" ref="N150" si="82">((M150/C150)*100)</f>
        <v>60</v>
      </c>
      <c r="O150" s="79">
        <f t="shared" ref="O150" si="83">SUM(D150:K150)</f>
        <v>4</v>
      </c>
      <c r="P150" s="80">
        <f>((O150/C150)*100)</f>
        <v>80</v>
      </c>
    </row>
    <row r="151" spans="1:16" s="77" customFormat="1" ht="13.5">
      <c r="A151" s="76"/>
      <c r="B151" s="74" t="s">
        <v>31</v>
      </c>
      <c r="C151" s="76">
        <f>SUM(C147:C150)</f>
        <v>5</v>
      </c>
      <c r="D151" s="76">
        <f>SUM(D147:D150)</f>
        <v>0</v>
      </c>
      <c r="E151" s="76">
        <f>SUM(E147:E150)</f>
        <v>0</v>
      </c>
      <c r="F151" s="76">
        <f>SUM(F147:F150)</f>
        <v>1</v>
      </c>
      <c r="G151" s="76">
        <f>SUM(G147:G150)</f>
        <v>0</v>
      </c>
      <c r="H151" s="76">
        <f>SUM(H147:H150)</f>
        <v>1</v>
      </c>
      <c r="I151" s="76">
        <f>SUM(I147:I150)</f>
        <v>1</v>
      </c>
      <c r="J151" s="76">
        <f>SUM(J147:J150)</f>
        <v>0</v>
      </c>
      <c r="K151" s="76">
        <f>SUM(K147:K150)</f>
        <v>1</v>
      </c>
      <c r="L151" s="76">
        <f>SUM(L147:L150)</f>
        <v>1</v>
      </c>
      <c r="M151" s="76">
        <f>SUM(D151:I151)</f>
        <v>3</v>
      </c>
      <c r="N151" s="81">
        <f>((M151/C151)*100)</f>
        <v>60</v>
      </c>
      <c r="O151" s="76">
        <f>SUM(D151:K151)</f>
        <v>4</v>
      </c>
      <c r="P151" s="81">
        <f>((O151/C151)*100)</f>
        <v>80</v>
      </c>
    </row>
    <row r="152" spans="1:16" s="77" customFormat="1" hidden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3"/>
      <c r="O152" s="82"/>
      <c r="P152" s="83"/>
    </row>
    <row r="153" spans="1:16" s="77" customFormat="1" ht="19.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3"/>
      <c r="O153" s="82"/>
      <c r="P153" s="83"/>
    </row>
    <row r="154" spans="1:16" ht="18">
      <c r="A154" s="70" t="s">
        <v>91</v>
      </c>
    </row>
    <row r="155" spans="1:16" s="77" customFormat="1">
      <c r="A155" s="71"/>
      <c r="B155" s="71"/>
      <c r="C155" s="71"/>
      <c r="D155" s="238" t="s">
        <v>1</v>
      </c>
      <c r="E155" s="240"/>
      <c r="F155" s="238" t="s">
        <v>2</v>
      </c>
      <c r="G155" s="239"/>
      <c r="H155" s="239"/>
      <c r="I155" s="240"/>
      <c r="J155" s="241" t="s">
        <v>3</v>
      </c>
      <c r="K155" s="242"/>
      <c r="L155" s="142" t="s">
        <v>4</v>
      </c>
      <c r="M155" s="71"/>
      <c r="N155" s="71"/>
      <c r="O155" s="71"/>
      <c r="P155" s="72"/>
    </row>
    <row r="156" spans="1:16" s="77" customFormat="1" ht="27.95">
      <c r="A156" s="137" t="s">
        <v>5</v>
      </c>
      <c r="B156" s="137" t="s">
        <v>6</v>
      </c>
      <c r="C156" s="137" t="s">
        <v>7</v>
      </c>
      <c r="D156" s="137" t="s">
        <v>8</v>
      </c>
      <c r="E156" s="137" t="s">
        <v>9</v>
      </c>
      <c r="F156" s="137" t="s">
        <v>10</v>
      </c>
      <c r="G156" s="137" t="s">
        <v>11</v>
      </c>
      <c r="H156" s="137" t="s">
        <v>12</v>
      </c>
      <c r="I156" s="137" t="s">
        <v>13</v>
      </c>
      <c r="J156" s="137" t="s">
        <v>14</v>
      </c>
      <c r="K156" s="137" t="s">
        <v>15</v>
      </c>
      <c r="L156" s="137" t="s">
        <v>16</v>
      </c>
      <c r="M156" s="138" t="s">
        <v>17</v>
      </c>
      <c r="N156" s="138" t="s">
        <v>18</v>
      </c>
      <c r="O156" s="138" t="s">
        <v>19</v>
      </c>
      <c r="P156" s="139" t="s">
        <v>20</v>
      </c>
    </row>
    <row r="157" spans="1:16" s="77" customFormat="1">
      <c r="A157" s="76" t="s">
        <v>27</v>
      </c>
      <c r="B157" s="112" t="s">
        <v>92</v>
      </c>
      <c r="C157" s="106">
        <f>SUM(D157:L157)</f>
        <v>9</v>
      </c>
      <c r="D157" s="118" cm="1">
        <f t="array" ref="D157:L157">TRANSPOSE([12]Master!$Y$47:$Y$55)</f>
        <v>0</v>
      </c>
      <c r="E157" s="118">
        <v>0</v>
      </c>
      <c r="F157" s="118">
        <v>1</v>
      </c>
      <c r="G157" s="118">
        <v>1</v>
      </c>
      <c r="H157" s="118">
        <v>4</v>
      </c>
      <c r="I157" s="118">
        <v>2</v>
      </c>
      <c r="J157" s="118">
        <v>0</v>
      </c>
      <c r="K157" s="118">
        <v>1</v>
      </c>
      <c r="L157" s="118">
        <v>0</v>
      </c>
      <c r="M157" s="79">
        <f>SUM(D157:I157)</f>
        <v>8</v>
      </c>
      <c r="N157" s="116">
        <f>((M157/C157)*100)</f>
        <v>88.888888888888886</v>
      </c>
      <c r="O157" s="79">
        <f>SUM(D157:K157)</f>
        <v>9</v>
      </c>
      <c r="P157" s="80">
        <f>((O157/C157)*100)</f>
        <v>100</v>
      </c>
    </row>
    <row r="158" spans="1:16" s="77" customFormat="1">
      <c r="A158" s="76" t="s">
        <v>29</v>
      </c>
      <c r="B158" s="112" t="s">
        <v>92</v>
      </c>
      <c r="C158" s="88">
        <f>SUM(D158:L158)</f>
        <v>7</v>
      </c>
      <c r="D158" s="119" cm="1">
        <f t="array" ref="D158:L158">TRANSPOSE([13]Master!$X$47:$X$55)</f>
        <v>0</v>
      </c>
      <c r="E158" s="119">
        <v>0</v>
      </c>
      <c r="F158" s="119">
        <v>0</v>
      </c>
      <c r="G158" s="119">
        <v>0</v>
      </c>
      <c r="H158" s="119">
        <v>1</v>
      </c>
      <c r="I158" s="119">
        <v>0</v>
      </c>
      <c r="J158" s="119">
        <v>3</v>
      </c>
      <c r="K158" s="119">
        <v>1</v>
      </c>
      <c r="L158" s="119">
        <v>2</v>
      </c>
      <c r="M158" s="79">
        <f t="shared" ref="M158" si="84">SUM(D158:I158)</f>
        <v>1</v>
      </c>
      <c r="N158" s="116">
        <f t="shared" ref="N158" si="85">((M158/C158)*100)</f>
        <v>14.285714285714285</v>
      </c>
      <c r="O158" s="79">
        <f t="shared" ref="O158" si="86">SUM(D158:K158)</f>
        <v>5</v>
      </c>
      <c r="P158" s="80">
        <f t="shared" ref="P158" si="87">((O158/C158)*100)</f>
        <v>71.428571428571431</v>
      </c>
    </row>
    <row r="159" spans="1:16" s="77" customFormat="1">
      <c r="A159" s="76"/>
      <c r="B159" s="74" t="s">
        <v>31</v>
      </c>
      <c r="C159" s="76">
        <f t="shared" ref="C159:M159" si="88">SUM(C157:C158)</f>
        <v>16</v>
      </c>
      <c r="D159" s="76">
        <f t="shared" si="88"/>
        <v>0</v>
      </c>
      <c r="E159" s="76">
        <f t="shared" si="88"/>
        <v>0</v>
      </c>
      <c r="F159" s="76">
        <f t="shared" si="88"/>
        <v>1</v>
      </c>
      <c r="G159" s="76">
        <f t="shared" si="88"/>
        <v>1</v>
      </c>
      <c r="H159" s="76">
        <f t="shared" si="88"/>
        <v>5</v>
      </c>
      <c r="I159" s="76">
        <f t="shared" si="88"/>
        <v>2</v>
      </c>
      <c r="J159" s="76">
        <f t="shared" si="88"/>
        <v>3</v>
      </c>
      <c r="K159" s="76">
        <f t="shared" si="88"/>
        <v>2</v>
      </c>
      <c r="L159" s="76">
        <f t="shared" si="88"/>
        <v>2</v>
      </c>
      <c r="M159" s="76">
        <f t="shared" si="88"/>
        <v>9</v>
      </c>
      <c r="N159" s="80">
        <f>((M159/C159)*100)</f>
        <v>56.25</v>
      </c>
      <c r="O159" s="76">
        <f>SUM(O157:O158)</f>
        <v>14</v>
      </c>
      <c r="P159" s="80">
        <f>((O159/C159)*100)</f>
        <v>87.5</v>
      </c>
    </row>
    <row r="160" spans="1:16" s="77" customFormat="1" ht="21" customHeight="1">
      <c r="A160" s="120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3"/>
      <c r="O160" s="82"/>
      <c r="P160" s="83"/>
    </row>
    <row r="161" spans="1:16" s="77" customFormat="1" ht="18">
      <c r="A161" s="102" t="s">
        <v>93</v>
      </c>
      <c r="N161" s="103"/>
      <c r="P161" s="103"/>
    </row>
    <row r="162" spans="1:16" s="77" customFormat="1">
      <c r="A162" s="110"/>
      <c r="B162" s="71"/>
      <c r="C162" s="71"/>
      <c r="D162" s="111" t="s">
        <v>77</v>
      </c>
      <c r="E162" s="85"/>
      <c r="F162" s="73"/>
      <c r="G162" s="75" t="s">
        <v>78</v>
      </c>
      <c r="H162" s="75"/>
      <c r="I162" s="74"/>
      <c r="J162" s="84" t="s">
        <v>79</v>
      </c>
      <c r="K162" s="85"/>
      <c r="L162" s="76" t="s">
        <v>4</v>
      </c>
      <c r="M162" s="71"/>
      <c r="N162" s="71"/>
      <c r="O162" s="71"/>
      <c r="P162" s="72"/>
    </row>
    <row r="163" spans="1:16" s="77" customFormat="1" ht="27.95">
      <c r="A163" s="76" t="s">
        <v>5</v>
      </c>
      <c r="B163" s="76" t="s">
        <v>6</v>
      </c>
      <c r="C163" s="76" t="s">
        <v>7</v>
      </c>
      <c r="D163" s="78" t="s">
        <v>8</v>
      </c>
      <c r="E163" s="78" t="s">
        <v>9</v>
      </c>
      <c r="F163" s="78" t="s">
        <v>10</v>
      </c>
      <c r="G163" s="78" t="s">
        <v>11</v>
      </c>
      <c r="H163" s="78" t="s">
        <v>12</v>
      </c>
      <c r="I163" s="78" t="s">
        <v>13</v>
      </c>
      <c r="J163" s="78" t="s">
        <v>14</v>
      </c>
      <c r="K163" s="78" t="s">
        <v>15</v>
      </c>
      <c r="L163" s="78" t="s">
        <v>16</v>
      </c>
      <c r="M163" s="86" t="s">
        <v>17</v>
      </c>
      <c r="N163" s="86" t="s">
        <v>18</v>
      </c>
      <c r="O163" s="86" t="s">
        <v>19</v>
      </c>
      <c r="P163" s="87" t="s">
        <v>20</v>
      </c>
    </row>
    <row r="164" spans="1:16">
      <c r="A164" s="76" t="s">
        <v>21</v>
      </c>
      <c r="B164" s="121" t="s">
        <v>94</v>
      </c>
      <c r="C164" s="79">
        <f>SUM(D164:L164)</f>
        <v>20</v>
      </c>
      <c r="D164" s="79" cm="1">
        <f t="array" ref="D164:L164">TRANSPOSE([1]Master!$AB$47:$AB$55)</f>
        <v>0</v>
      </c>
      <c r="E164" s="79">
        <v>2</v>
      </c>
      <c r="F164" s="79">
        <v>3</v>
      </c>
      <c r="G164" s="79">
        <v>1</v>
      </c>
      <c r="H164" s="79">
        <v>5</v>
      </c>
      <c r="I164" s="79">
        <v>2</v>
      </c>
      <c r="J164" s="79">
        <v>4</v>
      </c>
      <c r="K164" s="79">
        <v>2</v>
      </c>
      <c r="L164" s="79">
        <v>1</v>
      </c>
      <c r="M164" s="79">
        <f>SUM(D164:I164)</f>
        <v>13</v>
      </c>
      <c r="N164" s="80">
        <f>((M164/C164)*100)</f>
        <v>65</v>
      </c>
      <c r="O164" s="79">
        <f>SUM(D164:K164)</f>
        <v>19</v>
      </c>
      <c r="P164" s="80">
        <f>((O164/C164)*100)</f>
        <v>95</v>
      </c>
    </row>
    <row r="165" spans="1:16">
      <c r="A165" s="73"/>
      <c r="B165" s="74" t="s">
        <v>31</v>
      </c>
      <c r="C165" s="76">
        <f>SUM(C164:C164)</f>
        <v>20</v>
      </c>
      <c r="D165" s="76">
        <f>SUM(D164:D164)</f>
        <v>0</v>
      </c>
      <c r="E165" s="76">
        <f>SUM(E164:E164)</f>
        <v>2</v>
      </c>
      <c r="F165" s="76">
        <f>SUM(F164:F164)</f>
        <v>3</v>
      </c>
      <c r="G165" s="76">
        <f>SUM(G164:G164)</f>
        <v>1</v>
      </c>
      <c r="H165" s="76">
        <f>SUM(H164:H164)</f>
        <v>5</v>
      </c>
      <c r="I165" s="76">
        <f>SUM(I164:I164)</f>
        <v>2</v>
      </c>
      <c r="J165" s="76">
        <f>SUM(J164:J164)</f>
        <v>4</v>
      </c>
      <c r="K165" s="76">
        <f>SUM(K164:K164)</f>
        <v>2</v>
      </c>
      <c r="L165" s="76">
        <f>SUM(L164:L164)</f>
        <v>1</v>
      </c>
      <c r="M165" s="76">
        <f>SUM(M164:M164)</f>
        <v>13</v>
      </c>
      <c r="N165" s="81">
        <f>((M165/C165)*100)</f>
        <v>65</v>
      </c>
      <c r="O165" s="76">
        <f>SUM(O164:O164)</f>
        <v>19</v>
      </c>
      <c r="P165" s="81">
        <f>((O165/C165)*100)</f>
        <v>95</v>
      </c>
    </row>
    <row r="166" spans="1:16" ht="26.2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3"/>
      <c r="O166" s="82"/>
      <c r="P166" s="83"/>
    </row>
    <row r="167" spans="1:16" s="77" customFormat="1" ht="18">
      <c r="A167" s="102" t="s">
        <v>95</v>
      </c>
      <c r="N167" s="103"/>
      <c r="P167" s="103"/>
    </row>
    <row r="168" spans="1:16" s="77" customFormat="1">
      <c r="A168" s="71"/>
      <c r="B168" s="71"/>
      <c r="C168" s="71"/>
      <c r="D168" s="238" t="s">
        <v>1</v>
      </c>
      <c r="E168" s="240"/>
      <c r="F168" s="238" t="s">
        <v>2</v>
      </c>
      <c r="G168" s="239"/>
      <c r="H168" s="239"/>
      <c r="I168" s="240"/>
      <c r="J168" s="241" t="s">
        <v>3</v>
      </c>
      <c r="K168" s="242"/>
      <c r="L168" s="142" t="s">
        <v>4</v>
      </c>
      <c r="M168" s="71"/>
      <c r="N168" s="71"/>
      <c r="O168" s="71"/>
      <c r="P168" s="72"/>
    </row>
    <row r="169" spans="1:16" s="77" customFormat="1" ht="27.95">
      <c r="A169" s="137" t="s">
        <v>5</v>
      </c>
      <c r="B169" s="137" t="s">
        <v>6</v>
      </c>
      <c r="C169" s="137" t="s">
        <v>7</v>
      </c>
      <c r="D169" s="137" t="s">
        <v>8</v>
      </c>
      <c r="E169" s="137" t="s">
        <v>9</v>
      </c>
      <c r="F169" s="137" t="s">
        <v>10</v>
      </c>
      <c r="G169" s="137" t="s">
        <v>11</v>
      </c>
      <c r="H169" s="137" t="s">
        <v>12</v>
      </c>
      <c r="I169" s="137" t="s">
        <v>13</v>
      </c>
      <c r="J169" s="137" t="s">
        <v>14</v>
      </c>
      <c r="K169" s="137" t="s">
        <v>15</v>
      </c>
      <c r="L169" s="137" t="s">
        <v>16</v>
      </c>
      <c r="M169" s="138" t="s">
        <v>17</v>
      </c>
      <c r="N169" s="138" t="s">
        <v>18</v>
      </c>
      <c r="O169" s="138" t="s">
        <v>19</v>
      </c>
      <c r="P169" s="139" t="s">
        <v>20</v>
      </c>
    </row>
    <row r="170" spans="1:16" s="77" customFormat="1">
      <c r="A170" s="78" t="s">
        <v>23</v>
      </c>
      <c r="B170" s="115" t="s">
        <v>96</v>
      </c>
      <c r="C170" s="106">
        <f>SUM(D170:L170)</f>
        <v>8</v>
      </c>
      <c r="D170" s="106" cm="1">
        <f t="array" ref="D170:L170">TRANSPOSE([2]Master!$AK$47:$AK$55)</f>
        <v>0</v>
      </c>
      <c r="E170" s="106">
        <v>0</v>
      </c>
      <c r="F170" s="106">
        <v>0</v>
      </c>
      <c r="G170" s="106">
        <v>0</v>
      </c>
      <c r="H170" s="106">
        <v>2</v>
      </c>
      <c r="I170" s="106">
        <v>0</v>
      </c>
      <c r="J170" s="106">
        <v>2</v>
      </c>
      <c r="K170" s="106">
        <v>3</v>
      </c>
      <c r="L170" s="106">
        <v>1</v>
      </c>
      <c r="M170" s="106">
        <f>SUM(D170:I170)</f>
        <v>2</v>
      </c>
      <c r="N170" s="122">
        <f>((M170/C170)*100)</f>
        <v>25</v>
      </c>
      <c r="O170" s="106">
        <f>SUM(D170:K170)</f>
        <v>7</v>
      </c>
      <c r="P170" s="122">
        <f>((O170/C170)*100)</f>
        <v>87.5</v>
      </c>
    </row>
    <row r="171" spans="1:16" ht="14.1" customHeight="1">
      <c r="A171" s="76"/>
      <c r="B171" s="76" t="s">
        <v>31</v>
      </c>
      <c r="C171" s="76">
        <f>SUM(C170:C170)</f>
        <v>8</v>
      </c>
      <c r="D171" s="76">
        <f>SUM(D170:D170)</f>
        <v>0</v>
      </c>
      <c r="E171" s="76">
        <f t="shared" ref="E171:I171" si="89">SUM(E170:E170)</f>
        <v>0</v>
      </c>
      <c r="F171" s="76">
        <f t="shared" si="89"/>
        <v>0</v>
      </c>
      <c r="G171" s="76">
        <f t="shared" si="89"/>
        <v>0</v>
      </c>
      <c r="H171" s="76">
        <f t="shared" si="89"/>
        <v>2</v>
      </c>
      <c r="I171" s="76">
        <f t="shared" si="89"/>
        <v>0</v>
      </c>
      <c r="J171" s="76">
        <f t="shared" ref="J171" si="90">SUM(J170:J170)</f>
        <v>2</v>
      </c>
      <c r="K171" s="76">
        <f t="shared" ref="K171" si="91">SUM(K170:K170)</f>
        <v>3</v>
      </c>
      <c r="L171" s="76">
        <f t="shared" ref="L171" si="92">SUM(L170:L170)</f>
        <v>1</v>
      </c>
      <c r="M171" s="106">
        <f>SUM(D171:I171)</f>
        <v>2</v>
      </c>
      <c r="N171" s="81">
        <f>((M171/C171)*100)</f>
        <v>25</v>
      </c>
      <c r="O171" s="106">
        <f>SUM(D171:K171)</f>
        <v>7</v>
      </c>
      <c r="P171" s="81">
        <f>((O171/C171)*100)</f>
        <v>87.5</v>
      </c>
    </row>
    <row r="172" spans="1:16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230"/>
      <c r="N172" s="83"/>
      <c r="O172" s="230"/>
      <c r="P172" s="83"/>
    </row>
    <row r="173" spans="1:16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230"/>
      <c r="N173" s="83"/>
      <c r="O173" s="230"/>
      <c r="P173" s="83"/>
    </row>
    <row r="174" spans="1:16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230"/>
      <c r="N174" s="83"/>
      <c r="O174" s="230"/>
      <c r="P174" s="83"/>
    </row>
    <row r="175" spans="1:16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230"/>
      <c r="N175" s="83"/>
      <c r="O175" s="230"/>
      <c r="P175" s="83"/>
    </row>
    <row r="176" spans="1:16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230"/>
      <c r="N176" s="83"/>
      <c r="O176" s="230"/>
      <c r="P176" s="83"/>
    </row>
    <row r="177" spans="1:16" ht="18">
      <c r="A177" s="254" t="s">
        <v>97</v>
      </c>
      <c r="B177" s="254"/>
      <c r="C177" s="123"/>
      <c r="D177" s="251" t="s">
        <v>1</v>
      </c>
      <c r="E177" s="252"/>
      <c r="F177" s="251" t="s">
        <v>2</v>
      </c>
      <c r="G177" s="253"/>
      <c r="H177" s="253"/>
      <c r="I177" s="252"/>
      <c r="J177" s="251" t="s">
        <v>98</v>
      </c>
      <c r="K177" s="252"/>
      <c r="L177" s="231" t="s">
        <v>4</v>
      </c>
      <c r="M177" s="123"/>
      <c r="N177" s="123"/>
      <c r="O177" s="123"/>
      <c r="P177" s="124"/>
    </row>
    <row r="178" spans="1:16" ht="27.75" customHeight="1">
      <c r="A178" s="245" t="s">
        <v>99</v>
      </c>
      <c r="B178" s="246"/>
      <c r="C178" s="144" t="s">
        <v>7</v>
      </c>
      <c r="D178" s="144" t="s">
        <v>100</v>
      </c>
      <c r="E178" s="144" t="s">
        <v>9</v>
      </c>
      <c r="F178" s="144" t="s">
        <v>10</v>
      </c>
      <c r="G178" s="144" t="s">
        <v>11</v>
      </c>
      <c r="H178" s="144" t="s">
        <v>12</v>
      </c>
      <c r="I178" s="144" t="s">
        <v>13</v>
      </c>
      <c r="J178" s="144" t="s">
        <v>14</v>
      </c>
      <c r="K178" s="144" t="s">
        <v>15</v>
      </c>
      <c r="L178" s="144" t="s">
        <v>16</v>
      </c>
      <c r="M178" s="145" t="s">
        <v>17</v>
      </c>
      <c r="N178" s="145" t="s">
        <v>18</v>
      </c>
      <c r="O178" s="145" t="s">
        <v>19</v>
      </c>
      <c r="P178" s="146" t="s">
        <v>20</v>
      </c>
    </row>
    <row r="179" spans="1:16" ht="18.600000000000001" customHeight="1">
      <c r="A179" s="247" t="s">
        <v>101</v>
      </c>
      <c r="B179" s="248"/>
      <c r="C179" s="125">
        <f>SUM(D179:L179)</f>
        <v>149</v>
      </c>
      <c r="D179" s="125">
        <f>D11</f>
        <v>0</v>
      </c>
      <c r="E179" s="125">
        <f>E11</f>
        <v>2</v>
      </c>
      <c r="F179" s="125">
        <f>F11</f>
        <v>9</v>
      </c>
      <c r="G179" s="125">
        <f>G11</f>
        <v>21</v>
      </c>
      <c r="H179" s="125">
        <f>H11</f>
        <v>14</v>
      </c>
      <c r="I179" s="125">
        <f>I11</f>
        <v>18</v>
      </c>
      <c r="J179" s="125">
        <f>J11</f>
        <v>41</v>
      </c>
      <c r="K179" s="125">
        <f>K11</f>
        <v>26</v>
      </c>
      <c r="L179" s="125">
        <f>L11</f>
        <v>18</v>
      </c>
      <c r="M179" s="125">
        <f>SUM(D179:I179)</f>
        <v>64</v>
      </c>
      <c r="N179" s="126">
        <f>N11</f>
        <v>61.073825503355707</v>
      </c>
      <c r="O179" s="125">
        <f>SUM(D179:K179)</f>
        <v>131</v>
      </c>
      <c r="P179" s="126">
        <f>(O179/C179)*100</f>
        <v>87.919463087248317</v>
      </c>
    </row>
    <row r="180" spans="1:16" ht="18.600000000000001" customHeight="1">
      <c r="A180" s="247" t="s">
        <v>102</v>
      </c>
      <c r="B180" s="248"/>
      <c r="C180" s="125">
        <f t="shared" ref="C180:C197" si="93">SUM(D180:L180)</f>
        <v>149</v>
      </c>
      <c r="D180" s="125">
        <f>D30</f>
        <v>0</v>
      </c>
      <c r="E180" s="125">
        <f>E30</f>
        <v>16</v>
      </c>
      <c r="F180" s="125">
        <f>F30</f>
        <v>10</v>
      </c>
      <c r="G180" s="125">
        <f>G30</f>
        <v>13</v>
      </c>
      <c r="H180" s="125">
        <f>H30</f>
        <v>24</v>
      </c>
      <c r="I180" s="125">
        <f>I30</f>
        <v>25</v>
      </c>
      <c r="J180" s="125">
        <f>J30</f>
        <v>35</v>
      </c>
      <c r="K180" s="125">
        <f>K30</f>
        <v>14</v>
      </c>
      <c r="L180" s="125">
        <f>L30</f>
        <v>12</v>
      </c>
      <c r="M180" s="125">
        <f t="shared" ref="M180:M197" si="94">SUM(D180:I180)</f>
        <v>88</v>
      </c>
      <c r="N180" s="126">
        <f>N30</f>
        <v>59.060402684563762</v>
      </c>
      <c r="O180" s="125">
        <f t="shared" ref="O180:O197" si="95">SUM(D180:K180)</f>
        <v>137</v>
      </c>
      <c r="P180" s="126">
        <f t="shared" ref="P180:P197" si="96">(O180/C180)*100</f>
        <v>91.946308724832221</v>
      </c>
    </row>
    <row r="181" spans="1:16" ht="18.600000000000001" customHeight="1">
      <c r="A181" s="249" t="s">
        <v>103</v>
      </c>
      <c r="B181" s="249"/>
      <c r="C181" s="125">
        <f t="shared" si="93"/>
        <v>108</v>
      </c>
      <c r="D181" s="127">
        <f>D40</f>
        <v>0</v>
      </c>
      <c r="E181" s="127">
        <f>E40</f>
        <v>11</v>
      </c>
      <c r="F181" s="127">
        <f>F40</f>
        <v>3</v>
      </c>
      <c r="G181" s="127">
        <f>G40</f>
        <v>8</v>
      </c>
      <c r="H181" s="127">
        <f>H40</f>
        <v>6</v>
      </c>
      <c r="I181" s="127">
        <f>I40</f>
        <v>4</v>
      </c>
      <c r="J181" s="127">
        <f>J40</f>
        <v>13</v>
      </c>
      <c r="K181" s="127">
        <f>K40</f>
        <v>14</v>
      </c>
      <c r="L181" s="127">
        <f>L40</f>
        <v>49</v>
      </c>
      <c r="M181" s="125">
        <f t="shared" si="94"/>
        <v>32</v>
      </c>
      <c r="N181" s="128">
        <f>N40</f>
        <v>29.629629629629626</v>
      </c>
      <c r="O181" s="125">
        <f t="shared" si="95"/>
        <v>59</v>
      </c>
      <c r="P181" s="126">
        <f t="shared" si="96"/>
        <v>54.629629629629626</v>
      </c>
    </row>
    <row r="182" spans="1:16" ht="18.600000000000001" customHeight="1">
      <c r="A182" s="249" t="s">
        <v>104</v>
      </c>
      <c r="B182" s="249"/>
      <c r="C182" s="125">
        <f t="shared" si="93"/>
        <v>54</v>
      </c>
      <c r="D182" s="127">
        <f>D55</f>
        <v>0</v>
      </c>
      <c r="E182" s="127">
        <f>E55</f>
        <v>4</v>
      </c>
      <c r="F182" s="127">
        <f>F55</f>
        <v>2</v>
      </c>
      <c r="G182" s="127">
        <f>G55</f>
        <v>3</v>
      </c>
      <c r="H182" s="127">
        <f>H55</f>
        <v>8</v>
      </c>
      <c r="I182" s="127">
        <f>I55</f>
        <v>6</v>
      </c>
      <c r="J182" s="127">
        <f>J55</f>
        <v>7</v>
      </c>
      <c r="K182" s="127">
        <f>K55</f>
        <v>4</v>
      </c>
      <c r="L182" s="127">
        <f>L55</f>
        <v>20</v>
      </c>
      <c r="M182" s="125">
        <f t="shared" si="94"/>
        <v>23</v>
      </c>
      <c r="N182" s="128">
        <f>N55</f>
        <v>42.592592592592595</v>
      </c>
      <c r="O182" s="125">
        <f t="shared" si="95"/>
        <v>34</v>
      </c>
      <c r="P182" s="126">
        <f t="shared" si="96"/>
        <v>62.962962962962962</v>
      </c>
    </row>
    <row r="183" spans="1:16" ht="18.600000000000001" customHeight="1">
      <c r="A183" s="249" t="s">
        <v>105</v>
      </c>
      <c r="B183" s="249"/>
      <c r="C183" s="125">
        <f t="shared" si="93"/>
        <v>37</v>
      </c>
      <c r="D183" s="127">
        <f>D64</f>
        <v>1</v>
      </c>
      <c r="E183" s="127">
        <f>E64</f>
        <v>3</v>
      </c>
      <c r="F183" s="127">
        <f>F64</f>
        <v>3</v>
      </c>
      <c r="G183" s="127">
        <f>G64</f>
        <v>7</v>
      </c>
      <c r="H183" s="127">
        <f>H64</f>
        <v>4</v>
      </c>
      <c r="I183" s="127">
        <f>I64</f>
        <v>5</v>
      </c>
      <c r="J183" s="127">
        <f>J64</f>
        <v>6</v>
      </c>
      <c r="K183" s="127">
        <f>K64</f>
        <v>6</v>
      </c>
      <c r="L183" s="127">
        <f>L64</f>
        <v>2</v>
      </c>
      <c r="M183" s="125">
        <f t="shared" si="94"/>
        <v>23</v>
      </c>
      <c r="N183" s="128">
        <f>N64</f>
        <v>62.162162162162161</v>
      </c>
      <c r="O183" s="125">
        <f t="shared" si="95"/>
        <v>35</v>
      </c>
      <c r="P183" s="126">
        <f t="shared" si="96"/>
        <v>94.594594594594597</v>
      </c>
    </row>
    <row r="184" spans="1:16" ht="18.600000000000001" customHeight="1">
      <c r="A184" s="249" t="s">
        <v>106</v>
      </c>
      <c r="B184" s="249"/>
      <c r="C184" s="125">
        <f t="shared" si="93"/>
        <v>35</v>
      </c>
      <c r="D184" s="127">
        <f>D72</f>
        <v>0</v>
      </c>
      <c r="E184" s="127">
        <f>E72</f>
        <v>0</v>
      </c>
      <c r="F184" s="127">
        <f>F72</f>
        <v>3</v>
      </c>
      <c r="G184" s="127">
        <f>G72</f>
        <v>5</v>
      </c>
      <c r="H184" s="127">
        <f>H72</f>
        <v>3</v>
      </c>
      <c r="I184" s="127">
        <f>I72</f>
        <v>13</v>
      </c>
      <c r="J184" s="127">
        <f>J72</f>
        <v>4</v>
      </c>
      <c r="K184" s="127">
        <f>K72</f>
        <v>5</v>
      </c>
      <c r="L184" s="127">
        <f>L72</f>
        <v>2</v>
      </c>
      <c r="M184" s="125">
        <f t="shared" si="94"/>
        <v>24</v>
      </c>
      <c r="N184" s="128">
        <f>N72</f>
        <v>68.571428571428569</v>
      </c>
      <c r="O184" s="125">
        <f t="shared" si="95"/>
        <v>33</v>
      </c>
      <c r="P184" s="126">
        <f t="shared" si="96"/>
        <v>94.285714285714278</v>
      </c>
    </row>
    <row r="185" spans="1:16" ht="18.600000000000001" customHeight="1">
      <c r="A185" s="249" t="s">
        <v>107</v>
      </c>
      <c r="B185" s="249"/>
      <c r="C185" s="125">
        <f t="shared" si="93"/>
        <v>41</v>
      </c>
      <c r="D185" s="127">
        <f>D79</f>
        <v>0</v>
      </c>
      <c r="E185" s="127">
        <f t="shared" ref="E185:L185" si="97">E79</f>
        <v>0</v>
      </c>
      <c r="F185" s="127">
        <f t="shared" si="97"/>
        <v>0</v>
      </c>
      <c r="G185" s="127">
        <f t="shared" si="97"/>
        <v>0</v>
      </c>
      <c r="H185" s="127">
        <f t="shared" si="97"/>
        <v>1</v>
      </c>
      <c r="I185" s="127">
        <f t="shared" si="97"/>
        <v>0</v>
      </c>
      <c r="J185" s="127">
        <f t="shared" si="97"/>
        <v>1</v>
      </c>
      <c r="K185" s="127">
        <f t="shared" si="97"/>
        <v>9</v>
      </c>
      <c r="L185" s="127">
        <f t="shared" si="97"/>
        <v>30</v>
      </c>
      <c r="M185" s="125">
        <f t="shared" si="94"/>
        <v>1</v>
      </c>
      <c r="N185" s="128">
        <f>N79</f>
        <v>2.4390243902439024</v>
      </c>
      <c r="O185" s="125">
        <f t="shared" si="95"/>
        <v>11</v>
      </c>
      <c r="P185" s="126">
        <f t="shared" si="96"/>
        <v>26.829268292682929</v>
      </c>
    </row>
    <row r="186" spans="1:16" ht="18.600000000000001" customHeight="1">
      <c r="A186" s="249" t="s">
        <v>108</v>
      </c>
      <c r="B186" s="249"/>
      <c r="C186" s="125">
        <f t="shared" si="93"/>
        <v>63</v>
      </c>
      <c r="D186" s="127">
        <f>D87</f>
        <v>0</v>
      </c>
      <c r="E186" s="127">
        <f t="shared" ref="E186:L186" si="98">E87</f>
        <v>0</v>
      </c>
      <c r="F186" s="127">
        <f t="shared" si="98"/>
        <v>0</v>
      </c>
      <c r="G186" s="127">
        <f t="shared" si="98"/>
        <v>0</v>
      </c>
      <c r="H186" s="127">
        <f t="shared" si="98"/>
        <v>1</v>
      </c>
      <c r="I186" s="127">
        <f t="shared" si="98"/>
        <v>4</v>
      </c>
      <c r="J186" s="127">
        <f t="shared" si="98"/>
        <v>13</v>
      </c>
      <c r="K186" s="127">
        <f t="shared" si="98"/>
        <v>18</v>
      </c>
      <c r="L186" s="127">
        <f t="shared" si="98"/>
        <v>27</v>
      </c>
      <c r="M186" s="125">
        <f t="shared" si="94"/>
        <v>5</v>
      </c>
      <c r="N186" s="128">
        <f>N87</f>
        <v>7.9365079365079358</v>
      </c>
      <c r="O186" s="125">
        <f t="shared" si="95"/>
        <v>36</v>
      </c>
      <c r="P186" s="126">
        <f t="shared" si="96"/>
        <v>57.142857142857139</v>
      </c>
    </row>
    <row r="187" spans="1:16" ht="18.600000000000001" customHeight="1">
      <c r="A187" s="249" t="s">
        <v>109</v>
      </c>
      <c r="B187" s="249"/>
      <c r="C187" s="125">
        <f t="shared" si="93"/>
        <v>148</v>
      </c>
      <c r="D187" s="127">
        <f>D99</f>
        <v>10</v>
      </c>
      <c r="E187" s="127">
        <f t="shared" ref="E187:L187" si="99">E99</f>
        <v>25</v>
      </c>
      <c r="F187" s="127">
        <f t="shared" si="99"/>
        <v>15</v>
      </c>
      <c r="G187" s="127">
        <f t="shared" si="99"/>
        <v>12</v>
      </c>
      <c r="H187" s="127">
        <f t="shared" si="99"/>
        <v>15</v>
      </c>
      <c r="I187" s="127">
        <f t="shared" si="99"/>
        <v>15</v>
      </c>
      <c r="J187" s="127">
        <f t="shared" si="99"/>
        <v>16</v>
      </c>
      <c r="K187" s="127">
        <f t="shared" si="99"/>
        <v>15</v>
      </c>
      <c r="L187" s="127">
        <f t="shared" si="99"/>
        <v>25</v>
      </c>
      <c r="M187" s="125">
        <f t="shared" si="94"/>
        <v>92</v>
      </c>
      <c r="N187" s="128">
        <f>N99</f>
        <v>62.162162162162161</v>
      </c>
      <c r="O187" s="125">
        <f t="shared" si="95"/>
        <v>123</v>
      </c>
      <c r="P187" s="126">
        <f t="shared" si="96"/>
        <v>83.108108108108098</v>
      </c>
    </row>
    <row r="188" spans="1:16" ht="18.600000000000001" customHeight="1">
      <c r="A188" s="249" t="s">
        <v>110</v>
      </c>
      <c r="B188" s="249"/>
      <c r="C188" s="125">
        <f t="shared" si="93"/>
        <v>23</v>
      </c>
      <c r="D188" s="125">
        <f>D106</f>
        <v>0</v>
      </c>
      <c r="E188" s="125">
        <f t="shared" ref="E188:L188" si="100">E106</f>
        <v>4</v>
      </c>
      <c r="F188" s="125">
        <f t="shared" si="100"/>
        <v>1</v>
      </c>
      <c r="G188" s="125">
        <f t="shared" si="100"/>
        <v>0</v>
      </c>
      <c r="H188" s="125">
        <f t="shared" si="100"/>
        <v>1</v>
      </c>
      <c r="I188" s="125">
        <f t="shared" si="100"/>
        <v>1</v>
      </c>
      <c r="J188" s="125">
        <f t="shared" si="100"/>
        <v>5</v>
      </c>
      <c r="K188" s="125">
        <f t="shared" si="100"/>
        <v>9</v>
      </c>
      <c r="L188" s="125">
        <f t="shared" si="100"/>
        <v>2</v>
      </c>
      <c r="M188" s="125">
        <f t="shared" si="94"/>
        <v>7</v>
      </c>
      <c r="N188" s="126">
        <f>N106</f>
        <v>30.434782608695656</v>
      </c>
      <c r="O188" s="125">
        <f t="shared" si="95"/>
        <v>21</v>
      </c>
      <c r="P188" s="126">
        <f t="shared" si="96"/>
        <v>91.304347826086953</v>
      </c>
    </row>
    <row r="189" spans="1:16" ht="18.600000000000001" customHeight="1">
      <c r="A189" s="247" t="s">
        <v>111</v>
      </c>
      <c r="B189" s="248"/>
      <c r="C189" s="125">
        <f t="shared" si="93"/>
        <v>11</v>
      </c>
      <c r="D189" s="125">
        <f>D113</f>
        <v>0</v>
      </c>
      <c r="E189" s="125">
        <f t="shared" ref="E189:L189" si="101">E113</f>
        <v>1</v>
      </c>
      <c r="F189" s="125">
        <f t="shared" si="101"/>
        <v>0</v>
      </c>
      <c r="G189" s="125">
        <f t="shared" si="101"/>
        <v>0</v>
      </c>
      <c r="H189" s="125">
        <f t="shared" si="101"/>
        <v>2</v>
      </c>
      <c r="I189" s="125">
        <f t="shared" si="101"/>
        <v>5</v>
      </c>
      <c r="J189" s="125">
        <f t="shared" si="101"/>
        <v>1</v>
      </c>
      <c r="K189" s="125">
        <f t="shared" si="101"/>
        <v>2</v>
      </c>
      <c r="L189" s="125">
        <f t="shared" si="101"/>
        <v>0</v>
      </c>
      <c r="M189" s="125">
        <f t="shared" si="94"/>
        <v>8</v>
      </c>
      <c r="N189" s="126">
        <f>N113</f>
        <v>72.727272727272734</v>
      </c>
      <c r="O189" s="125">
        <f t="shared" si="95"/>
        <v>11</v>
      </c>
      <c r="P189" s="126">
        <f t="shared" si="96"/>
        <v>100</v>
      </c>
    </row>
    <row r="190" spans="1:16" ht="18.600000000000001" customHeight="1">
      <c r="A190" s="247" t="s">
        <v>112</v>
      </c>
      <c r="B190" s="248"/>
      <c r="C190" s="125">
        <f t="shared" si="93"/>
        <v>12</v>
      </c>
      <c r="D190" s="125">
        <f>D133</f>
        <v>0</v>
      </c>
      <c r="E190" s="125">
        <f t="shared" ref="E190:L190" si="102">E133</f>
        <v>0</v>
      </c>
      <c r="F190" s="125">
        <f t="shared" si="102"/>
        <v>1</v>
      </c>
      <c r="G190" s="125">
        <f t="shared" si="102"/>
        <v>0</v>
      </c>
      <c r="H190" s="125">
        <f t="shared" si="102"/>
        <v>2</v>
      </c>
      <c r="I190" s="125">
        <f t="shared" si="102"/>
        <v>1</v>
      </c>
      <c r="J190" s="125">
        <f t="shared" si="102"/>
        <v>5</v>
      </c>
      <c r="K190" s="125">
        <f t="shared" si="102"/>
        <v>2</v>
      </c>
      <c r="L190" s="125">
        <f t="shared" si="102"/>
        <v>1</v>
      </c>
      <c r="M190" s="125">
        <f t="shared" si="94"/>
        <v>4</v>
      </c>
      <c r="N190" s="126">
        <f>N133</f>
        <v>33.333333333333329</v>
      </c>
      <c r="O190" s="125">
        <f t="shared" si="95"/>
        <v>11</v>
      </c>
      <c r="P190" s="126">
        <f t="shared" si="96"/>
        <v>91.666666666666657</v>
      </c>
    </row>
    <row r="191" spans="1:16" ht="18.600000000000001" customHeight="1">
      <c r="A191" s="249" t="s">
        <v>113</v>
      </c>
      <c r="B191" s="249"/>
      <c r="C191" s="125">
        <f t="shared" si="93"/>
        <v>73</v>
      </c>
      <c r="D191" s="125">
        <f>D127</f>
        <v>0</v>
      </c>
      <c r="E191" s="125">
        <f t="shared" ref="E191:L191" si="103">E127</f>
        <v>0</v>
      </c>
      <c r="F191" s="125">
        <f t="shared" si="103"/>
        <v>0</v>
      </c>
      <c r="G191" s="125">
        <f t="shared" si="103"/>
        <v>2</v>
      </c>
      <c r="H191" s="125">
        <f t="shared" si="103"/>
        <v>2</v>
      </c>
      <c r="I191" s="125">
        <f t="shared" si="103"/>
        <v>7</v>
      </c>
      <c r="J191" s="125">
        <f t="shared" si="103"/>
        <v>9</v>
      </c>
      <c r="K191" s="125">
        <f t="shared" si="103"/>
        <v>18</v>
      </c>
      <c r="L191" s="125">
        <f t="shared" si="103"/>
        <v>35</v>
      </c>
      <c r="M191" s="125">
        <f t="shared" si="94"/>
        <v>11</v>
      </c>
      <c r="N191" s="126">
        <f>N127</f>
        <v>23.404255319148938</v>
      </c>
      <c r="O191" s="125">
        <f t="shared" si="95"/>
        <v>38</v>
      </c>
      <c r="P191" s="126">
        <f t="shared" si="96"/>
        <v>52.054794520547944</v>
      </c>
    </row>
    <row r="192" spans="1:16" ht="18.600000000000001" customHeight="1">
      <c r="A192" s="249" t="s">
        <v>114</v>
      </c>
      <c r="B192" s="249"/>
      <c r="C192" s="125">
        <f t="shared" si="93"/>
        <v>17</v>
      </c>
      <c r="D192" s="127">
        <f>D141</f>
        <v>0</v>
      </c>
      <c r="E192" s="127">
        <f t="shared" ref="E192:L192" si="104">E141</f>
        <v>0</v>
      </c>
      <c r="F192" s="127">
        <f t="shared" si="104"/>
        <v>0</v>
      </c>
      <c r="G192" s="127">
        <f t="shared" si="104"/>
        <v>0</v>
      </c>
      <c r="H192" s="127">
        <f t="shared" si="104"/>
        <v>2</v>
      </c>
      <c r="I192" s="127">
        <f t="shared" si="104"/>
        <v>0</v>
      </c>
      <c r="J192" s="127">
        <f t="shared" si="104"/>
        <v>7</v>
      </c>
      <c r="K192" s="127">
        <f t="shared" si="104"/>
        <v>4</v>
      </c>
      <c r="L192" s="127">
        <f t="shared" si="104"/>
        <v>4</v>
      </c>
      <c r="M192" s="125">
        <f t="shared" si="94"/>
        <v>2</v>
      </c>
      <c r="N192" s="128">
        <f>N144</f>
        <v>59.45945945945946</v>
      </c>
      <c r="O192" s="125">
        <f t="shared" si="95"/>
        <v>13</v>
      </c>
      <c r="P192" s="126">
        <f t="shared" si="96"/>
        <v>76.470588235294116</v>
      </c>
    </row>
    <row r="193" spans="1:16" ht="18.600000000000001" customHeight="1">
      <c r="A193" s="249" t="s">
        <v>115</v>
      </c>
      <c r="B193" s="249"/>
      <c r="C193" s="125">
        <f t="shared" si="93"/>
        <v>16</v>
      </c>
      <c r="D193" s="127">
        <f>D159</f>
        <v>0</v>
      </c>
      <c r="E193" s="127">
        <f t="shared" ref="E193:L193" si="105">E159</f>
        <v>0</v>
      </c>
      <c r="F193" s="127">
        <f t="shared" si="105"/>
        <v>1</v>
      </c>
      <c r="G193" s="127">
        <f t="shared" si="105"/>
        <v>1</v>
      </c>
      <c r="H193" s="127">
        <f t="shared" si="105"/>
        <v>5</v>
      </c>
      <c r="I193" s="127">
        <f t="shared" si="105"/>
        <v>2</v>
      </c>
      <c r="J193" s="127">
        <f t="shared" si="105"/>
        <v>3</v>
      </c>
      <c r="K193" s="127">
        <f t="shared" si="105"/>
        <v>2</v>
      </c>
      <c r="L193" s="127">
        <f t="shared" si="105"/>
        <v>2</v>
      </c>
      <c r="M193" s="125">
        <f t="shared" si="94"/>
        <v>9</v>
      </c>
      <c r="N193" s="128">
        <f>N159</f>
        <v>56.25</v>
      </c>
      <c r="O193" s="125">
        <f t="shared" si="95"/>
        <v>14</v>
      </c>
      <c r="P193" s="126">
        <f t="shared" si="96"/>
        <v>87.5</v>
      </c>
    </row>
    <row r="194" spans="1:16" ht="18.600000000000001" customHeight="1">
      <c r="A194" s="247" t="s">
        <v>116</v>
      </c>
      <c r="B194" s="248"/>
      <c r="C194" s="125">
        <f t="shared" si="93"/>
        <v>5</v>
      </c>
      <c r="D194" s="127">
        <f>D151</f>
        <v>0</v>
      </c>
      <c r="E194" s="127">
        <f t="shared" ref="E194:L194" si="106">E151</f>
        <v>0</v>
      </c>
      <c r="F194" s="127">
        <f t="shared" si="106"/>
        <v>1</v>
      </c>
      <c r="G194" s="127">
        <f t="shared" si="106"/>
        <v>0</v>
      </c>
      <c r="H194" s="127">
        <f t="shared" si="106"/>
        <v>1</v>
      </c>
      <c r="I194" s="127">
        <f t="shared" si="106"/>
        <v>1</v>
      </c>
      <c r="J194" s="127">
        <f t="shared" si="106"/>
        <v>0</v>
      </c>
      <c r="K194" s="127">
        <f t="shared" si="106"/>
        <v>1</v>
      </c>
      <c r="L194" s="127">
        <f t="shared" si="106"/>
        <v>1</v>
      </c>
      <c r="M194" s="125">
        <f t="shared" si="94"/>
        <v>3</v>
      </c>
      <c r="N194" s="128">
        <f>N151</f>
        <v>60</v>
      </c>
      <c r="O194" s="125">
        <f t="shared" si="95"/>
        <v>4</v>
      </c>
      <c r="P194" s="126">
        <f t="shared" si="96"/>
        <v>80</v>
      </c>
    </row>
    <row r="195" spans="1:16" ht="18.600000000000001" customHeight="1">
      <c r="A195" s="247" t="s">
        <v>117</v>
      </c>
      <c r="B195" s="248"/>
      <c r="C195" s="125">
        <f t="shared" si="93"/>
        <v>41</v>
      </c>
      <c r="D195" s="127">
        <f>D18</f>
        <v>0</v>
      </c>
      <c r="E195" s="127">
        <f t="shared" ref="E195:L195" si="107">E18</f>
        <v>3</v>
      </c>
      <c r="F195" s="127">
        <f t="shared" si="107"/>
        <v>4</v>
      </c>
      <c r="G195" s="127">
        <f t="shared" si="107"/>
        <v>1</v>
      </c>
      <c r="H195" s="127">
        <f t="shared" si="107"/>
        <v>10</v>
      </c>
      <c r="I195" s="127">
        <f t="shared" si="107"/>
        <v>5</v>
      </c>
      <c r="J195" s="127">
        <f t="shared" si="107"/>
        <v>13</v>
      </c>
      <c r="K195" s="127">
        <f t="shared" si="107"/>
        <v>0</v>
      </c>
      <c r="L195" s="127">
        <f t="shared" si="107"/>
        <v>5</v>
      </c>
      <c r="M195" s="125">
        <f t="shared" si="94"/>
        <v>23</v>
      </c>
      <c r="N195" s="128">
        <f>N18</f>
        <v>56.09756097560976</v>
      </c>
      <c r="O195" s="125">
        <f t="shared" si="95"/>
        <v>36</v>
      </c>
      <c r="P195" s="126">
        <f t="shared" si="96"/>
        <v>87.804878048780495</v>
      </c>
    </row>
    <row r="196" spans="1:16" ht="18.600000000000001" customHeight="1">
      <c r="A196" s="247" t="s">
        <v>118</v>
      </c>
      <c r="B196" s="248"/>
      <c r="C196" s="125">
        <f t="shared" si="93"/>
        <v>20</v>
      </c>
      <c r="D196" s="127">
        <f>D165</f>
        <v>0</v>
      </c>
      <c r="E196" s="127">
        <f t="shared" ref="E196:L196" si="108">E165</f>
        <v>2</v>
      </c>
      <c r="F196" s="127">
        <f t="shared" si="108"/>
        <v>3</v>
      </c>
      <c r="G196" s="127">
        <f t="shared" si="108"/>
        <v>1</v>
      </c>
      <c r="H196" s="127">
        <f t="shared" si="108"/>
        <v>5</v>
      </c>
      <c r="I196" s="127">
        <f t="shared" si="108"/>
        <v>2</v>
      </c>
      <c r="J196" s="127">
        <f t="shared" si="108"/>
        <v>4</v>
      </c>
      <c r="K196" s="127">
        <f t="shared" si="108"/>
        <v>2</v>
      </c>
      <c r="L196" s="127">
        <f t="shared" si="108"/>
        <v>1</v>
      </c>
      <c r="M196" s="125">
        <f t="shared" si="94"/>
        <v>13</v>
      </c>
      <c r="N196" s="128">
        <f>N165</f>
        <v>65</v>
      </c>
      <c r="O196" s="125">
        <f t="shared" si="95"/>
        <v>19</v>
      </c>
      <c r="P196" s="126">
        <f t="shared" si="96"/>
        <v>95</v>
      </c>
    </row>
    <row r="197" spans="1:16" ht="18.600000000000001" customHeight="1">
      <c r="A197" s="249" t="s">
        <v>95</v>
      </c>
      <c r="B197" s="249"/>
      <c r="C197" s="125">
        <f t="shared" si="93"/>
        <v>10</v>
      </c>
      <c r="D197" s="127">
        <f>E171</f>
        <v>0</v>
      </c>
      <c r="E197" s="127">
        <f>F171</f>
        <v>0</v>
      </c>
      <c r="F197" s="127">
        <f>G171</f>
        <v>0</v>
      </c>
      <c r="G197" s="127">
        <f>H171</f>
        <v>2</v>
      </c>
      <c r="H197" s="127">
        <f>I171</f>
        <v>0</v>
      </c>
      <c r="I197" s="127">
        <f>J171</f>
        <v>2</v>
      </c>
      <c r="J197" s="127">
        <f>K171</f>
        <v>3</v>
      </c>
      <c r="K197" s="127">
        <f>L171</f>
        <v>1</v>
      </c>
      <c r="L197" s="127">
        <f>M171</f>
        <v>2</v>
      </c>
      <c r="M197" s="125">
        <f t="shared" si="94"/>
        <v>4</v>
      </c>
      <c r="N197" s="128">
        <f>N171</f>
        <v>25</v>
      </c>
      <c r="O197" s="125">
        <f t="shared" si="95"/>
        <v>8</v>
      </c>
      <c r="P197" s="126">
        <f t="shared" si="96"/>
        <v>80</v>
      </c>
    </row>
    <row r="198" spans="1:16" ht="20.100000000000001" customHeight="1"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243" t="s">
        <v>119</v>
      </c>
      <c r="M198" s="244"/>
      <c r="N198" s="229">
        <f>AVERAGE(N179:N197)</f>
        <v>46.175494739798232</v>
      </c>
      <c r="O198" s="132"/>
      <c r="P198" s="131">
        <f>AVERAGE(P179:P197)</f>
        <v>78.695799059263479</v>
      </c>
    </row>
    <row r="199" spans="1:16" ht="9.75" customHeight="1">
      <c r="L199" s="99"/>
      <c r="N199" s="133"/>
      <c r="O199" s="133"/>
      <c r="P199" s="133"/>
    </row>
    <row r="200" spans="1:16" ht="36.75" customHeight="1"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5"/>
      <c r="O200" s="134"/>
      <c r="P200" s="136"/>
    </row>
    <row r="201" spans="1:16" ht="24" customHeight="1"/>
    <row r="202" spans="1:16" ht="24" customHeight="1"/>
    <row r="203" spans="1:16" ht="24" customHeight="1"/>
    <row r="204" spans="1:16" ht="24" customHeight="1"/>
    <row r="205" spans="1:16" ht="24" customHeight="1"/>
    <row r="206" spans="1:16" ht="24" customHeight="1"/>
    <row r="207" spans="1:16" ht="24" customHeight="1"/>
    <row r="208" spans="1:16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6.25" customHeight="1"/>
    <row r="220" ht="13.5"/>
  </sheetData>
  <mergeCells count="80">
    <mergeCell ref="A177:B177"/>
    <mergeCell ref="A196:B196"/>
    <mergeCell ref="D155:E155"/>
    <mergeCell ref="F155:I155"/>
    <mergeCell ref="J155:K155"/>
    <mergeCell ref="D168:E168"/>
    <mergeCell ref="F168:I168"/>
    <mergeCell ref="J168:K168"/>
    <mergeCell ref="A192:B192"/>
    <mergeCell ref="A193:B193"/>
    <mergeCell ref="A189:B189"/>
    <mergeCell ref="A184:B184"/>
    <mergeCell ref="A185:B185"/>
    <mergeCell ref="A182:B182"/>
    <mergeCell ref="A183:B183"/>
    <mergeCell ref="A191:B191"/>
    <mergeCell ref="F102:I102"/>
    <mergeCell ref="J102:K102"/>
    <mergeCell ref="D130:E130"/>
    <mergeCell ref="D90:E90"/>
    <mergeCell ref="F90:I90"/>
    <mergeCell ref="F122:I122"/>
    <mergeCell ref="J177:K177"/>
    <mergeCell ref="J50:K50"/>
    <mergeCell ref="J109:K109"/>
    <mergeCell ref="J67:K67"/>
    <mergeCell ref="F75:I75"/>
    <mergeCell ref="J75:K75"/>
    <mergeCell ref="J59:K59"/>
    <mergeCell ref="F109:I109"/>
    <mergeCell ref="F177:I177"/>
    <mergeCell ref="J122:K122"/>
    <mergeCell ref="F67:I67"/>
    <mergeCell ref="J136:K136"/>
    <mergeCell ref="F148:I148"/>
    <mergeCell ref="J148:K148"/>
    <mergeCell ref="F130:I130"/>
    <mergeCell ref="J130:K130"/>
    <mergeCell ref="J2:K2"/>
    <mergeCell ref="J14:K14"/>
    <mergeCell ref="D33:E33"/>
    <mergeCell ref="F33:I33"/>
    <mergeCell ref="J33:K33"/>
    <mergeCell ref="D21:E21"/>
    <mergeCell ref="D14:E14"/>
    <mergeCell ref="F14:I14"/>
    <mergeCell ref="F21:I21"/>
    <mergeCell ref="J21:K21"/>
    <mergeCell ref="F136:I136"/>
    <mergeCell ref="A197:B197"/>
    <mergeCell ref="D2:E2"/>
    <mergeCell ref="F2:I2"/>
    <mergeCell ref="F50:I50"/>
    <mergeCell ref="F59:I59"/>
    <mergeCell ref="D43:I43"/>
    <mergeCell ref="D59:E59"/>
    <mergeCell ref="D177:E177"/>
    <mergeCell ref="D50:E50"/>
    <mergeCell ref="D75:E75"/>
    <mergeCell ref="D148:E148"/>
    <mergeCell ref="D67:E67"/>
    <mergeCell ref="D109:E109"/>
    <mergeCell ref="D82:E82"/>
    <mergeCell ref="D102:E102"/>
    <mergeCell ref="F82:I82"/>
    <mergeCell ref="J82:K82"/>
    <mergeCell ref="L198:M198"/>
    <mergeCell ref="A178:B178"/>
    <mergeCell ref="A179:B179"/>
    <mergeCell ref="A180:B180"/>
    <mergeCell ref="A181:B181"/>
    <mergeCell ref="A190:B190"/>
    <mergeCell ref="A186:B186"/>
    <mergeCell ref="A187:B187"/>
    <mergeCell ref="A188:B188"/>
    <mergeCell ref="A194:B194"/>
    <mergeCell ref="A195:B195"/>
    <mergeCell ref="J90:K90"/>
    <mergeCell ref="D122:E122"/>
    <mergeCell ref="D136:E136"/>
  </mergeCells>
  <phoneticPr fontId="0" type="noConversion"/>
  <pageMargins left="0.37878787878787878" right="0.13541666666666699" top="0.7578125" bottom="0.28125" header="0.3046875" footer="0.25"/>
  <pageSetup paperSize="9" firstPageNumber="17" orientation="landscape" useFirstPageNumber="1" horizontalDpi="360" verticalDpi="360" r:id="rId1"/>
  <headerFooter scaleWithDoc="0" alignWithMargins="0">
    <oddHeader xml:space="preserve">&amp;C&amp;"Arial Narrow,Bold"&amp;12SEKOLAH MENENGAH PENGIRAN ANAK PUTERI HAJAH MASNA
YEAR 10, ASSESSMENT 1 2025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1"/>
  <sheetViews>
    <sheetView tabSelected="1" view="pageLayout" zoomScale="90" zoomScaleNormal="100" zoomScalePageLayoutView="90" workbookViewId="0">
      <selection activeCell="T12" sqref="T12"/>
    </sheetView>
  </sheetViews>
  <sheetFormatPr defaultColWidth="8.85546875" defaultRowHeight="12.95"/>
  <cols>
    <col min="1" max="1" width="17.42578125" bestFit="1" customWidth="1"/>
    <col min="2" max="2" width="8" customWidth="1"/>
    <col min="3" max="3" width="8.42578125" customWidth="1"/>
    <col min="15" max="15" width="19.28515625" customWidth="1"/>
    <col min="16" max="16" width="15.85546875" customWidth="1"/>
  </cols>
  <sheetData>
    <row r="2" spans="1:3" ht="32.1">
      <c r="A2" s="150" t="s">
        <v>120</v>
      </c>
      <c r="B2" s="143" t="s">
        <v>18</v>
      </c>
      <c r="C2" s="143" t="s">
        <v>20</v>
      </c>
    </row>
    <row r="3" spans="1:3" ht="24" customHeight="1">
      <c r="A3" s="151" t="s">
        <v>101</v>
      </c>
      <c r="B3" s="128">
        <f>'ANALYSIS BY SUBJECTS'!N179</f>
        <v>61.073825503355707</v>
      </c>
      <c r="C3" s="126">
        <f>'ANALYSIS BY SUBJECTS'!P179</f>
        <v>87.919463087248317</v>
      </c>
    </row>
    <row r="4" spans="1:3" ht="24" customHeight="1">
      <c r="A4" s="151" t="s">
        <v>102</v>
      </c>
      <c r="B4" s="128">
        <f>'ANALYSIS BY SUBJECTS'!N180</f>
        <v>59.060402684563762</v>
      </c>
      <c r="C4" s="126">
        <f>'ANALYSIS BY SUBJECTS'!P180</f>
        <v>91.946308724832221</v>
      </c>
    </row>
    <row r="5" spans="1:3" ht="24" customHeight="1">
      <c r="A5" s="151" t="s">
        <v>103</v>
      </c>
      <c r="B5" s="128">
        <f>'ANALYSIS BY SUBJECTS'!N181</f>
        <v>29.629629629629626</v>
      </c>
      <c r="C5" s="128">
        <f>'ANALYSIS BY SUBJECTS'!P181</f>
        <v>54.629629629629626</v>
      </c>
    </row>
    <row r="6" spans="1:3" ht="24" customHeight="1">
      <c r="A6" s="151" t="s">
        <v>104</v>
      </c>
      <c r="B6" s="128">
        <f>'ANALYSIS BY SUBJECTS'!N182</f>
        <v>42.592592592592595</v>
      </c>
      <c r="C6" s="128">
        <f>'ANALYSIS BY SUBJECTS'!P182</f>
        <v>62.962962962962962</v>
      </c>
    </row>
    <row r="7" spans="1:3" ht="24" customHeight="1">
      <c r="A7" s="151" t="s">
        <v>105</v>
      </c>
      <c r="B7" s="128">
        <f>'ANALYSIS BY SUBJECTS'!N183</f>
        <v>62.162162162162161</v>
      </c>
      <c r="C7" s="128">
        <f>'ANALYSIS BY SUBJECTS'!P183</f>
        <v>94.594594594594597</v>
      </c>
    </row>
    <row r="8" spans="1:3" ht="24" customHeight="1">
      <c r="A8" s="151" t="s">
        <v>106</v>
      </c>
      <c r="B8" s="128">
        <f>'ANALYSIS BY SUBJECTS'!N184</f>
        <v>68.571428571428569</v>
      </c>
      <c r="C8" s="128">
        <f>'ANALYSIS BY SUBJECTS'!P184</f>
        <v>94.285714285714278</v>
      </c>
    </row>
    <row r="9" spans="1:3" ht="24" customHeight="1">
      <c r="A9" s="151" t="s">
        <v>107</v>
      </c>
      <c r="B9" s="128">
        <f>'ANALYSIS BY SUBJECTS'!N185</f>
        <v>2.4390243902439024</v>
      </c>
      <c r="C9" s="128">
        <f>'ANALYSIS BY SUBJECTS'!P185</f>
        <v>26.829268292682929</v>
      </c>
    </row>
    <row r="10" spans="1:3" ht="24" customHeight="1">
      <c r="A10" s="151" t="s">
        <v>108</v>
      </c>
      <c r="B10" s="128">
        <f>'ANALYSIS BY SUBJECTS'!N186</f>
        <v>7.9365079365079358</v>
      </c>
      <c r="C10" s="128">
        <f>'ANALYSIS BY SUBJECTS'!P186</f>
        <v>57.142857142857139</v>
      </c>
    </row>
    <row r="11" spans="1:3" ht="24" customHeight="1">
      <c r="A11" s="151" t="s">
        <v>109</v>
      </c>
      <c r="B11" s="128">
        <f>'ANALYSIS BY SUBJECTS'!N187</f>
        <v>62.162162162162161</v>
      </c>
      <c r="C11" s="128">
        <f>'ANALYSIS BY SUBJECTS'!P187</f>
        <v>83.108108108108098</v>
      </c>
    </row>
    <row r="12" spans="1:3" ht="24" customHeight="1">
      <c r="A12" s="151" t="s">
        <v>110</v>
      </c>
      <c r="B12" s="128">
        <f>'ANALYSIS BY SUBJECTS'!N188</f>
        <v>30.434782608695656</v>
      </c>
      <c r="C12" s="126">
        <f>'ANALYSIS BY SUBJECTS'!P188</f>
        <v>91.304347826086953</v>
      </c>
    </row>
    <row r="13" spans="1:3" ht="24" customHeight="1">
      <c r="A13" s="151" t="s">
        <v>111</v>
      </c>
      <c r="B13" s="128">
        <f>'ANALYSIS BY SUBJECTS'!N189</f>
        <v>72.727272727272734</v>
      </c>
      <c r="C13" s="147">
        <f>'ANALYSIS BY SUBJECTS'!P189</f>
        <v>100</v>
      </c>
    </row>
    <row r="14" spans="1:3" ht="24" customHeight="1">
      <c r="A14" s="151" t="s">
        <v>112</v>
      </c>
      <c r="B14" s="148">
        <f>'ANALYSIS BY SUBJECTS'!N190</f>
        <v>33.333333333333329</v>
      </c>
      <c r="C14" s="149">
        <f>'ANALYSIS BY SUBJECTS'!P190</f>
        <v>91.666666666666657</v>
      </c>
    </row>
    <row r="15" spans="1:3" ht="24" customHeight="1">
      <c r="A15" s="151" t="s">
        <v>113</v>
      </c>
      <c r="B15" s="128">
        <f>'ANALYSIS BY SUBJECTS'!N191</f>
        <v>23.404255319148938</v>
      </c>
      <c r="C15" s="129">
        <f>'ANALYSIS BY SUBJECTS'!P191</f>
        <v>52.054794520547944</v>
      </c>
    </row>
    <row r="16" spans="1:3" ht="24" customHeight="1">
      <c r="A16" s="151" t="s">
        <v>114</v>
      </c>
      <c r="B16" s="128">
        <f>'ANALYSIS BY SUBJECTS'!N192</f>
        <v>59.45945945945946</v>
      </c>
      <c r="C16" s="128">
        <f>'ANALYSIS BY SUBJECTS'!P192</f>
        <v>76.470588235294116</v>
      </c>
    </row>
    <row r="17" spans="1:3" ht="24" customHeight="1">
      <c r="A17" s="151" t="s">
        <v>115</v>
      </c>
      <c r="B17" s="128">
        <f>'ANALYSIS BY SUBJECTS'!N193</f>
        <v>56.25</v>
      </c>
      <c r="C17" s="128">
        <f>'ANALYSIS BY SUBJECTS'!P193</f>
        <v>87.5</v>
      </c>
    </row>
    <row r="18" spans="1:3" ht="24" customHeight="1">
      <c r="A18" s="151" t="s">
        <v>116</v>
      </c>
      <c r="B18" s="128">
        <f>'ANALYSIS BY SUBJECTS'!N194</f>
        <v>60</v>
      </c>
      <c r="C18" s="128">
        <f>'ANALYSIS BY SUBJECTS'!P194</f>
        <v>80</v>
      </c>
    </row>
    <row r="19" spans="1:3" ht="24" customHeight="1">
      <c r="A19" s="151" t="s">
        <v>117</v>
      </c>
      <c r="B19" s="128">
        <f>'ANALYSIS BY SUBJECTS'!N195</f>
        <v>56.09756097560976</v>
      </c>
      <c r="C19" s="128">
        <f>'ANALYSIS BY SUBJECTS'!P195</f>
        <v>87.804878048780495</v>
      </c>
    </row>
    <row r="20" spans="1:3" ht="24" customHeight="1">
      <c r="A20" s="151" t="s">
        <v>118</v>
      </c>
      <c r="B20" s="128">
        <f>'ANALYSIS BY SUBJECTS'!$N$165</f>
        <v>65</v>
      </c>
      <c r="C20" s="128">
        <f>'ANALYSIS BY SUBJECTS'!$P$165</f>
        <v>95</v>
      </c>
    </row>
    <row r="21" spans="1:3" ht="24" customHeight="1">
      <c r="A21" s="151" t="str">
        <f>'ANALYSIS BY SUBJECTS'!A167</f>
        <v>IG ICT</v>
      </c>
      <c r="B21" s="128">
        <f>'ANALYSIS BY SUBJECTS'!$N$171</f>
        <v>25</v>
      </c>
      <c r="C21" s="128">
        <f>'ANALYSIS BY SUBJECTS'!$P$171</f>
        <v>87.5</v>
      </c>
    </row>
  </sheetData>
  <phoneticPr fontId="0" type="noConversion"/>
  <pageMargins left="0.48032407407407401" right="0.21643518518518517" top="1" bottom="1" header="0.5" footer="0.5"/>
  <pageSetup paperSize="9" scale="85" orientation="landscape" r:id="rId1"/>
  <headerFooter alignWithMargins="0">
    <oddFooter xml:space="preserve">&amp;LExam Dept SMPAPHM&amp;C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9"/>
  <sheetViews>
    <sheetView view="pageLayout" zoomScale="80" zoomScaleNormal="100" zoomScalePageLayoutView="80" workbookViewId="0">
      <selection activeCell="B20" sqref="B20"/>
    </sheetView>
  </sheetViews>
  <sheetFormatPr defaultColWidth="8.85546875" defaultRowHeight="12.95"/>
  <cols>
    <col min="1" max="1" width="14.42578125" customWidth="1"/>
    <col min="2" max="2" width="9.7109375" customWidth="1"/>
  </cols>
  <sheetData>
    <row r="2" spans="1:2" ht="27.95">
      <c r="A2" s="38" t="s">
        <v>121</v>
      </c>
      <c r="B2" s="37" t="s">
        <v>122</v>
      </c>
    </row>
    <row r="3" spans="1:2">
      <c r="A3" s="62" t="s">
        <v>123</v>
      </c>
      <c r="B3" s="63"/>
    </row>
    <row r="4" spans="1:2">
      <c r="A4" s="62" t="s">
        <v>124</v>
      </c>
      <c r="B4" s="63"/>
    </row>
    <row r="5" spans="1:2">
      <c r="A5" s="62" t="s">
        <v>125</v>
      </c>
      <c r="B5" s="63"/>
    </row>
    <row r="6" spans="1:2">
      <c r="A6" s="62" t="s">
        <v>126</v>
      </c>
      <c r="B6" s="63"/>
    </row>
    <row r="7" spans="1:2">
      <c r="A7" s="62" t="s">
        <v>127</v>
      </c>
      <c r="B7" s="63"/>
    </row>
    <row r="8" spans="1:2">
      <c r="A8" s="62" t="s">
        <v>128</v>
      </c>
      <c r="B8" s="63"/>
    </row>
    <row r="9" spans="1:2">
      <c r="A9" s="62" t="s">
        <v>129</v>
      </c>
      <c r="B9" s="63"/>
    </row>
  </sheetData>
  <phoneticPr fontId="0" type="noConversion"/>
  <pageMargins left="0.75" right="0.55000000000000004" top="1" bottom="1" header="0.5" footer="0.5"/>
  <pageSetup orientation="landscape" r:id="rId1"/>
  <headerFooter alignWithMargins="0">
    <oddHeader>&amp;CSEKOLAH MENENGAH PENGIRAN ANAK PUTERI HAJAH MASNA
MID YEAR EXAMINATION 2016, YEAR 10</oddHeader>
    <oddFooter>&amp;LExam Dept SMPAPHM&amp;CY9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182"/>
  <sheetViews>
    <sheetView zoomScaleNormal="75" workbookViewId="0">
      <selection activeCell="C11" sqref="C11"/>
    </sheetView>
  </sheetViews>
  <sheetFormatPr defaultColWidth="8.85546875" defaultRowHeight="12.95"/>
  <cols>
    <col min="1" max="1" width="16.42578125" customWidth="1"/>
    <col min="2" max="2" width="13.42578125" customWidth="1"/>
    <col min="3" max="3" width="9" customWidth="1"/>
    <col min="4" max="12" width="6.140625" customWidth="1"/>
    <col min="13" max="16" width="7.85546875" customWidth="1"/>
  </cols>
  <sheetData>
    <row r="1" spans="1:16" ht="15.9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15.95">
      <c r="A2" s="30" t="s">
        <v>130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s="1" customFormat="1" ht="15.95">
      <c r="A3" s="30"/>
      <c r="B3" s="30"/>
      <c r="C3" s="31"/>
      <c r="D3" s="255" t="s">
        <v>1</v>
      </c>
      <c r="E3" s="256"/>
      <c r="F3" s="255" t="s">
        <v>2</v>
      </c>
      <c r="G3" s="257"/>
      <c r="H3" s="257"/>
      <c r="I3" s="256"/>
      <c r="J3" s="255" t="s">
        <v>98</v>
      </c>
      <c r="K3" s="256"/>
      <c r="L3" s="32" t="s">
        <v>4</v>
      </c>
      <c r="M3" s="30"/>
      <c r="N3" s="30"/>
      <c r="O3" s="30"/>
      <c r="P3" s="30"/>
    </row>
    <row r="4" spans="1:16" s="27" customFormat="1" ht="33.950000000000003">
      <c r="A4" s="68" t="s">
        <v>120</v>
      </c>
      <c r="B4" s="68" t="s">
        <v>6</v>
      </c>
      <c r="C4" s="68" t="s">
        <v>7</v>
      </c>
      <c r="D4" s="68">
        <v>1</v>
      </c>
      <c r="E4" s="68">
        <v>2</v>
      </c>
      <c r="F4" s="68">
        <v>3</v>
      </c>
      <c r="G4" s="68">
        <v>4</v>
      </c>
      <c r="H4" s="68">
        <v>5</v>
      </c>
      <c r="I4" s="68">
        <v>6</v>
      </c>
      <c r="J4" s="68">
        <v>7</v>
      </c>
      <c r="K4" s="68">
        <v>8</v>
      </c>
      <c r="L4" s="68">
        <v>9</v>
      </c>
      <c r="M4" s="33" t="s">
        <v>17</v>
      </c>
      <c r="N4" s="33" t="s">
        <v>18</v>
      </c>
      <c r="O4" s="33" t="s">
        <v>19</v>
      </c>
      <c r="P4" s="33" t="s">
        <v>20</v>
      </c>
    </row>
    <row r="5" spans="1:16" s="1" customFormat="1" ht="15.95">
      <c r="A5" s="34" t="s">
        <v>101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3" t="e">
        <f t="shared" ref="N5:N13" si="0">((M5/C5)*100)</f>
        <v>#DIV/0!</v>
      </c>
      <c r="O5" s="26">
        <f t="shared" ref="O5:O13" si="1">SUM(D5:K5)</f>
        <v>0</v>
      </c>
      <c r="P5" s="23" t="e">
        <f t="shared" ref="P5:P13" si="2">((O5/C5)*100)</f>
        <v>#DIV/0!</v>
      </c>
    </row>
    <row r="6" spans="1:16" ht="15.95">
      <c r="A6" s="34" t="s">
        <v>131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3" t="e">
        <f t="shared" si="0"/>
        <v>#DIV/0!</v>
      </c>
      <c r="O6" s="26">
        <f t="shared" si="1"/>
        <v>0</v>
      </c>
      <c r="P6" s="23" t="e">
        <f t="shared" si="2"/>
        <v>#DIV/0!</v>
      </c>
    </row>
    <row r="7" spans="1:16" ht="15.95">
      <c r="A7" s="34" t="s">
        <v>132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3" t="e">
        <f t="shared" si="0"/>
        <v>#DIV/0!</v>
      </c>
      <c r="O7" s="26">
        <f t="shared" si="1"/>
        <v>0</v>
      </c>
      <c r="P7" s="23" t="e">
        <f t="shared" si="2"/>
        <v>#DIV/0!</v>
      </c>
    </row>
    <row r="8" spans="1:16" ht="15.95">
      <c r="A8" s="34" t="s">
        <v>133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3" t="e">
        <f t="shared" si="0"/>
        <v>#DIV/0!</v>
      </c>
      <c r="O8" s="26">
        <f t="shared" si="1"/>
        <v>0</v>
      </c>
      <c r="P8" s="23" t="e">
        <f t="shared" si="2"/>
        <v>#DIV/0!</v>
      </c>
    </row>
    <row r="9" spans="1:16" ht="15.95">
      <c r="A9" s="34" t="s">
        <v>104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3" t="e">
        <f t="shared" si="0"/>
        <v>#DIV/0!</v>
      </c>
      <c r="O9" s="26">
        <f t="shared" si="1"/>
        <v>0</v>
      </c>
      <c r="P9" s="23" t="e">
        <f t="shared" si="2"/>
        <v>#DIV/0!</v>
      </c>
    </row>
    <row r="10" spans="1:16" ht="15.95">
      <c r="A10" s="34" t="s">
        <v>105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3" t="e">
        <f t="shared" si="0"/>
        <v>#DIV/0!</v>
      </c>
      <c r="O10" s="26">
        <f t="shared" si="1"/>
        <v>0</v>
      </c>
      <c r="P10" s="23" t="e">
        <f t="shared" si="2"/>
        <v>#DIV/0!</v>
      </c>
    </row>
    <row r="11" spans="1:16" ht="15.95">
      <c r="A11" s="34" t="s">
        <v>106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3" t="e">
        <f t="shared" si="0"/>
        <v>#DIV/0!</v>
      </c>
      <c r="O11" s="26">
        <f t="shared" si="1"/>
        <v>0</v>
      </c>
      <c r="P11" s="23" t="e">
        <f t="shared" si="2"/>
        <v>#DIV/0!</v>
      </c>
    </row>
    <row r="12" spans="1:16" ht="15.95">
      <c r="A12" s="34" t="s">
        <v>108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3" t="e">
        <f t="shared" si="0"/>
        <v>#DIV/0!</v>
      </c>
      <c r="O12" s="26">
        <f t="shared" si="1"/>
        <v>0</v>
      </c>
      <c r="P12" s="23" t="e">
        <f t="shared" si="2"/>
        <v>#DIV/0!</v>
      </c>
    </row>
    <row r="13" spans="1:16" ht="15.95">
      <c r="A13" s="35" t="s">
        <v>134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3" t="e">
        <f t="shared" si="0"/>
        <v>#DIV/0!</v>
      </c>
      <c r="O13" s="26">
        <f t="shared" si="1"/>
        <v>0</v>
      </c>
      <c r="P13" s="23" t="e">
        <f t="shared" si="2"/>
        <v>#DIV/0!</v>
      </c>
    </row>
    <row r="14" spans="1:16" ht="15.9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28" t="e">
        <f>AVERAGE(N5:N13)</f>
        <v>#DIV/0!</v>
      </c>
      <c r="O14" s="29"/>
      <c r="P14" s="28" t="e">
        <f>AVERAGE(P5:P13)</f>
        <v>#DIV/0!</v>
      </c>
    </row>
    <row r="15" spans="1:16" ht="15.9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spans="1:16" ht="15.95">
      <c r="A16" s="30" t="s">
        <v>135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</row>
    <row r="17" spans="1:16" s="1" customFormat="1" ht="15.95">
      <c r="A17" s="30"/>
      <c r="B17" s="30"/>
      <c r="C17" s="31"/>
      <c r="D17" s="255" t="s">
        <v>1</v>
      </c>
      <c r="E17" s="256"/>
      <c r="F17" s="255" t="s">
        <v>2</v>
      </c>
      <c r="G17" s="257"/>
      <c r="H17" s="257"/>
      <c r="I17" s="256"/>
      <c r="J17" s="255" t="s">
        <v>98</v>
      </c>
      <c r="K17" s="256"/>
      <c r="L17" s="32" t="s">
        <v>4</v>
      </c>
      <c r="M17" s="30"/>
      <c r="N17" s="30"/>
      <c r="O17" s="30"/>
      <c r="P17" s="30"/>
    </row>
    <row r="18" spans="1:16" s="27" customFormat="1" ht="33.950000000000003">
      <c r="A18" s="68" t="s">
        <v>120</v>
      </c>
      <c r="B18" s="68" t="s">
        <v>6</v>
      </c>
      <c r="C18" s="68" t="s">
        <v>7</v>
      </c>
      <c r="D18" s="68">
        <v>1</v>
      </c>
      <c r="E18" s="68">
        <v>2</v>
      </c>
      <c r="F18" s="68">
        <v>3</v>
      </c>
      <c r="G18" s="68">
        <v>4</v>
      </c>
      <c r="H18" s="68">
        <v>5</v>
      </c>
      <c r="I18" s="68">
        <v>6</v>
      </c>
      <c r="J18" s="68">
        <v>7</v>
      </c>
      <c r="K18" s="68">
        <v>8</v>
      </c>
      <c r="L18" s="68">
        <v>9</v>
      </c>
      <c r="M18" s="33" t="s">
        <v>17</v>
      </c>
      <c r="N18" s="33" t="s">
        <v>18</v>
      </c>
      <c r="O18" s="33" t="s">
        <v>19</v>
      </c>
      <c r="P18" s="33" t="s">
        <v>20</v>
      </c>
    </row>
    <row r="19" spans="1:16" ht="15.95">
      <c r="A19" s="34" t="s">
        <v>101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3" t="e">
        <f>((M19/C19)*100)</f>
        <v>#DIV/0!</v>
      </c>
      <c r="O19" s="26">
        <f>SUM(D19:K19)</f>
        <v>0</v>
      </c>
      <c r="P19" s="23" t="e">
        <f>((O19/C19)*100)</f>
        <v>#DIV/0!</v>
      </c>
    </row>
    <row r="20" spans="1:16" ht="15.95">
      <c r="A20" s="34" t="s">
        <v>131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3" t="e">
        <f>((M20/C20)*100)</f>
        <v>#DIV/0!</v>
      </c>
      <c r="O20" s="26">
        <f>SUM(D20:K20)</f>
        <v>0</v>
      </c>
      <c r="P20" s="23" t="e">
        <f>((O20/C20)*100)</f>
        <v>#DIV/0!</v>
      </c>
    </row>
    <row r="21" spans="1:16" ht="15.95">
      <c r="A21" s="34" t="s">
        <v>132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3" t="e">
        <f>((M21/C21)*100)</f>
        <v>#DIV/0!</v>
      </c>
      <c r="O21" s="26">
        <f>SUM(D21:K21)</f>
        <v>0</v>
      </c>
      <c r="P21" s="23" t="e">
        <f>((O21/C21)*100)</f>
        <v>#DIV/0!</v>
      </c>
    </row>
    <row r="22" spans="1:16" ht="15.95">
      <c r="A22" s="34" t="s">
        <v>104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3" t="e">
        <f t="shared" ref="N22:N28" si="3">((M22/C22)*100)</f>
        <v>#DIV/0!</v>
      </c>
      <c r="O22" s="26">
        <v>10</v>
      </c>
      <c r="P22" s="23" t="e">
        <f t="shared" ref="P22:P28" si="4">((O22/C22)*100)</f>
        <v>#DIV/0!</v>
      </c>
    </row>
    <row r="23" spans="1:16" ht="15.95">
      <c r="A23" s="34" t="s">
        <v>105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3" t="e">
        <f t="shared" si="3"/>
        <v>#DIV/0!</v>
      </c>
      <c r="O23" s="26">
        <v>10</v>
      </c>
      <c r="P23" s="23" t="e">
        <f t="shared" si="4"/>
        <v>#DIV/0!</v>
      </c>
    </row>
    <row r="24" spans="1:16" ht="15.95">
      <c r="A24" s="34" t="s">
        <v>106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3" t="e">
        <f t="shared" si="3"/>
        <v>#DIV/0!</v>
      </c>
      <c r="O24" s="26">
        <v>19</v>
      </c>
      <c r="P24" s="23" t="e">
        <f t="shared" si="4"/>
        <v>#DIV/0!</v>
      </c>
    </row>
    <row r="25" spans="1:16" ht="15.95">
      <c r="A25" s="34" t="s">
        <v>108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3" t="e">
        <f t="shared" si="3"/>
        <v>#DIV/0!</v>
      </c>
      <c r="O25" s="26">
        <v>19</v>
      </c>
      <c r="P25" s="23" t="e">
        <f t="shared" si="4"/>
        <v>#DIV/0!</v>
      </c>
    </row>
    <row r="26" spans="1:16" ht="15.95">
      <c r="A26" s="26" t="s">
        <v>112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3" t="e">
        <f t="shared" si="3"/>
        <v>#DIV/0!</v>
      </c>
      <c r="O26" s="26">
        <v>3</v>
      </c>
      <c r="P26" s="23" t="e">
        <f t="shared" si="4"/>
        <v>#DIV/0!</v>
      </c>
    </row>
    <row r="27" spans="1:16" ht="15.95">
      <c r="A27" s="35" t="s">
        <v>134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3" t="e">
        <f t="shared" si="3"/>
        <v>#DIV/0!</v>
      </c>
      <c r="O27" s="26">
        <v>2</v>
      </c>
      <c r="P27" s="23" t="e">
        <f t="shared" si="4"/>
        <v>#DIV/0!</v>
      </c>
    </row>
    <row r="28" spans="1:16" ht="15.95">
      <c r="A28" s="35" t="s">
        <v>136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3" t="e">
        <f t="shared" si="3"/>
        <v>#DIV/0!</v>
      </c>
      <c r="O28" s="26">
        <v>12</v>
      </c>
      <c r="P28" s="23" t="e">
        <f t="shared" si="4"/>
        <v>#DIV/0!</v>
      </c>
    </row>
    <row r="29" spans="1:16" ht="15.9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28" t="e">
        <f>AVERAGE(N19:N28)</f>
        <v>#DIV/0!</v>
      </c>
      <c r="O29" s="29"/>
      <c r="P29" s="28" t="e">
        <f>AVERAGE(P19:P28)</f>
        <v>#DIV/0!</v>
      </c>
    </row>
    <row r="30" spans="1:16" ht="15.9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6"/>
      <c r="O30" s="31"/>
      <c r="P30" s="36"/>
    </row>
    <row r="31" spans="1:16" ht="15.95">
      <c r="A31" s="30" t="s">
        <v>137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</row>
    <row r="32" spans="1:16" s="1" customFormat="1" ht="15.95">
      <c r="A32" s="30"/>
      <c r="B32" s="30"/>
      <c r="C32" s="31"/>
      <c r="D32" s="255" t="s">
        <v>1</v>
      </c>
      <c r="E32" s="256"/>
      <c r="F32" s="255" t="s">
        <v>2</v>
      </c>
      <c r="G32" s="257"/>
      <c r="H32" s="257"/>
      <c r="I32" s="256"/>
      <c r="J32" s="255" t="s">
        <v>98</v>
      </c>
      <c r="K32" s="256"/>
      <c r="L32" s="32" t="s">
        <v>4</v>
      </c>
      <c r="M32" s="30"/>
      <c r="N32" s="30"/>
      <c r="O32" s="30"/>
      <c r="P32" s="30"/>
    </row>
    <row r="33" spans="1:16" s="27" customFormat="1" ht="33.950000000000003">
      <c r="A33" s="68" t="s">
        <v>120</v>
      </c>
      <c r="B33" s="68" t="s">
        <v>6</v>
      </c>
      <c r="C33" s="68" t="s">
        <v>7</v>
      </c>
      <c r="D33" s="68">
        <v>1</v>
      </c>
      <c r="E33" s="68">
        <v>2</v>
      </c>
      <c r="F33" s="68">
        <v>3</v>
      </c>
      <c r="G33" s="68">
        <v>4</v>
      </c>
      <c r="H33" s="68">
        <v>5</v>
      </c>
      <c r="I33" s="68">
        <v>6</v>
      </c>
      <c r="J33" s="68">
        <v>7</v>
      </c>
      <c r="K33" s="68">
        <v>8</v>
      </c>
      <c r="L33" s="68">
        <v>9</v>
      </c>
      <c r="M33" s="33" t="s">
        <v>17</v>
      </c>
      <c r="N33" s="33" t="s">
        <v>18</v>
      </c>
      <c r="O33" s="33" t="s">
        <v>19</v>
      </c>
      <c r="P33" s="33" t="s">
        <v>20</v>
      </c>
    </row>
    <row r="34" spans="1:16" ht="15.95">
      <c r="A34" s="34" t="s">
        <v>101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3" t="e">
        <f t="shared" ref="N34:N42" si="5">((M34/C34)*100)</f>
        <v>#DIV/0!</v>
      </c>
      <c r="O34" s="26">
        <v>18</v>
      </c>
      <c r="P34" s="23" t="e">
        <f t="shared" ref="P34:P42" si="6">((O34/C34)*100)</f>
        <v>#DIV/0!</v>
      </c>
    </row>
    <row r="35" spans="1:16" ht="15.95">
      <c r="A35" s="34" t="s">
        <v>131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3" t="e">
        <f t="shared" si="5"/>
        <v>#DIV/0!</v>
      </c>
      <c r="O35" s="26">
        <v>15</v>
      </c>
      <c r="P35" s="23" t="e">
        <f t="shared" si="6"/>
        <v>#DIV/0!</v>
      </c>
    </row>
    <row r="36" spans="1:16" ht="15.95">
      <c r="A36" s="34" t="s">
        <v>132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3" t="e">
        <f t="shared" si="5"/>
        <v>#DIV/0!</v>
      </c>
      <c r="O36" s="26">
        <v>9</v>
      </c>
      <c r="P36" s="23" t="e">
        <f t="shared" si="6"/>
        <v>#DIV/0!</v>
      </c>
    </row>
    <row r="37" spans="1:16" ht="15.95">
      <c r="A37" s="34" t="s">
        <v>138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3" t="e">
        <f t="shared" si="5"/>
        <v>#DIV/0!</v>
      </c>
      <c r="O37" s="26">
        <v>6</v>
      </c>
      <c r="P37" s="23" t="e">
        <f t="shared" si="6"/>
        <v>#DIV/0!</v>
      </c>
    </row>
    <row r="38" spans="1:16" ht="15.95">
      <c r="A38" s="34" t="s">
        <v>108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3" t="e">
        <f t="shared" si="5"/>
        <v>#DIV/0!</v>
      </c>
      <c r="O38" s="26">
        <v>7</v>
      </c>
      <c r="P38" s="23" t="e">
        <f t="shared" si="6"/>
        <v>#DIV/0!</v>
      </c>
    </row>
    <row r="39" spans="1:16" ht="15.95">
      <c r="A39" s="34" t="s">
        <v>110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3" t="e">
        <f t="shared" si="5"/>
        <v>#DIV/0!</v>
      </c>
      <c r="O39" s="26">
        <v>14</v>
      </c>
      <c r="P39" s="23" t="e">
        <f t="shared" si="6"/>
        <v>#DIV/0!</v>
      </c>
    </row>
    <row r="40" spans="1:16" ht="15.95">
      <c r="A40" s="34" t="s">
        <v>109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3" t="e">
        <f t="shared" si="5"/>
        <v>#DIV/0!</v>
      </c>
      <c r="O40" s="26">
        <v>16</v>
      </c>
      <c r="P40" s="23" t="e">
        <f t="shared" si="6"/>
        <v>#DIV/0!</v>
      </c>
    </row>
    <row r="41" spans="1:16" ht="15.95">
      <c r="A41" s="35" t="s">
        <v>111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3" t="e">
        <f t="shared" si="5"/>
        <v>#DIV/0!</v>
      </c>
      <c r="O41" s="26">
        <v>14</v>
      </c>
      <c r="P41" s="23" t="e">
        <f t="shared" si="6"/>
        <v>#DIV/0!</v>
      </c>
    </row>
    <row r="42" spans="1:16" ht="15.95">
      <c r="A42" s="35" t="s">
        <v>139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3" t="e">
        <f t="shared" si="5"/>
        <v>#DIV/0!</v>
      </c>
      <c r="O42" s="26">
        <v>2</v>
      </c>
      <c r="P42" s="23" t="e">
        <f t="shared" si="6"/>
        <v>#DIV/0!</v>
      </c>
    </row>
    <row r="43" spans="1:16" ht="15.9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28" t="e">
        <f>AVERAGE(N34:N42)</f>
        <v>#DIV/0!</v>
      </c>
      <c r="O43" s="29"/>
      <c r="P43" s="28" t="e">
        <f>AVERAGE(P34:P42)</f>
        <v>#DIV/0!</v>
      </c>
    </row>
    <row r="44" spans="1:16" ht="15.9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6"/>
      <c r="O44" s="31"/>
      <c r="P44" s="36"/>
    </row>
    <row r="45" spans="1:16" ht="15.95">
      <c r="A45" s="30" t="s">
        <v>140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</row>
    <row r="46" spans="1:16" s="1" customFormat="1" ht="15.95">
      <c r="A46" s="30"/>
      <c r="B46" s="30"/>
      <c r="C46" s="31"/>
      <c r="D46" s="255" t="s">
        <v>1</v>
      </c>
      <c r="E46" s="256"/>
      <c r="F46" s="255" t="s">
        <v>2</v>
      </c>
      <c r="G46" s="257"/>
      <c r="H46" s="257"/>
      <c r="I46" s="256"/>
      <c r="J46" s="255" t="s">
        <v>98</v>
      </c>
      <c r="K46" s="256"/>
      <c r="L46" s="32" t="s">
        <v>4</v>
      </c>
      <c r="M46" s="30"/>
      <c r="N46" s="30"/>
      <c r="O46" s="30"/>
      <c r="P46" s="30"/>
    </row>
    <row r="47" spans="1:16" s="27" customFormat="1" ht="33.950000000000003">
      <c r="A47" s="68" t="s">
        <v>120</v>
      </c>
      <c r="B47" s="68" t="s">
        <v>6</v>
      </c>
      <c r="C47" s="68" t="s">
        <v>7</v>
      </c>
      <c r="D47" s="68">
        <v>1</v>
      </c>
      <c r="E47" s="68">
        <v>2</v>
      </c>
      <c r="F47" s="68">
        <v>3</v>
      </c>
      <c r="G47" s="68">
        <v>4</v>
      </c>
      <c r="H47" s="68">
        <v>5</v>
      </c>
      <c r="I47" s="68">
        <v>6</v>
      </c>
      <c r="J47" s="68">
        <v>7</v>
      </c>
      <c r="K47" s="68">
        <v>8</v>
      </c>
      <c r="L47" s="68">
        <v>9</v>
      </c>
      <c r="M47" s="33" t="s">
        <v>17</v>
      </c>
      <c r="N47" s="33" t="s">
        <v>18</v>
      </c>
      <c r="O47" s="33" t="s">
        <v>19</v>
      </c>
      <c r="P47" s="33" t="s">
        <v>20</v>
      </c>
    </row>
    <row r="48" spans="1:16" ht="15.95">
      <c r="A48" s="34" t="s">
        <v>101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3" t="e">
        <f t="shared" ref="N48:N56" si="7">((M48/C48)*100)</f>
        <v>#DIV/0!</v>
      </c>
      <c r="O48" s="26">
        <v>24</v>
      </c>
      <c r="P48" s="23" t="e">
        <f t="shared" ref="P48:P56" si="8">((O48/C48)*100)</f>
        <v>#DIV/0!</v>
      </c>
    </row>
    <row r="49" spans="1:16" ht="15.95">
      <c r="A49" s="34" t="s">
        <v>131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3" t="e">
        <f t="shared" si="7"/>
        <v>#DIV/0!</v>
      </c>
      <c r="O49" s="26">
        <v>20</v>
      </c>
      <c r="P49" s="23" t="e">
        <f t="shared" si="8"/>
        <v>#DIV/0!</v>
      </c>
    </row>
    <row r="50" spans="1:16" ht="15.95">
      <c r="A50" s="34" t="s">
        <v>132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3" t="e">
        <f t="shared" si="7"/>
        <v>#DIV/0!</v>
      </c>
      <c r="O50" s="26">
        <v>5</v>
      </c>
      <c r="P50" s="23" t="e">
        <f t="shared" si="8"/>
        <v>#DIV/0!</v>
      </c>
    </row>
    <row r="51" spans="1:16" ht="15.95">
      <c r="A51" s="34" t="s">
        <v>138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3" t="e">
        <f t="shared" si="7"/>
        <v>#DIV/0!</v>
      </c>
      <c r="O51" s="26">
        <v>10</v>
      </c>
      <c r="P51" s="23" t="e">
        <f t="shared" si="8"/>
        <v>#DIV/0!</v>
      </c>
    </row>
    <row r="52" spans="1:16" ht="15.95">
      <c r="A52" s="34" t="s">
        <v>108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3" t="e">
        <f t="shared" si="7"/>
        <v>#DIV/0!</v>
      </c>
      <c r="O52" s="26">
        <v>12</v>
      </c>
      <c r="P52" s="23" t="e">
        <f t="shared" si="8"/>
        <v>#DIV/0!</v>
      </c>
    </row>
    <row r="53" spans="1:16" ht="15.95">
      <c r="A53" s="34" t="s">
        <v>110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3" t="e">
        <f t="shared" si="7"/>
        <v>#DIV/0!</v>
      </c>
      <c r="O53" s="26">
        <v>13</v>
      </c>
      <c r="P53" s="23" t="e">
        <f t="shared" si="8"/>
        <v>#DIV/0!</v>
      </c>
    </row>
    <row r="54" spans="1:16" ht="15.95">
      <c r="A54" s="34" t="s">
        <v>109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3" t="e">
        <f t="shared" si="7"/>
        <v>#DIV/0!</v>
      </c>
      <c r="O54" s="26">
        <v>22</v>
      </c>
      <c r="P54" s="23" t="e">
        <f t="shared" si="8"/>
        <v>#DIV/0!</v>
      </c>
    </row>
    <row r="55" spans="1:16" ht="15.95">
      <c r="A55" s="35" t="s">
        <v>141</v>
      </c>
      <c r="B55" s="26"/>
      <c r="C55" s="26"/>
      <c r="D55" s="32"/>
      <c r="E55" s="26"/>
      <c r="F55" s="26"/>
      <c r="G55" s="26"/>
      <c r="H55" s="26"/>
      <c r="I55" s="26"/>
      <c r="J55" s="32"/>
      <c r="K55" s="32"/>
      <c r="L55" s="32"/>
      <c r="M55" s="26"/>
      <c r="N55" s="23" t="e">
        <f t="shared" si="7"/>
        <v>#DIV/0!</v>
      </c>
      <c r="O55" s="26">
        <v>10</v>
      </c>
      <c r="P55" s="23" t="e">
        <f t="shared" si="8"/>
        <v>#DIV/0!</v>
      </c>
    </row>
    <row r="56" spans="1:16" ht="15.95">
      <c r="A56" s="35" t="s">
        <v>136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3" t="e">
        <f t="shared" si="7"/>
        <v>#DIV/0!</v>
      </c>
      <c r="O56" s="26">
        <v>8</v>
      </c>
      <c r="P56" s="23" t="e">
        <f t="shared" si="8"/>
        <v>#DIV/0!</v>
      </c>
    </row>
    <row r="57" spans="1:16" ht="15.9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28" t="e">
        <f>AVERAGE(N48:N56)</f>
        <v>#DIV/0!</v>
      </c>
      <c r="O57" s="29"/>
      <c r="P57" s="28" t="e">
        <f>AVERAGE(P48:P56)</f>
        <v>#DIV/0!</v>
      </c>
    </row>
    <row r="58" spans="1:16" ht="15.9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6"/>
      <c r="O58" s="31"/>
      <c r="P58" s="36"/>
    </row>
    <row r="59" spans="1:16" ht="15.95">
      <c r="A59" s="30" t="s">
        <v>142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</row>
    <row r="60" spans="1:16" s="1" customFormat="1" ht="15.95">
      <c r="A60" s="30"/>
      <c r="B60" s="30"/>
      <c r="C60" s="31"/>
      <c r="D60" s="255" t="s">
        <v>1</v>
      </c>
      <c r="E60" s="256"/>
      <c r="F60" s="255" t="s">
        <v>2</v>
      </c>
      <c r="G60" s="257"/>
      <c r="H60" s="257"/>
      <c r="I60" s="256"/>
      <c r="J60" s="255" t="s">
        <v>98</v>
      </c>
      <c r="K60" s="256"/>
      <c r="L60" s="32" t="s">
        <v>4</v>
      </c>
      <c r="M60" s="30"/>
      <c r="N60" s="30"/>
      <c r="O60" s="30"/>
      <c r="P60" s="30"/>
    </row>
    <row r="61" spans="1:16" s="27" customFormat="1" ht="33.950000000000003">
      <c r="A61" s="68" t="s">
        <v>120</v>
      </c>
      <c r="B61" s="68" t="s">
        <v>6</v>
      </c>
      <c r="C61" s="68" t="s">
        <v>7</v>
      </c>
      <c r="D61" s="68">
        <v>1</v>
      </c>
      <c r="E61" s="68">
        <v>2</v>
      </c>
      <c r="F61" s="68">
        <v>3</v>
      </c>
      <c r="G61" s="68">
        <v>4</v>
      </c>
      <c r="H61" s="68">
        <v>5</v>
      </c>
      <c r="I61" s="68">
        <v>6</v>
      </c>
      <c r="J61" s="68">
        <v>7</v>
      </c>
      <c r="K61" s="68">
        <v>8</v>
      </c>
      <c r="L61" s="68">
        <v>9</v>
      </c>
      <c r="M61" s="33" t="s">
        <v>17</v>
      </c>
      <c r="N61" s="33" t="s">
        <v>18</v>
      </c>
      <c r="O61" s="33" t="s">
        <v>19</v>
      </c>
      <c r="P61" s="33" t="s">
        <v>20</v>
      </c>
    </row>
    <row r="62" spans="1:16" ht="15.95">
      <c r="A62" s="34" t="s">
        <v>101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3" t="e">
        <f t="shared" ref="N62:N69" si="9">((M62/C62)*100)</f>
        <v>#DIV/0!</v>
      </c>
      <c r="O62" s="26">
        <v>18</v>
      </c>
      <c r="P62" s="23" t="e">
        <f t="shared" ref="P62:P69" si="10">((O62/C62)*100)</f>
        <v>#DIV/0!</v>
      </c>
    </row>
    <row r="63" spans="1:16" ht="15.95">
      <c r="A63" s="34" t="s">
        <v>131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3" t="e">
        <f t="shared" si="9"/>
        <v>#DIV/0!</v>
      </c>
      <c r="O63" s="26">
        <v>7</v>
      </c>
      <c r="P63" s="23" t="e">
        <f t="shared" si="10"/>
        <v>#DIV/0!</v>
      </c>
    </row>
    <row r="64" spans="1:16" ht="15.95">
      <c r="A64" s="34" t="s">
        <v>132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3" t="e">
        <f t="shared" si="9"/>
        <v>#DIV/0!</v>
      </c>
      <c r="O64" s="26">
        <v>2</v>
      </c>
      <c r="P64" s="23" t="e">
        <f t="shared" si="10"/>
        <v>#DIV/0!</v>
      </c>
    </row>
    <row r="65" spans="1:16" ht="15.95">
      <c r="A65" s="34" t="s">
        <v>138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3" t="e">
        <f t="shared" si="9"/>
        <v>#DIV/0!</v>
      </c>
      <c r="O65" s="26">
        <v>1</v>
      </c>
      <c r="P65" s="23" t="e">
        <f t="shared" si="10"/>
        <v>#DIV/0!</v>
      </c>
    </row>
    <row r="66" spans="1:16" ht="15.95">
      <c r="A66" s="34" t="s">
        <v>108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3" t="e">
        <f t="shared" si="9"/>
        <v>#DIV/0!</v>
      </c>
      <c r="O66" s="26">
        <v>9</v>
      </c>
      <c r="P66" s="23" t="e">
        <f t="shared" si="10"/>
        <v>#DIV/0!</v>
      </c>
    </row>
    <row r="67" spans="1:16" ht="15.95">
      <c r="A67" s="34" t="s">
        <v>109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3" t="e">
        <f t="shared" si="9"/>
        <v>#DIV/0!</v>
      </c>
      <c r="O67" s="26">
        <v>15</v>
      </c>
      <c r="P67" s="23" t="e">
        <f t="shared" si="10"/>
        <v>#DIV/0!</v>
      </c>
    </row>
    <row r="68" spans="1:16" ht="15.95">
      <c r="A68" s="26" t="s">
        <v>111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3" t="e">
        <f t="shared" si="9"/>
        <v>#DIV/0!</v>
      </c>
      <c r="O68" s="26">
        <v>17</v>
      </c>
      <c r="P68" s="23" t="e">
        <f t="shared" si="10"/>
        <v>#DIV/0!</v>
      </c>
    </row>
    <row r="69" spans="1:16" ht="15.95">
      <c r="A69" s="34" t="s">
        <v>117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3" t="e">
        <f t="shared" si="9"/>
        <v>#DIV/0!</v>
      </c>
      <c r="O69" s="26">
        <v>17</v>
      </c>
      <c r="P69" s="23" t="e">
        <f t="shared" si="10"/>
        <v>#DIV/0!</v>
      </c>
    </row>
    <row r="70" spans="1:16" ht="15.95">
      <c r="A70" s="30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28" t="e">
        <f>AVERAGE(N62:N69)</f>
        <v>#DIV/0!</v>
      </c>
      <c r="O70" s="29"/>
      <c r="P70" s="28" t="e">
        <f>AVERAGE(P62:P69)</f>
        <v>#DIV/0!</v>
      </c>
    </row>
    <row r="71" spans="1:16" ht="15.95">
      <c r="A71" s="30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6"/>
      <c r="O71" s="31"/>
      <c r="P71" s="36"/>
    </row>
    <row r="72" spans="1:16" ht="15.95">
      <c r="A72" s="30" t="s">
        <v>143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</row>
    <row r="73" spans="1:16" ht="18" customHeight="1">
      <c r="A73" s="30"/>
      <c r="B73" s="30"/>
      <c r="C73" s="31"/>
      <c r="D73" s="255" t="s">
        <v>1</v>
      </c>
      <c r="E73" s="256"/>
      <c r="F73" s="255" t="s">
        <v>2</v>
      </c>
      <c r="G73" s="257"/>
      <c r="H73" s="257"/>
      <c r="I73" s="256"/>
      <c r="J73" s="255" t="s">
        <v>98</v>
      </c>
      <c r="K73" s="256"/>
      <c r="L73" s="32" t="s">
        <v>4</v>
      </c>
      <c r="M73" s="30"/>
      <c r="N73" s="30"/>
      <c r="O73" s="30"/>
      <c r="P73" s="30"/>
    </row>
    <row r="74" spans="1:16" s="1" customFormat="1" ht="33.950000000000003">
      <c r="A74" s="68" t="s">
        <v>120</v>
      </c>
      <c r="B74" s="68" t="s">
        <v>6</v>
      </c>
      <c r="C74" s="68" t="s">
        <v>7</v>
      </c>
      <c r="D74" s="68">
        <v>1</v>
      </c>
      <c r="E74" s="68">
        <v>2</v>
      </c>
      <c r="F74" s="68">
        <v>3</v>
      </c>
      <c r="G74" s="68">
        <v>4</v>
      </c>
      <c r="H74" s="68">
        <v>5</v>
      </c>
      <c r="I74" s="68">
        <v>6</v>
      </c>
      <c r="J74" s="68">
        <v>7</v>
      </c>
      <c r="K74" s="68">
        <v>8</v>
      </c>
      <c r="L74" s="68">
        <v>9</v>
      </c>
      <c r="M74" s="33" t="s">
        <v>17</v>
      </c>
      <c r="N74" s="33" t="s">
        <v>18</v>
      </c>
      <c r="O74" s="33" t="s">
        <v>19</v>
      </c>
      <c r="P74" s="33" t="s">
        <v>20</v>
      </c>
    </row>
    <row r="75" spans="1:16" s="27" customFormat="1" ht="15.95">
      <c r="A75" s="34" t="s">
        <v>101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3" t="e">
        <f t="shared" ref="N75:N82" si="11">((M75/C75)*100)</f>
        <v>#DIV/0!</v>
      </c>
      <c r="O75" s="26">
        <v>25</v>
      </c>
      <c r="P75" s="23" t="e">
        <f t="shared" ref="P75:P82" si="12">((O75/C75)*100)</f>
        <v>#DIV/0!</v>
      </c>
    </row>
    <row r="76" spans="1:16" ht="15.95">
      <c r="A76" s="34" t="s">
        <v>131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3" t="e">
        <f t="shared" si="11"/>
        <v>#DIV/0!</v>
      </c>
      <c r="O76" s="26">
        <v>7</v>
      </c>
      <c r="P76" s="23" t="e">
        <f t="shared" si="12"/>
        <v>#DIV/0!</v>
      </c>
    </row>
    <row r="77" spans="1:16" ht="15.95">
      <c r="A77" s="34" t="s">
        <v>132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3" t="e">
        <f t="shared" si="11"/>
        <v>#DIV/0!</v>
      </c>
      <c r="O77" s="26">
        <v>2</v>
      </c>
      <c r="P77" s="23" t="e">
        <f t="shared" si="12"/>
        <v>#DIV/0!</v>
      </c>
    </row>
    <row r="78" spans="1:16" ht="15.95">
      <c r="A78" s="34" t="s">
        <v>138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3" t="e">
        <f t="shared" si="11"/>
        <v>#DIV/0!</v>
      </c>
      <c r="O78" s="26">
        <v>9</v>
      </c>
      <c r="P78" s="23" t="e">
        <f t="shared" si="12"/>
        <v>#DIV/0!</v>
      </c>
    </row>
    <row r="79" spans="1:16" ht="15.95">
      <c r="A79" s="34" t="s">
        <v>108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3" t="e">
        <f t="shared" si="11"/>
        <v>#DIV/0!</v>
      </c>
      <c r="O79" s="26">
        <v>3</v>
      </c>
      <c r="P79" s="23" t="e">
        <f t="shared" si="12"/>
        <v>#DIV/0!</v>
      </c>
    </row>
    <row r="80" spans="1:16" s="1" customFormat="1" ht="15.95">
      <c r="A80" s="34" t="s">
        <v>109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3" t="e">
        <f t="shared" si="11"/>
        <v>#DIV/0!</v>
      </c>
      <c r="O80" s="26">
        <v>24</v>
      </c>
      <c r="P80" s="23" t="e">
        <f t="shared" si="12"/>
        <v>#DIV/0!</v>
      </c>
    </row>
    <row r="81" spans="1:17" ht="15.95">
      <c r="A81" s="35" t="s">
        <v>136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3" t="e">
        <f t="shared" si="11"/>
        <v>#DIV/0!</v>
      </c>
      <c r="O81" s="26">
        <v>2</v>
      </c>
      <c r="P81" s="23" t="e">
        <f t="shared" si="12"/>
        <v>#DIV/0!</v>
      </c>
    </row>
    <row r="82" spans="1:17" s="1" customFormat="1" ht="15.95">
      <c r="A82" s="34" t="s">
        <v>117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3" t="e">
        <f t="shared" si="11"/>
        <v>#DIV/0!</v>
      </c>
      <c r="O82" s="26">
        <v>24</v>
      </c>
      <c r="P82" s="23" t="e">
        <f t="shared" si="12"/>
        <v>#DIV/0!</v>
      </c>
      <c r="Q82"/>
    </row>
    <row r="83" spans="1:17" s="1" customFormat="1" ht="15.95">
      <c r="A83" s="30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28" t="e">
        <f>AVERAGE(N75:N82)</f>
        <v>#DIV/0!</v>
      </c>
      <c r="O83" s="29"/>
      <c r="P83" s="28" t="e">
        <f>AVERAGE(P75:P82)</f>
        <v>#DIV/0!</v>
      </c>
      <c r="Q83"/>
    </row>
    <row r="84" spans="1:17" s="1" customFormat="1" ht="15.95">
      <c r="A84" s="30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28"/>
      <c r="O84" s="29"/>
      <c r="P84" s="28"/>
      <c r="Q84"/>
    </row>
    <row r="85" spans="1:17" s="1" customFormat="1" ht="15.95">
      <c r="A85" s="30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28"/>
      <c r="O85" s="29"/>
      <c r="P85" s="28"/>
      <c r="Q85"/>
    </row>
    <row r="86" spans="1:17" ht="15.95">
      <c r="A86" s="30" t="s">
        <v>144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</row>
    <row r="87" spans="1:17" s="1" customFormat="1" ht="15.95">
      <c r="A87" s="30"/>
      <c r="B87" s="30"/>
      <c r="C87" s="31"/>
      <c r="D87" s="255" t="s">
        <v>1</v>
      </c>
      <c r="E87" s="256"/>
      <c r="F87" s="255" t="s">
        <v>2</v>
      </c>
      <c r="G87" s="257"/>
      <c r="H87" s="257"/>
      <c r="I87" s="256"/>
      <c r="J87" s="255" t="s">
        <v>98</v>
      </c>
      <c r="K87" s="256"/>
      <c r="L87" s="32" t="s">
        <v>4</v>
      </c>
      <c r="M87" s="30"/>
      <c r="N87" s="30"/>
      <c r="O87" s="30"/>
      <c r="P87" s="30"/>
    </row>
    <row r="88" spans="1:17" s="27" customFormat="1" ht="33.950000000000003">
      <c r="A88" s="68" t="s">
        <v>120</v>
      </c>
      <c r="B88" s="68" t="s">
        <v>6</v>
      </c>
      <c r="C88" s="68" t="s">
        <v>7</v>
      </c>
      <c r="D88" s="68">
        <v>1</v>
      </c>
      <c r="E88" s="68">
        <v>2</v>
      </c>
      <c r="F88" s="68">
        <v>3</v>
      </c>
      <c r="G88" s="68">
        <v>4</v>
      </c>
      <c r="H88" s="68">
        <v>5</v>
      </c>
      <c r="I88" s="68">
        <v>6</v>
      </c>
      <c r="J88" s="68">
        <v>7</v>
      </c>
      <c r="K88" s="68">
        <v>8</v>
      </c>
      <c r="L88" s="68">
        <v>9</v>
      </c>
      <c r="M88" s="33" t="s">
        <v>17</v>
      </c>
      <c r="N88" s="33" t="s">
        <v>18</v>
      </c>
      <c r="O88" s="33" t="s">
        <v>19</v>
      </c>
      <c r="P88" s="33" t="s">
        <v>20</v>
      </c>
    </row>
    <row r="89" spans="1:17" ht="15.95">
      <c r="A89" s="34" t="s">
        <v>101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3" t="e">
        <f t="shared" ref="N89:N95" si="13">((M89/C89)*100)</f>
        <v>#DIV/0!</v>
      </c>
      <c r="O89" s="26">
        <v>15</v>
      </c>
      <c r="P89" s="23" t="e">
        <f t="shared" ref="P89:P95" si="14">((O89/C89)*100)</f>
        <v>#DIV/0!</v>
      </c>
      <c r="Q89" s="1"/>
    </row>
    <row r="90" spans="1:17" s="1" customFormat="1" ht="15.95">
      <c r="A90" s="34" t="s">
        <v>131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3" t="e">
        <f t="shared" si="13"/>
        <v>#DIV/0!</v>
      </c>
      <c r="O90" s="26">
        <v>1</v>
      </c>
      <c r="P90" s="23" t="e">
        <f t="shared" si="14"/>
        <v>#DIV/0!</v>
      </c>
      <c r="Q90"/>
    </row>
    <row r="91" spans="1:17" s="1" customFormat="1" ht="15.95">
      <c r="A91" s="34" t="s">
        <v>132</v>
      </c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3" t="e">
        <f t="shared" si="13"/>
        <v>#DIV/0!</v>
      </c>
      <c r="O91" s="26">
        <v>1</v>
      </c>
      <c r="P91" s="23" t="e">
        <f t="shared" si="14"/>
        <v>#DIV/0!</v>
      </c>
      <c r="Q91"/>
    </row>
    <row r="92" spans="1:17" s="1" customFormat="1" ht="15.95">
      <c r="A92" s="34" t="s">
        <v>138</v>
      </c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3" t="e">
        <f t="shared" si="13"/>
        <v>#DIV/0!</v>
      </c>
      <c r="O92" s="26">
        <v>0</v>
      </c>
      <c r="P92" s="23" t="e">
        <f t="shared" si="14"/>
        <v>#DIV/0!</v>
      </c>
      <c r="Q92"/>
    </row>
    <row r="93" spans="1:17" s="1" customFormat="1" ht="15.95">
      <c r="A93" s="34" t="s">
        <v>141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3" t="e">
        <f t="shared" si="13"/>
        <v>#DIV/0!</v>
      </c>
      <c r="O93" s="26">
        <v>15</v>
      </c>
      <c r="P93" s="23" t="e">
        <f t="shared" si="14"/>
        <v>#DIV/0!</v>
      </c>
    </row>
    <row r="94" spans="1:17" s="1" customFormat="1" ht="15.95">
      <c r="A94" s="34" t="s">
        <v>109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3" t="e">
        <f t="shared" si="13"/>
        <v>#DIV/0!</v>
      </c>
      <c r="O94" s="26">
        <v>12</v>
      </c>
      <c r="P94" s="23" t="e">
        <f t="shared" si="14"/>
        <v>#DIV/0!</v>
      </c>
    </row>
    <row r="95" spans="1:17" ht="13.5" customHeight="1">
      <c r="A95" s="34" t="s">
        <v>117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3" t="e">
        <f t="shared" si="13"/>
        <v>#DIV/0!</v>
      </c>
      <c r="O95" s="26">
        <v>13</v>
      </c>
      <c r="P95" s="23" t="e">
        <f t="shared" si="14"/>
        <v>#DIV/0!</v>
      </c>
    </row>
    <row r="96" spans="1:17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28" t="e">
        <f>AVERAGE(N89:N95)</f>
        <v>#DIV/0!</v>
      </c>
      <c r="O96" s="29"/>
      <c r="P96" s="28" t="e">
        <f>AVERAGE(P89:P95)</f>
        <v>#DIV/0!</v>
      </c>
    </row>
    <row r="97" spans="1:16" ht="15" customHeight="1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28"/>
      <c r="O97" s="29"/>
      <c r="P97" s="28"/>
    </row>
    <row r="98" spans="1:16" ht="15" customHeight="1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28"/>
      <c r="O98" s="29"/>
      <c r="P98" s="28"/>
    </row>
    <row r="99" spans="1:16" ht="19.5" customHeight="1">
      <c r="A99" s="30" t="s">
        <v>145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</row>
    <row r="100" spans="1:16" ht="18" customHeight="1">
      <c r="A100" s="30"/>
      <c r="B100" s="30"/>
      <c r="C100" s="31"/>
      <c r="D100" s="255" t="s">
        <v>1</v>
      </c>
      <c r="E100" s="256"/>
      <c r="F100" s="255" t="s">
        <v>2</v>
      </c>
      <c r="G100" s="257"/>
      <c r="H100" s="257"/>
      <c r="I100" s="256"/>
      <c r="J100" s="255" t="s">
        <v>98</v>
      </c>
      <c r="K100" s="256"/>
      <c r="L100" s="32" t="s">
        <v>4</v>
      </c>
      <c r="M100" s="30"/>
      <c r="N100" s="30"/>
      <c r="O100" s="30"/>
      <c r="P100" s="30"/>
    </row>
    <row r="101" spans="1:16" ht="35.25" customHeight="1">
      <c r="A101" s="68" t="s">
        <v>120</v>
      </c>
      <c r="B101" s="68" t="s">
        <v>6</v>
      </c>
      <c r="C101" s="68" t="s">
        <v>7</v>
      </c>
      <c r="D101" s="68">
        <v>1</v>
      </c>
      <c r="E101" s="68">
        <v>2</v>
      </c>
      <c r="F101" s="68">
        <v>3</v>
      </c>
      <c r="G101" s="68">
        <v>4</v>
      </c>
      <c r="H101" s="68">
        <v>5</v>
      </c>
      <c r="I101" s="68">
        <v>6</v>
      </c>
      <c r="J101" s="68">
        <v>7</v>
      </c>
      <c r="K101" s="68">
        <v>8</v>
      </c>
      <c r="L101" s="68">
        <v>9</v>
      </c>
      <c r="M101" s="33" t="s">
        <v>17</v>
      </c>
      <c r="N101" s="33" t="s">
        <v>18</v>
      </c>
      <c r="O101" s="33" t="s">
        <v>19</v>
      </c>
      <c r="P101" s="33" t="s">
        <v>20</v>
      </c>
    </row>
    <row r="102" spans="1:16" ht="15" customHeight="1">
      <c r="A102" s="34" t="s">
        <v>101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3" t="e">
        <f t="shared" ref="N102:N108" si="15">((M102/C102)*100)</f>
        <v>#DIV/0!</v>
      </c>
      <c r="O102" s="26">
        <v>16</v>
      </c>
      <c r="P102" s="23" t="e">
        <f t="shared" ref="P102:P108" si="16">((O102/C102)*100)</f>
        <v>#DIV/0!</v>
      </c>
    </row>
    <row r="103" spans="1:16" ht="15" customHeight="1">
      <c r="A103" s="34" t="s">
        <v>131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3" t="e">
        <f t="shared" si="15"/>
        <v>#DIV/0!</v>
      </c>
      <c r="O103" s="26">
        <v>6</v>
      </c>
      <c r="P103" s="23" t="e">
        <f t="shared" si="16"/>
        <v>#DIV/0!</v>
      </c>
    </row>
    <row r="104" spans="1:16" ht="15" customHeight="1">
      <c r="A104" s="34" t="s">
        <v>132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3" t="e">
        <f t="shared" si="15"/>
        <v>#DIV/0!</v>
      </c>
      <c r="O104" s="26">
        <v>0</v>
      </c>
      <c r="P104" s="23" t="e">
        <f t="shared" si="16"/>
        <v>#DIV/0!</v>
      </c>
    </row>
    <row r="105" spans="1:16" ht="15" customHeight="1">
      <c r="A105" s="34" t="s">
        <v>138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3" t="e">
        <f t="shared" si="15"/>
        <v>#DIV/0!</v>
      </c>
      <c r="O105" s="26">
        <v>0</v>
      </c>
      <c r="P105" s="23" t="e">
        <f t="shared" si="16"/>
        <v>#DIV/0!</v>
      </c>
    </row>
    <row r="106" spans="1:16" ht="15.75" customHeight="1">
      <c r="A106" s="34" t="s">
        <v>141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3" t="e">
        <f t="shared" si="15"/>
        <v>#DIV/0!</v>
      </c>
      <c r="O106" s="26">
        <v>16</v>
      </c>
      <c r="P106" s="23" t="e">
        <f t="shared" si="16"/>
        <v>#DIV/0!</v>
      </c>
    </row>
    <row r="107" spans="1:16" ht="15" customHeight="1">
      <c r="A107" s="34" t="s">
        <v>109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3" t="e">
        <f t="shared" si="15"/>
        <v>#DIV/0!</v>
      </c>
      <c r="O107" s="26">
        <v>11</v>
      </c>
      <c r="P107" s="23" t="e">
        <f t="shared" si="16"/>
        <v>#DIV/0!</v>
      </c>
    </row>
    <row r="108" spans="1:16" ht="15" customHeight="1">
      <c r="A108" s="34" t="s">
        <v>117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3" t="e">
        <f t="shared" si="15"/>
        <v>#DIV/0!</v>
      </c>
      <c r="O108" s="26">
        <v>12</v>
      </c>
      <c r="P108" s="23" t="e">
        <f t="shared" si="16"/>
        <v>#DIV/0!</v>
      </c>
    </row>
    <row r="109" spans="1:16" ht="18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28" t="e">
        <f>AVERAGE(N102:N108)</f>
        <v>#DIV/0!</v>
      </c>
      <c r="O109" s="29"/>
      <c r="P109" s="28" t="e">
        <f>AVERAGE(P102:P108)</f>
        <v>#DIV/0!</v>
      </c>
    </row>
    <row r="110" spans="1:16" ht="21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</row>
    <row r="111" spans="1:16" ht="21" customHeight="1"/>
    <row r="112" spans="1:16" ht="21" customHeight="1"/>
    <row r="113" spans="2:18" ht="21" customHeight="1"/>
    <row r="114" spans="2:18" ht="12.75" customHeight="1">
      <c r="Q114" s="2"/>
      <c r="R114" s="3"/>
    </row>
    <row r="115" spans="2:18" ht="18.75" customHeight="1">
      <c r="B115" s="20"/>
      <c r="C115" s="20"/>
      <c r="D115" s="261" t="s">
        <v>1</v>
      </c>
      <c r="E115" s="262"/>
      <c r="F115" s="261" t="s">
        <v>2</v>
      </c>
      <c r="G115" s="263"/>
      <c r="H115" s="263"/>
      <c r="I115" s="262"/>
      <c r="J115" s="261" t="s">
        <v>98</v>
      </c>
      <c r="K115" s="262"/>
      <c r="L115" s="68" t="s">
        <v>4</v>
      </c>
      <c r="M115" s="20"/>
      <c r="N115" s="20"/>
      <c r="O115" s="20"/>
      <c r="P115" s="20"/>
    </row>
    <row r="116" spans="2:18" ht="30" customHeight="1">
      <c r="B116" s="65"/>
      <c r="C116" s="65"/>
      <c r="D116" s="258" t="s">
        <v>1</v>
      </c>
      <c r="E116" s="259"/>
      <c r="F116" s="258" t="s">
        <v>2</v>
      </c>
      <c r="G116" s="260"/>
      <c r="H116" s="260"/>
      <c r="I116" s="259"/>
      <c r="J116" s="258" t="s">
        <v>98</v>
      </c>
      <c r="K116" s="259"/>
      <c r="L116" s="4" t="s">
        <v>4</v>
      </c>
      <c r="M116" s="65"/>
      <c r="N116" s="65"/>
      <c r="O116" s="65"/>
      <c r="P116" s="65"/>
    </row>
    <row r="117" spans="2:18" ht="32.25" customHeight="1">
      <c r="B117" s="4" t="s">
        <v>99</v>
      </c>
      <c r="C117" s="4" t="s">
        <v>7</v>
      </c>
      <c r="D117" s="4">
        <v>1</v>
      </c>
      <c r="E117" s="4">
        <v>2</v>
      </c>
      <c r="F117" s="4">
        <v>3</v>
      </c>
      <c r="G117" s="4">
        <v>4</v>
      </c>
      <c r="H117" s="4">
        <v>5</v>
      </c>
      <c r="I117" s="4">
        <v>6</v>
      </c>
      <c r="J117" s="4">
        <v>7</v>
      </c>
      <c r="K117" s="4">
        <v>8</v>
      </c>
      <c r="L117" s="4">
        <v>9</v>
      </c>
      <c r="M117" s="5" t="s">
        <v>17</v>
      </c>
      <c r="N117" s="5" t="s">
        <v>18</v>
      </c>
      <c r="O117" s="5" t="s">
        <v>19</v>
      </c>
      <c r="P117" s="5" t="s">
        <v>20</v>
      </c>
    </row>
    <row r="118" spans="2:18" ht="21.75" customHeight="1">
      <c r="B118" s="14" t="s">
        <v>146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21"/>
      <c r="O118" s="14"/>
      <c r="P118" s="21"/>
    </row>
    <row r="119" spans="2:18" ht="21" customHeight="1">
      <c r="B119" s="14" t="s">
        <v>147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2"/>
      <c r="O119" s="24"/>
      <c r="P119" s="22"/>
    </row>
    <row r="120" spans="2:18" ht="21" customHeight="1">
      <c r="B120" s="14" t="s">
        <v>132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21"/>
      <c r="O120" s="14"/>
      <c r="P120" s="21"/>
    </row>
    <row r="121" spans="2:18" ht="21" customHeight="1">
      <c r="B121" s="14" t="s">
        <v>148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21"/>
      <c r="O121" s="14"/>
      <c r="P121" s="21"/>
    </row>
    <row r="122" spans="2:18" ht="21" customHeight="1">
      <c r="B122" s="14" t="s">
        <v>149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21"/>
      <c r="O122" s="14"/>
      <c r="P122" s="21"/>
    </row>
    <row r="123" spans="2:18" ht="15.95">
      <c r="B123" s="14" t="s">
        <v>150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21"/>
      <c r="O123" s="14"/>
      <c r="P123" s="21"/>
    </row>
    <row r="124" spans="2:18" ht="21" customHeight="1">
      <c r="B124" s="14" t="s">
        <v>151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21"/>
      <c r="O124" s="14"/>
      <c r="P124" s="21"/>
    </row>
    <row r="125" spans="2:18" ht="15.95">
      <c r="B125" s="14" t="s">
        <v>152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21"/>
      <c r="O125" s="14"/>
      <c r="P125" s="21"/>
    </row>
    <row r="126" spans="2:18" ht="15.95">
      <c r="B126" s="14" t="s">
        <v>153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21"/>
      <c r="O126" s="14"/>
      <c r="P126" s="21"/>
    </row>
    <row r="127" spans="2:18" ht="15.95">
      <c r="B127" s="14" t="s">
        <v>154</v>
      </c>
      <c r="C127" s="25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3"/>
    </row>
    <row r="128" spans="2:18" ht="15.95">
      <c r="B128" s="14" t="s">
        <v>109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21"/>
      <c r="O128" s="14"/>
      <c r="P128" s="21"/>
    </row>
    <row r="129" spans="2:16" ht="15.95">
      <c r="B129" s="14" t="s">
        <v>155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21"/>
      <c r="O129" s="14"/>
      <c r="P129" s="21"/>
    </row>
    <row r="130" spans="2:16" ht="15.95">
      <c r="B130" s="14" t="s">
        <v>156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21"/>
      <c r="O130" s="24"/>
      <c r="P130" s="21"/>
    </row>
    <row r="131" spans="2:16" ht="15.95">
      <c r="B131" s="14" t="s">
        <v>157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21"/>
      <c r="O131" s="24"/>
      <c r="P131" s="21"/>
    </row>
    <row r="132" spans="2:16" ht="15.95">
      <c r="B132" s="14" t="s">
        <v>136</v>
      </c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2"/>
      <c r="O132" s="24"/>
      <c r="P132" s="22"/>
    </row>
    <row r="133" spans="2:16" ht="15.95">
      <c r="B133" s="14" t="s">
        <v>158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21"/>
      <c r="O133" s="24"/>
      <c r="P133" s="21"/>
    </row>
    <row r="134" spans="2:16" ht="15.95">
      <c r="B134" s="14" t="s">
        <v>141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21"/>
      <c r="O134" s="24"/>
      <c r="P134" s="21"/>
    </row>
    <row r="135" spans="2:16" ht="15.95">
      <c r="B135" s="14" t="s">
        <v>159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21"/>
      <c r="O135" s="14"/>
      <c r="P135" s="21"/>
    </row>
    <row r="136" spans="2:16" ht="20.100000000000001"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9" t="s">
        <v>119</v>
      </c>
      <c r="M136" s="64"/>
      <c r="N136" s="10" t="e">
        <f>AVERAGE(N118:N135)</f>
        <v>#DIV/0!</v>
      </c>
      <c r="O136" s="10"/>
      <c r="P136" s="10" t="e">
        <f>AVERAGE(P118:P135)</f>
        <v>#DIV/0!</v>
      </c>
    </row>
    <row r="137" spans="2:16" ht="20.100000000000001">
      <c r="L137" s="11"/>
      <c r="N137" s="12"/>
      <c r="O137" s="12"/>
      <c r="P137" s="12"/>
    </row>
    <row r="142" spans="2:16" ht="33.950000000000003">
      <c r="B142" s="4"/>
      <c r="C142" s="5" t="s">
        <v>18</v>
      </c>
      <c r="D142" s="5" t="s">
        <v>20</v>
      </c>
    </row>
    <row r="143" spans="2:16" ht="18">
      <c r="B143" s="6" t="s">
        <v>146</v>
      </c>
      <c r="C143" s="7"/>
      <c r="D143" s="13"/>
    </row>
    <row r="144" spans="2:16" ht="18">
      <c r="B144" s="6" t="s">
        <v>147</v>
      </c>
      <c r="C144" s="8"/>
      <c r="D144" s="8"/>
    </row>
    <row r="145" spans="2:4" ht="18">
      <c r="B145" s="6" t="s">
        <v>132</v>
      </c>
      <c r="C145" s="7"/>
      <c r="D145" s="7"/>
    </row>
    <row r="146" spans="2:4" ht="18">
      <c r="B146" s="6" t="s">
        <v>148</v>
      </c>
      <c r="C146" s="7"/>
      <c r="D146" s="7"/>
    </row>
    <row r="147" spans="2:4" ht="18">
      <c r="B147" s="6" t="s">
        <v>149</v>
      </c>
      <c r="C147" s="7"/>
      <c r="D147" s="7"/>
    </row>
    <row r="148" spans="2:4" ht="18">
      <c r="B148" s="6" t="s">
        <v>150</v>
      </c>
      <c r="C148" s="7"/>
      <c r="D148" s="7"/>
    </row>
    <row r="149" spans="2:4" ht="18">
      <c r="B149" s="6" t="s">
        <v>151</v>
      </c>
      <c r="C149" s="7"/>
      <c r="D149" s="13"/>
    </row>
    <row r="150" spans="2:4" ht="18">
      <c r="B150" s="6" t="s">
        <v>152</v>
      </c>
      <c r="C150" s="7"/>
      <c r="D150" s="7"/>
    </row>
    <row r="151" spans="2:4" ht="18">
      <c r="B151" s="6" t="s">
        <v>153</v>
      </c>
      <c r="C151" s="7"/>
      <c r="D151" s="7"/>
    </row>
    <row r="152" spans="2:4" ht="18">
      <c r="B152" s="6" t="s">
        <v>154</v>
      </c>
      <c r="C152" s="7"/>
      <c r="D152" s="7"/>
    </row>
    <row r="153" spans="2:4" ht="18">
      <c r="B153" s="6" t="s">
        <v>109</v>
      </c>
      <c r="C153" s="7"/>
      <c r="D153" s="13"/>
    </row>
    <row r="154" spans="2:4" ht="18">
      <c r="B154" s="6" t="s">
        <v>155</v>
      </c>
      <c r="C154" s="13"/>
      <c r="D154" s="13"/>
    </row>
    <row r="155" spans="2:4" ht="18">
      <c r="B155" s="6" t="s">
        <v>156</v>
      </c>
      <c r="C155" s="7"/>
      <c r="D155" s="7"/>
    </row>
    <row r="156" spans="2:4" ht="18">
      <c r="B156" s="6" t="s">
        <v>157</v>
      </c>
      <c r="C156" s="13"/>
      <c r="D156" s="13"/>
    </row>
    <row r="157" spans="2:4" ht="18">
      <c r="B157" s="6" t="s">
        <v>136</v>
      </c>
      <c r="C157" s="8"/>
      <c r="D157" s="8"/>
    </row>
    <row r="158" spans="2:4" ht="18">
      <c r="B158" s="6" t="s">
        <v>158</v>
      </c>
      <c r="C158" s="7"/>
      <c r="D158" s="7"/>
    </row>
    <row r="159" spans="2:4" ht="18">
      <c r="B159" s="6" t="s">
        <v>141</v>
      </c>
      <c r="C159" s="13"/>
      <c r="D159" s="13"/>
    </row>
    <row r="160" spans="2:4" ht="18">
      <c r="B160" s="6" t="s">
        <v>159</v>
      </c>
      <c r="C160" s="7"/>
      <c r="D160" s="7"/>
    </row>
    <row r="163" spans="17:19" ht="33.950000000000003">
      <c r="Q163" s="14" t="s">
        <v>160</v>
      </c>
      <c r="R163" s="15" t="s">
        <v>18</v>
      </c>
      <c r="S163" s="15" t="s">
        <v>20</v>
      </c>
    </row>
    <row r="164" spans="17:19" ht="24" customHeight="1">
      <c r="Q164" s="16" t="s">
        <v>146</v>
      </c>
      <c r="R164" s="17">
        <v>97.979797979797979</v>
      </c>
      <c r="S164" s="18">
        <v>100</v>
      </c>
    </row>
    <row r="165" spans="17:19" ht="24" customHeight="1">
      <c r="Q165" s="16" t="s">
        <v>147</v>
      </c>
      <c r="R165" s="19">
        <v>22</v>
      </c>
      <c r="S165" s="19">
        <v>50</v>
      </c>
    </row>
    <row r="166" spans="17:19" ht="24" customHeight="1">
      <c r="Q166" s="16" t="s">
        <v>132</v>
      </c>
      <c r="R166" s="17">
        <v>40</v>
      </c>
      <c r="S166" s="17">
        <v>63</v>
      </c>
    </row>
    <row r="167" spans="17:19" ht="24" customHeight="1">
      <c r="Q167" s="16" t="s">
        <v>148</v>
      </c>
      <c r="R167" s="17">
        <v>81.818181818181827</v>
      </c>
      <c r="S167" s="17">
        <v>90.909090909090907</v>
      </c>
    </row>
    <row r="168" spans="17:19" ht="24" customHeight="1">
      <c r="Q168" s="16" t="s">
        <v>149</v>
      </c>
      <c r="R168" s="17">
        <v>76.666666666666671</v>
      </c>
      <c r="S168" s="17">
        <v>93.333333333333329</v>
      </c>
    </row>
    <row r="169" spans="17:19" ht="24" customHeight="1">
      <c r="Q169" s="16" t="s">
        <v>150</v>
      </c>
      <c r="R169" s="17">
        <v>64</v>
      </c>
      <c r="S169" s="17">
        <v>84</v>
      </c>
    </row>
    <row r="170" spans="17:19" ht="24" customHeight="1">
      <c r="Q170" s="16" t="s">
        <v>151</v>
      </c>
      <c r="R170" s="17">
        <v>93.333333333333329</v>
      </c>
      <c r="S170" s="18">
        <v>100</v>
      </c>
    </row>
    <row r="171" spans="17:19" ht="24" customHeight="1">
      <c r="Q171" s="16" t="s">
        <v>152</v>
      </c>
      <c r="R171" s="17">
        <v>84</v>
      </c>
      <c r="S171" s="17">
        <v>98</v>
      </c>
    </row>
    <row r="172" spans="17:19" ht="24" customHeight="1">
      <c r="Q172" s="16" t="s">
        <v>153</v>
      </c>
      <c r="R172" s="17">
        <v>52</v>
      </c>
      <c r="S172" s="17">
        <v>68</v>
      </c>
    </row>
    <row r="173" spans="17:19" ht="24" customHeight="1">
      <c r="Q173" s="16" t="s">
        <v>154</v>
      </c>
      <c r="R173" s="17">
        <v>20</v>
      </c>
      <c r="S173" s="17">
        <v>65</v>
      </c>
    </row>
    <row r="174" spans="17:19" ht="24" customHeight="1">
      <c r="Q174" s="16" t="s">
        <v>109</v>
      </c>
      <c r="R174" s="17">
        <v>97.368421052631575</v>
      </c>
      <c r="S174" s="18">
        <v>100</v>
      </c>
    </row>
    <row r="175" spans="17:19" ht="24" customHeight="1">
      <c r="Q175" s="16" t="s">
        <v>155</v>
      </c>
      <c r="R175" s="18">
        <v>100</v>
      </c>
      <c r="S175" s="18">
        <v>100</v>
      </c>
    </row>
    <row r="176" spans="17:19" ht="24" customHeight="1">
      <c r="Q176" s="16" t="s">
        <v>156</v>
      </c>
      <c r="R176" s="17">
        <v>15.384615384615385</v>
      </c>
      <c r="S176" s="17">
        <v>76.923076923076934</v>
      </c>
    </row>
    <row r="177" spans="17:19" ht="24" customHeight="1">
      <c r="Q177" s="16" t="s">
        <v>157</v>
      </c>
      <c r="R177" s="18">
        <v>100</v>
      </c>
      <c r="S177" s="18">
        <v>100</v>
      </c>
    </row>
    <row r="178" spans="17:19" ht="24" customHeight="1">
      <c r="Q178" s="16" t="s">
        <v>136</v>
      </c>
      <c r="R178" s="19">
        <v>43.478260869565219</v>
      </c>
      <c r="S178" s="19">
        <v>73.91304347826086</v>
      </c>
    </row>
    <row r="179" spans="17:19" ht="24" customHeight="1">
      <c r="Q179" s="16" t="s">
        <v>158</v>
      </c>
      <c r="R179" s="17">
        <v>80</v>
      </c>
      <c r="S179" s="17">
        <v>80</v>
      </c>
    </row>
    <row r="180" spans="17:19" ht="24" customHeight="1">
      <c r="Q180" s="16" t="s">
        <v>141</v>
      </c>
      <c r="R180" s="18">
        <v>100</v>
      </c>
      <c r="S180" s="18">
        <v>100</v>
      </c>
    </row>
    <row r="181" spans="17:19" ht="24" customHeight="1">
      <c r="Q181" s="16" t="s">
        <v>159</v>
      </c>
      <c r="R181" s="17">
        <v>86.956521739130437</v>
      </c>
      <c r="S181" s="17">
        <v>95.652173913043484</v>
      </c>
    </row>
    <row r="182" spans="17:19">
      <c r="Q182" s="66"/>
      <c r="R182" s="66"/>
      <c r="S182" s="66"/>
    </row>
  </sheetData>
  <mergeCells count="30">
    <mergeCell ref="D100:E100"/>
    <mergeCell ref="F100:I100"/>
    <mergeCell ref="J100:K100"/>
    <mergeCell ref="F73:I73"/>
    <mergeCell ref="J73:K73"/>
    <mergeCell ref="D87:E87"/>
    <mergeCell ref="F87:I87"/>
    <mergeCell ref="J87:K87"/>
    <mergeCell ref="D73:E73"/>
    <mergeCell ref="F17:I17"/>
    <mergeCell ref="J17:K17"/>
    <mergeCell ref="D32:E32"/>
    <mergeCell ref="F32:I32"/>
    <mergeCell ref="J32:K32"/>
    <mergeCell ref="D3:E3"/>
    <mergeCell ref="F3:I3"/>
    <mergeCell ref="J3:K3"/>
    <mergeCell ref="D116:E116"/>
    <mergeCell ref="F116:I116"/>
    <mergeCell ref="J116:K116"/>
    <mergeCell ref="D115:E115"/>
    <mergeCell ref="F115:I115"/>
    <mergeCell ref="J115:K115"/>
    <mergeCell ref="D46:E46"/>
    <mergeCell ref="D60:E60"/>
    <mergeCell ref="F60:I60"/>
    <mergeCell ref="J60:K60"/>
    <mergeCell ref="F46:I46"/>
    <mergeCell ref="J46:K46"/>
    <mergeCell ref="D17:E17"/>
  </mergeCells>
  <phoneticPr fontId="0" type="noConversion"/>
  <pageMargins left="0.75" right="0.67" top="1.07" bottom="0.44" header="0.45" footer="0.25"/>
  <pageSetup paperSize="9" firstPageNumber="17" orientation="landscape" useFirstPageNumber="1" horizontalDpi="360" verticalDpi="360" r:id="rId1"/>
  <headerFooter alignWithMargins="0">
    <oddHeader>&amp;C&amp;"Arial Narrow,Bold"&amp;12SEKOLAH MENENGAH PENGIRAN ANAK PUTERI HAJAH MASNA
END OF YEAR EXAMINATION ANALYSIS 2007, MEN 4 O LEVEL</oddHeader>
    <oddFooter>&amp;L&amp;8Exam Dept SMPAPHM&amp;CM4'O'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"/>
  <sheetViews>
    <sheetView view="pageLayout" zoomScaleNormal="100" workbookViewId="0">
      <selection activeCell="M11" sqref="M11"/>
    </sheetView>
  </sheetViews>
  <sheetFormatPr defaultColWidth="8.85546875" defaultRowHeight="12.95"/>
  <sheetData>
    <row r="1" spans="1:20" ht="36.950000000000003">
      <c r="A1" s="264" t="s">
        <v>161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</row>
    <row r="2" spans="1:20" ht="29.1">
      <c r="A2" s="265" t="s">
        <v>162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</row>
    <row r="4" spans="1:20" s="53" customFormat="1" ht="18" customHeight="1">
      <c r="A4" s="52" t="s">
        <v>163</v>
      </c>
    </row>
    <row r="5" spans="1:20" s="53" customFormat="1" ht="18" customHeight="1">
      <c r="A5" s="52"/>
    </row>
    <row r="6" spans="1:20" s="53" customFormat="1" ht="18" customHeight="1">
      <c r="A6" s="66"/>
      <c r="B6" s="66"/>
      <c r="C6" s="266" t="s">
        <v>164</v>
      </c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 t="s">
        <v>165</v>
      </c>
      <c r="P6" s="266"/>
      <c r="Q6" s="266"/>
      <c r="R6" s="266"/>
      <c r="S6" s="266"/>
      <c r="T6" s="266"/>
    </row>
    <row r="7" spans="1:20" s="53" customFormat="1" ht="18" customHeight="1">
      <c r="A7" s="65"/>
      <c r="B7" s="65"/>
      <c r="C7" s="267" t="s">
        <v>166</v>
      </c>
      <c r="D7" s="267"/>
      <c r="E7" s="268" t="s">
        <v>1</v>
      </c>
      <c r="F7" s="269"/>
      <c r="G7" s="267" t="s">
        <v>2</v>
      </c>
      <c r="H7" s="267"/>
      <c r="I7" s="268" t="s">
        <v>98</v>
      </c>
      <c r="J7" s="270"/>
      <c r="K7" s="270"/>
      <c r="L7" s="269"/>
      <c r="M7" s="69" t="s">
        <v>4</v>
      </c>
      <c r="N7" s="54" t="s">
        <v>167</v>
      </c>
      <c r="O7" s="55" t="s">
        <v>1</v>
      </c>
      <c r="P7" s="55" t="s">
        <v>2</v>
      </c>
      <c r="Q7" s="55" t="s">
        <v>98</v>
      </c>
      <c r="R7" s="55" t="s">
        <v>4</v>
      </c>
      <c r="S7" s="67" t="s">
        <v>2</v>
      </c>
      <c r="T7" s="67" t="s">
        <v>98</v>
      </c>
    </row>
    <row r="8" spans="1:20" s="53" customFormat="1" ht="23.25" customHeight="1">
      <c r="A8" s="268" t="s">
        <v>99</v>
      </c>
      <c r="B8" s="269"/>
      <c r="C8" s="54" t="s">
        <v>168</v>
      </c>
      <c r="D8" s="69" t="s">
        <v>169</v>
      </c>
      <c r="E8" s="69" t="s">
        <v>8</v>
      </c>
      <c r="F8" s="69" t="s">
        <v>170</v>
      </c>
      <c r="G8" s="69" t="s">
        <v>171</v>
      </c>
      <c r="H8" s="69" t="s">
        <v>46</v>
      </c>
      <c r="I8" s="69" t="s">
        <v>47</v>
      </c>
      <c r="J8" s="69" t="s">
        <v>48</v>
      </c>
      <c r="K8" s="69" t="s">
        <v>49</v>
      </c>
      <c r="L8" s="69" t="s">
        <v>50</v>
      </c>
      <c r="M8" s="69" t="s">
        <v>16</v>
      </c>
      <c r="N8" s="69" t="s">
        <v>172</v>
      </c>
      <c r="O8" s="56" t="s">
        <v>173</v>
      </c>
      <c r="P8" s="56" t="s">
        <v>174</v>
      </c>
      <c r="Q8" s="56" t="s">
        <v>175</v>
      </c>
      <c r="R8" s="56" t="s">
        <v>16</v>
      </c>
      <c r="S8" s="57" t="s">
        <v>176</v>
      </c>
      <c r="T8" s="57" t="s">
        <v>177</v>
      </c>
    </row>
    <row r="9" spans="1:20" s="53" customFormat="1" ht="28.7" customHeight="1">
      <c r="A9" s="273" t="s">
        <v>178</v>
      </c>
      <c r="B9" s="274"/>
      <c r="C9" s="24" t="e">
        <f>'ANALYSIS BY SUBJECTS'!#REF!</f>
        <v>#REF!</v>
      </c>
      <c r="D9" s="24" t="e">
        <f>'ANALYSIS BY SUBJECTS'!#REF!</f>
        <v>#REF!</v>
      </c>
      <c r="E9" s="58"/>
      <c r="F9" s="58"/>
      <c r="G9" s="58"/>
      <c r="H9" s="24" t="e">
        <f>'ANALYSIS BY SUBJECTS'!#REF!</f>
        <v>#REF!</v>
      </c>
      <c r="I9" s="24" t="e">
        <f>'ANALYSIS BY SUBJECTS'!#REF!</f>
        <v>#REF!</v>
      </c>
      <c r="J9" s="24" t="e">
        <f>'ANALYSIS BY SUBJECTS'!#REF!</f>
        <v>#REF!</v>
      </c>
      <c r="K9" s="24" t="e">
        <f>'ANALYSIS BY SUBJECTS'!#REF!</f>
        <v>#REF!</v>
      </c>
      <c r="L9" s="24" t="e">
        <f>'ANALYSIS BY SUBJECTS'!#REF!</f>
        <v>#REF!</v>
      </c>
      <c r="M9" s="24" t="e">
        <f>'ANALYSIS BY SUBJECTS'!#REF!</f>
        <v>#REF!</v>
      </c>
      <c r="N9" s="24"/>
      <c r="O9" s="59" t="e">
        <f>((E9+F9)/C9)</f>
        <v>#REF!</v>
      </c>
      <c r="P9" s="59" t="e">
        <f>(SUM(G9:H9)/C9)</f>
        <v>#REF!</v>
      </c>
      <c r="Q9" s="59" t="e">
        <f>(SUM(I9:L9)/C9)</f>
        <v>#REF!</v>
      </c>
      <c r="R9" s="59" t="e">
        <f>M9/C9</f>
        <v>#REF!</v>
      </c>
      <c r="S9" s="60" t="e">
        <f>(SUM(E9:H9)/C9)</f>
        <v>#REF!</v>
      </c>
      <c r="T9" s="60" t="e">
        <f>(SUM(E9:L9)/D9)</f>
        <v>#REF!</v>
      </c>
    </row>
    <row r="10" spans="1:20" s="53" customFormat="1" ht="28.7" customHeight="1">
      <c r="A10" s="271" t="s">
        <v>179</v>
      </c>
      <c r="B10" s="272"/>
      <c r="C10" s="24">
        <f>'ANALYSIS BY SUBJECTS'!$C$47</f>
        <v>37</v>
      </c>
      <c r="D10" s="24">
        <f>'ANALYSIS BY SUBJECTS'!$C$47</f>
        <v>37</v>
      </c>
      <c r="E10" s="58"/>
      <c r="F10" s="58"/>
      <c r="G10" s="58"/>
      <c r="H10" s="24">
        <v>1</v>
      </c>
      <c r="I10" s="24" t="e">
        <f>'ANALYSIS BY SUBJECTS'!#REF!</f>
        <v>#REF!</v>
      </c>
      <c r="J10" s="24">
        <v>2</v>
      </c>
      <c r="K10" s="24">
        <v>15</v>
      </c>
      <c r="L10" s="24">
        <v>38</v>
      </c>
      <c r="M10" s="24">
        <v>27</v>
      </c>
      <c r="N10" s="24"/>
      <c r="O10" s="59">
        <f>((E10+F10)/C10)</f>
        <v>0</v>
      </c>
      <c r="P10" s="59">
        <f>(SUM(G10:H10)/C10)</f>
        <v>2.7027027027027029E-2</v>
      </c>
      <c r="Q10" s="59" t="e">
        <f>(SUM(I10:L10)/C10)</f>
        <v>#REF!</v>
      </c>
      <c r="R10" s="59">
        <f>M10/C10</f>
        <v>0.72972972972972971</v>
      </c>
      <c r="S10" s="60">
        <f>(SUM(E10:H10)/C10)</f>
        <v>2.7027027027027029E-2</v>
      </c>
      <c r="T10" s="60" t="e">
        <f>(SUM(E10:L10)/D10)</f>
        <v>#REF!</v>
      </c>
    </row>
    <row r="11" spans="1:20" s="53" customFormat="1" ht="28.7" customHeight="1">
      <c r="A11" s="273" t="s">
        <v>180</v>
      </c>
      <c r="B11" s="274"/>
      <c r="C11" s="24">
        <v>21</v>
      </c>
      <c r="D11" s="24">
        <v>21</v>
      </c>
      <c r="E11" s="61" t="e">
        <f>'ANALYSIS BY SUBJECTS'!#REF!</f>
        <v>#REF!</v>
      </c>
      <c r="F11" s="61" t="e">
        <f>'ANALYSIS BY SUBJECTS'!#REF!</f>
        <v>#REF!</v>
      </c>
      <c r="G11" s="61">
        <v>2</v>
      </c>
      <c r="H11" s="24">
        <v>7</v>
      </c>
      <c r="I11" s="24">
        <v>4</v>
      </c>
      <c r="J11" s="24">
        <v>1</v>
      </c>
      <c r="K11" s="24">
        <v>0</v>
      </c>
      <c r="L11" s="24">
        <v>0</v>
      </c>
      <c r="M11" s="24" t="e">
        <f>'ANALYSIS BY SUBJECTS'!#REF!</f>
        <v>#REF!</v>
      </c>
      <c r="N11" s="24"/>
      <c r="O11" s="59" t="e">
        <f>((E11+F11)/C11)</f>
        <v>#REF!</v>
      </c>
      <c r="P11" s="59">
        <f>(SUM(G11:H11)/C11)</f>
        <v>0.42857142857142855</v>
      </c>
      <c r="Q11" s="59">
        <f>(SUM(I11:L11)/C11)</f>
        <v>0.23809523809523808</v>
      </c>
      <c r="R11" s="59" t="e">
        <f>M11/C11</f>
        <v>#REF!</v>
      </c>
      <c r="S11" s="60" t="e">
        <f>(SUM(E11:H11)/C11)</f>
        <v>#REF!</v>
      </c>
      <c r="T11" s="60" t="e">
        <f>(SUM(E11:L11)/D11)</f>
        <v>#REF!</v>
      </c>
    </row>
    <row r="12" spans="1:20" s="53" customFormat="1" ht="28.7" hidden="1" customHeight="1">
      <c r="A12" s="273" t="s">
        <v>181</v>
      </c>
      <c r="B12" s="274"/>
      <c r="C12" s="24"/>
      <c r="D12" s="24"/>
      <c r="E12" s="24"/>
      <c r="F12" s="24"/>
      <c r="G12" s="24"/>
      <c r="H12" s="24"/>
      <c r="I12" s="24"/>
      <c r="J12" s="24"/>
      <c r="K12" s="58"/>
      <c r="L12" s="58"/>
      <c r="M12" s="24"/>
      <c r="N12" s="24"/>
      <c r="O12" s="59" t="e">
        <f>((E12+F12)/C12)</f>
        <v>#DIV/0!</v>
      </c>
      <c r="P12" s="59" t="e">
        <f>(SUM(G12:H12)/C12)</f>
        <v>#DIV/0!</v>
      </c>
      <c r="Q12" s="59" t="e">
        <f>(SUM(I12:L12)/C12)</f>
        <v>#DIV/0!</v>
      </c>
      <c r="R12" s="59" t="e">
        <f>M12/C12</f>
        <v>#DIV/0!</v>
      </c>
      <c r="S12" s="60" t="e">
        <f>(SUM(E12:H12)/C12)</f>
        <v>#DIV/0!</v>
      </c>
      <c r="T12" s="60" t="e">
        <f>(SUM(E12:L12)/D12)</f>
        <v>#DIV/0!</v>
      </c>
    </row>
  </sheetData>
  <mergeCells count="13">
    <mergeCell ref="A10:B10"/>
    <mergeCell ref="A12:B12"/>
    <mergeCell ref="A8:B8"/>
    <mergeCell ref="A9:B9"/>
    <mergeCell ref="A11:B11"/>
    <mergeCell ref="A1:T1"/>
    <mergeCell ref="A2:T2"/>
    <mergeCell ref="C6:N6"/>
    <mergeCell ref="O6:T6"/>
    <mergeCell ref="C7:D7"/>
    <mergeCell ref="E7:F7"/>
    <mergeCell ref="G7:H7"/>
    <mergeCell ref="I7:L7"/>
  </mergeCells>
  <pageMargins left="0.7" right="0.7" top="0.75" bottom="0.75" header="0.3" footer="0.3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1"/>
  <sheetViews>
    <sheetView view="pageLayout" zoomScaleNormal="100" workbookViewId="0">
      <selection activeCell="N12" sqref="N12"/>
    </sheetView>
  </sheetViews>
  <sheetFormatPr defaultColWidth="9.140625" defaultRowHeight="9.9499999999999993"/>
  <cols>
    <col min="1" max="1" width="14.7109375" style="152" customWidth="1"/>
    <col min="2" max="2" width="8.28515625" style="152" customWidth="1"/>
    <col min="3" max="3" width="12.7109375" style="152" bestFit="1" customWidth="1"/>
    <col min="4" max="13" width="5.7109375" style="152" customWidth="1"/>
    <col min="14" max="14" width="8.42578125" style="152" bestFit="1" customWidth="1"/>
    <col min="15" max="18" width="8.42578125" style="152" customWidth="1"/>
    <col min="19" max="23" width="8.7109375" style="152" customWidth="1"/>
    <col min="24" max="16384" width="9.140625" style="152"/>
  </cols>
  <sheetData>
    <row r="1" spans="1:21" ht="24.95">
      <c r="A1" s="277" t="s">
        <v>182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</row>
    <row r="2" spans="1:21" ht="24">
      <c r="A2" s="278" t="s">
        <v>183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</row>
    <row r="4" spans="1:21" ht="18" customHeight="1">
      <c r="A4" s="153"/>
      <c r="B4" s="153"/>
      <c r="C4" s="279" t="s">
        <v>164</v>
      </c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80" t="s">
        <v>165</v>
      </c>
      <c r="P4" s="280"/>
      <c r="Q4" s="280"/>
      <c r="R4" s="280"/>
      <c r="S4" s="280"/>
      <c r="T4" s="280"/>
      <c r="U4" s="154" t="s">
        <v>184</v>
      </c>
    </row>
    <row r="5" spans="1:21" ht="18" customHeight="1">
      <c r="A5" s="155"/>
      <c r="B5" s="155"/>
      <c r="C5" s="281" t="s">
        <v>166</v>
      </c>
      <c r="D5" s="281"/>
      <c r="E5" s="282" t="s">
        <v>1</v>
      </c>
      <c r="F5" s="283"/>
      <c r="G5" s="282" t="s">
        <v>2</v>
      </c>
      <c r="H5" s="284"/>
      <c r="I5" s="284"/>
      <c r="J5" s="283"/>
      <c r="K5" s="282" t="s">
        <v>98</v>
      </c>
      <c r="L5" s="283"/>
      <c r="M5" s="164" t="s">
        <v>4</v>
      </c>
      <c r="N5" s="164" t="s">
        <v>167</v>
      </c>
      <c r="O5" s="165" t="s">
        <v>1</v>
      </c>
      <c r="P5" s="165" t="s">
        <v>2</v>
      </c>
      <c r="Q5" s="165" t="s">
        <v>98</v>
      </c>
      <c r="R5" s="165" t="s">
        <v>4</v>
      </c>
      <c r="S5" s="165" t="s">
        <v>2</v>
      </c>
      <c r="T5" s="165" t="s">
        <v>98</v>
      </c>
      <c r="U5" s="156"/>
    </row>
    <row r="6" spans="1:21" ht="26.25" customHeight="1">
      <c r="A6" s="275" t="s">
        <v>99</v>
      </c>
      <c r="B6" s="276"/>
      <c r="C6" s="167" t="s">
        <v>168</v>
      </c>
      <c r="D6" s="167" t="s">
        <v>169</v>
      </c>
      <c r="E6" s="170" t="s">
        <v>100</v>
      </c>
      <c r="F6" s="170" t="s">
        <v>9</v>
      </c>
      <c r="G6" s="170" t="s">
        <v>10</v>
      </c>
      <c r="H6" s="170" t="s">
        <v>11</v>
      </c>
      <c r="I6" s="170" t="s">
        <v>12</v>
      </c>
      <c r="J6" s="170" t="s">
        <v>13</v>
      </c>
      <c r="K6" s="170" t="s">
        <v>14</v>
      </c>
      <c r="L6" s="170" t="s">
        <v>15</v>
      </c>
      <c r="M6" s="170" t="s">
        <v>16</v>
      </c>
      <c r="N6" s="167" t="s">
        <v>172</v>
      </c>
      <c r="O6" s="168" t="s">
        <v>185</v>
      </c>
      <c r="P6" s="168" t="s">
        <v>186</v>
      </c>
      <c r="Q6" s="168" t="s">
        <v>187</v>
      </c>
      <c r="R6" s="168" t="s">
        <v>188</v>
      </c>
      <c r="S6" s="169" t="s">
        <v>18</v>
      </c>
      <c r="T6" s="169" t="s">
        <v>20</v>
      </c>
      <c r="U6" s="156"/>
    </row>
    <row r="7" spans="1:21" ht="19.5" customHeight="1">
      <c r="A7" s="285" t="s">
        <v>101</v>
      </c>
      <c r="B7" s="286"/>
      <c r="C7" s="157">
        <f>'ANALYSIS BY SUBJECTS'!C179</f>
        <v>149</v>
      </c>
      <c r="D7" s="157">
        <f>'ANALYSIS BY SUBJECTS'!C179</f>
        <v>149</v>
      </c>
      <c r="E7" s="157">
        <f>'ANALYSIS BY SUBJECTS'!D179</f>
        <v>0</v>
      </c>
      <c r="F7" s="157">
        <f>'ANALYSIS BY SUBJECTS'!E179</f>
        <v>2</v>
      </c>
      <c r="G7" s="157">
        <f>'ANALYSIS BY SUBJECTS'!F179</f>
        <v>9</v>
      </c>
      <c r="H7" s="157">
        <f>'ANALYSIS BY SUBJECTS'!G179</f>
        <v>21</v>
      </c>
      <c r="I7" s="157">
        <f>'ANALYSIS BY SUBJECTS'!H179</f>
        <v>14</v>
      </c>
      <c r="J7" s="157">
        <f>'ANALYSIS BY SUBJECTS'!I179</f>
        <v>18</v>
      </c>
      <c r="K7" s="157">
        <f>'ANALYSIS BY SUBJECTS'!J179</f>
        <v>41</v>
      </c>
      <c r="L7" s="157">
        <f>'ANALYSIS BY SUBJECTS'!K179</f>
        <v>26</v>
      </c>
      <c r="M7" s="157">
        <f>'ANALYSIS BY SUBJECTS'!L179</f>
        <v>18</v>
      </c>
      <c r="N7" s="157">
        <v>0</v>
      </c>
      <c r="O7" s="158">
        <f>((E7+F7)/C7)</f>
        <v>1.3422818791946308E-2</v>
      </c>
      <c r="P7" s="158">
        <f>(SUM(G7:J7)/C7)</f>
        <v>0.41610738255033558</v>
      </c>
      <c r="Q7" s="158">
        <f>(SUM(K7:L7)/C7)</f>
        <v>0.44966442953020136</v>
      </c>
      <c r="R7" s="158">
        <f>M7/C7</f>
        <v>0.12080536912751678</v>
      </c>
      <c r="S7" s="159">
        <f>'OVERALL PERFORMANCES'!B3</f>
        <v>61.073825503355707</v>
      </c>
      <c r="T7" s="159">
        <f>'OVERALL PERFORMANCES'!C3</f>
        <v>87.919463087248317</v>
      </c>
      <c r="U7" s="156"/>
    </row>
    <row r="8" spans="1:21" ht="19.5" customHeight="1">
      <c r="A8" s="285" t="s">
        <v>102</v>
      </c>
      <c r="B8" s="286"/>
      <c r="C8" s="157">
        <f>'ANALYSIS BY SUBJECTS'!C180</f>
        <v>149</v>
      </c>
      <c r="D8" s="157">
        <f>'ANALYSIS BY SUBJECTS'!C180</f>
        <v>149</v>
      </c>
      <c r="E8" s="157">
        <f>'ANALYSIS BY SUBJECTS'!D180</f>
        <v>0</v>
      </c>
      <c r="F8" s="157">
        <f>'ANALYSIS BY SUBJECTS'!E180</f>
        <v>16</v>
      </c>
      <c r="G8" s="157">
        <f>'ANALYSIS BY SUBJECTS'!F180</f>
        <v>10</v>
      </c>
      <c r="H8" s="157">
        <f>'ANALYSIS BY SUBJECTS'!G180</f>
        <v>13</v>
      </c>
      <c r="I8" s="157">
        <f>'ANALYSIS BY SUBJECTS'!H180</f>
        <v>24</v>
      </c>
      <c r="J8" s="157">
        <f>'ANALYSIS BY SUBJECTS'!I180</f>
        <v>25</v>
      </c>
      <c r="K8" s="157">
        <f>'ANALYSIS BY SUBJECTS'!J180</f>
        <v>35</v>
      </c>
      <c r="L8" s="157">
        <f>'ANALYSIS BY SUBJECTS'!K180</f>
        <v>14</v>
      </c>
      <c r="M8" s="157">
        <f>'ANALYSIS BY SUBJECTS'!L180</f>
        <v>12</v>
      </c>
      <c r="N8" s="157">
        <v>0</v>
      </c>
      <c r="O8" s="158">
        <f t="shared" ref="O8:O25" si="0">((E8+F8)/C8)</f>
        <v>0.10738255033557047</v>
      </c>
      <c r="P8" s="158">
        <f t="shared" ref="P8:P25" si="1">(SUM(G8:J8)/C8)</f>
        <v>0.48322147651006714</v>
      </c>
      <c r="Q8" s="158">
        <f t="shared" ref="Q8:Q25" si="2">(SUM(K8:L8)/C8)</f>
        <v>0.32885906040268459</v>
      </c>
      <c r="R8" s="158">
        <f t="shared" ref="R8:R25" si="3">M8/C8</f>
        <v>8.0536912751677847E-2</v>
      </c>
      <c r="S8" s="159">
        <f>'OVERALL PERFORMANCES'!B4</f>
        <v>59.060402684563762</v>
      </c>
      <c r="T8" s="159">
        <f>'OVERALL PERFORMANCES'!C4</f>
        <v>91.946308724832221</v>
      </c>
      <c r="U8" s="156"/>
    </row>
    <row r="9" spans="1:21" ht="19.5" customHeight="1">
      <c r="A9" s="285" t="s">
        <v>103</v>
      </c>
      <c r="B9" s="286"/>
      <c r="C9" s="157">
        <f>'ANALYSIS BY SUBJECTS'!C181</f>
        <v>108</v>
      </c>
      <c r="D9" s="157">
        <f>'ANALYSIS BY SUBJECTS'!C181</f>
        <v>108</v>
      </c>
      <c r="E9" s="157">
        <f>'ANALYSIS BY SUBJECTS'!D181</f>
        <v>0</v>
      </c>
      <c r="F9" s="157">
        <f>'ANALYSIS BY SUBJECTS'!E181</f>
        <v>11</v>
      </c>
      <c r="G9" s="157">
        <f>'ANALYSIS BY SUBJECTS'!F181</f>
        <v>3</v>
      </c>
      <c r="H9" s="157">
        <f>'ANALYSIS BY SUBJECTS'!G181</f>
        <v>8</v>
      </c>
      <c r="I9" s="157">
        <f>'ANALYSIS BY SUBJECTS'!H181</f>
        <v>6</v>
      </c>
      <c r="J9" s="157">
        <f>'ANALYSIS BY SUBJECTS'!I181</f>
        <v>4</v>
      </c>
      <c r="K9" s="157">
        <f>'ANALYSIS BY SUBJECTS'!J181</f>
        <v>13</v>
      </c>
      <c r="L9" s="157">
        <f>'ANALYSIS BY SUBJECTS'!K181</f>
        <v>14</v>
      </c>
      <c r="M9" s="157">
        <f>'ANALYSIS BY SUBJECTS'!L181</f>
        <v>49</v>
      </c>
      <c r="N9" s="157">
        <v>0</v>
      </c>
      <c r="O9" s="158">
        <f t="shared" si="0"/>
        <v>0.10185185185185185</v>
      </c>
      <c r="P9" s="158">
        <f t="shared" si="1"/>
        <v>0.19444444444444445</v>
      </c>
      <c r="Q9" s="158">
        <f t="shared" si="2"/>
        <v>0.25</v>
      </c>
      <c r="R9" s="158">
        <f t="shared" si="3"/>
        <v>0.45370370370370372</v>
      </c>
      <c r="S9" s="159">
        <f>'OVERALL PERFORMANCES'!B5</f>
        <v>29.629629629629626</v>
      </c>
      <c r="T9" s="159">
        <f>'OVERALL PERFORMANCES'!C5</f>
        <v>54.629629629629626</v>
      </c>
      <c r="U9" s="156"/>
    </row>
    <row r="10" spans="1:21" ht="19.5" customHeight="1">
      <c r="A10" s="285" t="s">
        <v>104</v>
      </c>
      <c r="B10" s="286"/>
      <c r="C10" s="157">
        <f>'ANALYSIS BY SUBJECTS'!C182</f>
        <v>54</v>
      </c>
      <c r="D10" s="157">
        <f>'ANALYSIS BY SUBJECTS'!C182</f>
        <v>54</v>
      </c>
      <c r="E10" s="157">
        <f>'ANALYSIS BY SUBJECTS'!D182</f>
        <v>0</v>
      </c>
      <c r="F10" s="157">
        <f>'ANALYSIS BY SUBJECTS'!E182</f>
        <v>4</v>
      </c>
      <c r="G10" s="157">
        <f>'ANALYSIS BY SUBJECTS'!F182</f>
        <v>2</v>
      </c>
      <c r="H10" s="157">
        <f>'ANALYSIS BY SUBJECTS'!G182</f>
        <v>3</v>
      </c>
      <c r="I10" s="157">
        <f>'ANALYSIS BY SUBJECTS'!H182</f>
        <v>8</v>
      </c>
      <c r="J10" s="157">
        <f>'ANALYSIS BY SUBJECTS'!I182</f>
        <v>6</v>
      </c>
      <c r="K10" s="157">
        <f>'ANALYSIS BY SUBJECTS'!J182</f>
        <v>7</v>
      </c>
      <c r="L10" s="157">
        <f>'ANALYSIS BY SUBJECTS'!K182</f>
        <v>4</v>
      </c>
      <c r="M10" s="157">
        <f>'ANALYSIS BY SUBJECTS'!L182</f>
        <v>20</v>
      </c>
      <c r="N10" s="157">
        <v>0</v>
      </c>
      <c r="O10" s="158">
        <f t="shared" si="0"/>
        <v>7.407407407407407E-2</v>
      </c>
      <c r="P10" s="158">
        <f t="shared" si="1"/>
        <v>0.35185185185185186</v>
      </c>
      <c r="Q10" s="158">
        <f t="shared" si="2"/>
        <v>0.20370370370370369</v>
      </c>
      <c r="R10" s="158">
        <f t="shared" si="3"/>
        <v>0.37037037037037035</v>
      </c>
      <c r="S10" s="159">
        <f>'OVERALL PERFORMANCES'!B6</f>
        <v>42.592592592592595</v>
      </c>
      <c r="T10" s="159">
        <f>'OVERALL PERFORMANCES'!C6</f>
        <v>62.962962962962962</v>
      </c>
      <c r="U10" s="156"/>
    </row>
    <row r="11" spans="1:21" ht="19.5" customHeight="1">
      <c r="A11" s="285" t="s">
        <v>105</v>
      </c>
      <c r="B11" s="286"/>
      <c r="C11" s="157">
        <f>'ANALYSIS BY SUBJECTS'!C183</f>
        <v>37</v>
      </c>
      <c r="D11" s="157">
        <f>'ANALYSIS BY SUBJECTS'!C183</f>
        <v>37</v>
      </c>
      <c r="E11" s="157">
        <f>'ANALYSIS BY SUBJECTS'!D183</f>
        <v>1</v>
      </c>
      <c r="F11" s="157">
        <f>'ANALYSIS BY SUBJECTS'!E183</f>
        <v>3</v>
      </c>
      <c r="G11" s="157">
        <f>'ANALYSIS BY SUBJECTS'!F183</f>
        <v>3</v>
      </c>
      <c r="H11" s="157">
        <f>'ANALYSIS BY SUBJECTS'!G183</f>
        <v>7</v>
      </c>
      <c r="I11" s="157">
        <f>'ANALYSIS BY SUBJECTS'!H183</f>
        <v>4</v>
      </c>
      <c r="J11" s="157">
        <f>'ANALYSIS BY SUBJECTS'!I183</f>
        <v>5</v>
      </c>
      <c r="K11" s="157">
        <f>'ANALYSIS BY SUBJECTS'!J183</f>
        <v>6</v>
      </c>
      <c r="L11" s="157">
        <f>'ANALYSIS BY SUBJECTS'!K183</f>
        <v>6</v>
      </c>
      <c r="M11" s="157">
        <f>'ANALYSIS BY SUBJECTS'!L183</f>
        <v>2</v>
      </c>
      <c r="N11" s="157">
        <v>0</v>
      </c>
      <c r="O11" s="158">
        <f t="shared" si="0"/>
        <v>0.10810810810810811</v>
      </c>
      <c r="P11" s="158">
        <f t="shared" si="1"/>
        <v>0.51351351351351349</v>
      </c>
      <c r="Q11" s="158">
        <f t="shared" si="2"/>
        <v>0.32432432432432434</v>
      </c>
      <c r="R11" s="158">
        <f t="shared" si="3"/>
        <v>5.4054054054054057E-2</v>
      </c>
      <c r="S11" s="159">
        <f>'OVERALL PERFORMANCES'!B7</f>
        <v>62.162162162162161</v>
      </c>
      <c r="T11" s="159">
        <f>'OVERALL PERFORMANCES'!C7</f>
        <v>94.594594594594597</v>
      </c>
      <c r="U11" s="156"/>
    </row>
    <row r="12" spans="1:21" ht="19.5" customHeight="1">
      <c r="A12" s="285" t="s">
        <v>106</v>
      </c>
      <c r="B12" s="286"/>
      <c r="C12" s="157">
        <f>'ANALYSIS BY SUBJECTS'!C184</f>
        <v>35</v>
      </c>
      <c r="D12" s="157">
        <f>'ANALYSIS BY SUBJECTS'!C184</f>
        <v>35</v>
      </c>
      <c r="E12" s="157">
        <f>'ANALYSIS BY SUBJECTS'!D184</f>
        <v>0</v>
      </c>
      <c r="F12" s="157">
        <f>'ANALYSIS BY SUBJECTS'!E184</f>
        <v>0</v>
      </c>
      <c r="G12" s="157">
        <f>'ANALYSIS BY SUBJECTS'!F184</f>
        <v>3</v>
      </c>
      <c r="H12" s="157">
        <f>'ANALYSIS BY SUBJECTS'!G184</f>
        <v>5</v>
      </c>
      <c r="I12" s="157">
        <f>'ANALYSIS BY SUBJECTS'!H184</f>
        <v>3</v>
      </c>
      <c r="J12" s="157">
        <f>'ANALYSIS BY SUBJECTS'!I184</f>
        <v>13</v>
      </c>
      <c r="K12" s="157">
        <f>'ANALYSIS BY SUBJECTS'!J184</f>
        <v>4</v>
      </c>
      <c r="L12" s="157">
        <f>'ANALYSIS BY SUBJECTS'!K184</f>
        <v>5</v>
      </c>
      <c r="M12" s="157">
        <f>'ANALYSIS BY SUBJECTS'!L184</f>
        <v>2</v>
      </c>
      <c r="N12" s="157">
        <v>0</v>
      </c>
      <c r="O12" s="158">
        <f t="shared" si="0"/>
        <v>0</v>
      </c>
      <c r="P12" s="158">
        <f t="shared" si="1"/>
        <v>0.68571428571428572</v>
      </c>
      <c r="Q12" s="158">
        <f t="shared" si="2"/>
        <v>0.25714285714285712</v>
      </c>
      <c r="R12" s="158">
        <f t="shared" si="3"/>
        <v>5.7142857142857141E-2</v>
      </c>
      <c r="S12" s="159">
        <f>'OVERALL PERFORMANCES'!B8</f>
        <v>68.571428571428569</v>
      </c>
      <c r="T12" s="159">
        <f>'OVERALL PERFORMANCES'!C8</f>
        <v>94.285714285714278</v>
      </c>
      <c r="U12" s="156"/>
    </row>
    <row r="13" spans="1:21" ht="19.5" customHeight="1">
      <c r="A13" s="285" t="s">
        <v>107</v>
      </c>
      <c r="B13" s="286"/>
      <c r="C13" s="157">
        <f>'ANALYSIS BY SUBJECTS'!C185</f>
        <v>41</v>
      </c>
      <c r="D13" s="157">
        <f>'ANALYSIS BY SUBJECTS'!C185</f>
        <v>41</v>
      </c>
      <c r="E13" s="157">
        <f>'ANALYSIS BY SUBJECTS'!D185</f>
        <v>0</v>
      </c>
      <c r="F13" s="157">
        <f>'ANALYSIS BY SUBJECTS'!E185</f>
        <v>0</v>
      </c>
      <c r="G13" s="157">
        <f>'ANALYSIS BY SUBJECTS'!F185</f>
        <v>0</v>
      </c>
      <c r="H13" s="157">
        <f>'ANALYSIS BY SUBJECTS'!G185</f>
        <v>0</v>
      </c>
      <c r="I13" s="157">
        <f>'ANALYSIS BY SUBJECTS'!H185</f>
        <v>1</v>
      </c>
      <c r="J13" s="157">
        <f>'ANALYSIS BY SUBJECTS'!I185</f>
        <v>0</v>
      </c>
      <c r="K13" s="157">
        <f>'ANALYSIS BY SUBJECTS'!J185</f>
        <v>1</v>
      </c>
      <c r="L13" s="157">
        <f>'ANALYSIS BY SUBJECTS'!K185</f>
        <v>9</v>
      </c>
      <c r="M13" s="157">
        <f>'ANALYSIS BY SUBJECTS'!L185</f>
        <v>30</v>
      </c>
      <c r="N13" s="157">
        <v>0</v>
      </c>
      <c r="O13" s="158">
        <f t="shared" si="0"/>
        <v>0</v>
      </c>
      <c r="P13" s="158">
        <f t="shared" si="1"/>
        <v>2.4390243902439025E-2</v>
      </c>
      <c r="Q13" s="158">
        <f t="shared" si="2"/>
        <v>0.24390243902439024</v>
      </c>
      <c r="R13" s="158">
        <f t="shared" si="3"/>
        <v>0.73170731707317072</v>
      </c>
      <c r="S13" s="159">
        <f>'OVERALL PERFORMANCES'!B9</f>
        <v>2.4390243902439024</v>
      </c>
      <c r="T13" s="159">
        <f>'OVERALL PERFORMANCES'!C9</f>
        <v>26.829268292682929</v>
      </c>
      <c r="U13" s="156"/>
    </row>
    <row r="14" spans="1:21" ht="19.5" customHeight="1">
      <c r="A14" s="285" t="s">
        <v>108</v>
      </c>
      <c r="B14" s="286"/>
      <c r="C14" s="157">
        <f>'ANALYSIS BY SUBJECTS'!C186</f>
        <v>63</v>
      </c>
      <c r="D14" s="157">
        <f>'ANALYSIS BY SUBJECTS'!C186</f>
        <v>63</v>
      </c>
      <c r="E14" s="157">
        <f>'ANALYSIS BY SUBJECTS'!D186</f>
        <v>0</v>
      </c>
      <c r="F14" s="157">
        <f>'ANALYSIS BY SUBJECTS'!E186</f>
        <v>0</v>
      </c>
      <c r="G14" s="157">
        <f>'ANALYSIS BY SUBJECTS'!F186</f>
        <v>0</v>
      </c>
      <c r="H14" s="157">
        <f>'ANALYSIS BY SUBJECTS'!G186</f>
        <v>0</v>
      </c>
      <c r="I14" s="157">
        <f>'ANALYSIS BY SUBJECTS'!H186</f>
        <v>1</v>
      </c>
      <c r="J14" s="157">
        <f>'ANALYSIS BY SUBJECTS'!I186</f>
        <v>4</v>
      </c>
      <c r="K14" s="157">
        <f>'ANALYSIS BY SUBJECTS'!J186</f>
        <v>13</v>
      </c>
      <c r="L14" s="157">
        <f>'ANALYSIS BY SUBJECTS'!K186</f>
        <v>18</v>
      </c>
      <c r="M14" s="157">
        <f>'ANALYSIS BY SUBJECTS'!L186</f>
        <v>27</v>
      </c>
      <c r="N14" s="157">
        <v>0</v>
      </c>
      <c r="O14" s="158">
        <f t="shared" si="0"/>
        <v>0</v>
      </c>
      <c r="P14" s="158">
        <f t="shared" si="1"/>
        <v>7.9365079365079361E-2</v>
      </c>
      <c r="Q14" s="158">
        <f t="shared" si="2"/>
        <v>0.49206349206349204</v>
      </c>
      <c r="R14" s="158">
        <f t="shared" si="3"/>
        <v>0.42857142857142855</v>
      </c>
      <c r="S14" s="159">
        <f>'OVERALL PERFORMANCES'!B10</f>
        <v>7.9365079365079358</v>
      </c>
      <c r="T14" s="159">
        <f>'OVERALL PERFORMANCES'!C10</f>
        <v>57.142857142857139</v>
      </c>
      <c r="U14" s="156"/>
    </row>
    <row r="15" spans="1:21" ht="19.5" customHeight="1">
      <c r="A15" s="285" t="s">
        <v>109</v>
      </c>
      <c r="B15" s="286"/>
      <c r="C15" s="157">
        <f>'ANALYSIS BY SUBJECTS'!C187</f>
        <v>148</v>
      </c>
      <c r="D15" s="157">
        <f>'ANALYSIS BY SUBJECTS'!C187</f>
        <v>148</v>
      </c>
      <c r="E15" s="157">
        <f>'ANALYSIS BY SUBJECTS'!D187</f>
        <v>10</v>
      </c>
      <c r="F15" s="157">
        <f>'ANALYSIS BY SUBJECTS'!E187</f>
        <v>25</v>
      </c>
      <c r="G15" s="157">
        <f>'ANALYSIS BY SUBJECTS'!F187</f>
        <v>15</v>
      </c>
      <c r="H15" s="157">
        <f>'ANALYSIS BY SUBJECTS'!G187</f>
        <v>12</v>
      </c>
      <c r="I15" s="157">
        <f>'ANALYSIS BY SUBJECTS'!H187</f>
        <v>15</v>
      </c>
      <c r="J15" s="157">
        <f>'ANALYSIS BY SUBJECTS'!I187</f>
        <v>15</v>
      </c>
      <c r="K15" s="157">
        <f>'ANALYSIS BY SUBJECTS'!J187</f>
        <v>16</v>
      </c>
      <c r="L15" s="157">
        <f>'ANALYSIS BY SUBJECTS'!K187</f>
        <v>15</v>
      </c>
      <c r="M15" s="157">
        <f>'ANALYSIS BY SUBJECTS'!L187</f>
        <v>25</v>
      </c>
      <c r="N15" s="157">
        <v>0</v>
      </c>
      <c r="O15" s="158">
        <f t="shared" si="0"/>
        <v>0.23648648648648649</v>
      </c>
      <c r="P15" s="158">
        <f t="shared" si="1"/>
        <v>0.38513513513513514</v>
      </c>
      <c r="Q15" s="158">
        <f t="shared" si="2"/>
        <v>0.20945945945945946</v>
      </c>
      <c r="R15" s="158">
        <f t="shared" si="3"/>
        <v>0.16891891891891891</v>
      </c>
      <c r="S15" s="159">
        <f>'OVERALL PERFORMANCES'!B11</f>
        <v>62.162162162162161</v>
      </c>
      <c r="T15" s="159">
        <f>'OVERALL PERFORMANCES'!C11</f>
        <v>83.108108108108098</v>
      </c>
      <c r="U15" s="156"/>
    </row>
    <row r="16" spans="1:21" ht="19.5" customHeight="1">
      <c r="A16" s="285" t="s">
        <v>110</v>
      </c>
      <c r="B16" s="286"/>
      <c r="C16" s="157">
        <f>'ANALYSIS BY SUBJECTS'!C188</f>
        <v>23</v>
      </c>
      <c r="D16" s="157">
        <f>'ANALYSIS BY SUBJECTS'!C188</f>
        <v>23</v>
      </c>
      <c r="E16" s="157">
        <f>'ANALYSIS BY SUBJECTS'!D188</f>
        <v>0</v>
      </c>
      <c r="F16" s="157">
        <f>'ANALYSIS BY SUBJECTS'!E188</f>
        <v>4</v>
      </c>
      <c r="G16" s="157">
        <f>'ANALYSIS BY SUBJECTS'!F188</f>
        <v>1</v>
      </c>
      <c r="H16" s="157">
        <f>'ANALYSIS BY SUBJECTS'!G188</f>
        <v>0</v>
      </c>
      <c r="I16" s="157">
        <f>'ANALYSIS BY SUBJECTS'!H188</f>
        <v>1</v>
      </c>
      <c r="J16" s="157">
        <f>'ANALYSIS BY SUBJECTS'!I188</f>
        <v>1</v>
      </c>
      <c r="K16" s="157">
        <f>'ANALYSIS BY SUBJECTS'!J188</f>
        <v>5</v>
      </c>
      <c r="L16" s="157">
        <f>'ANALYSIS BY SUBJECTS'!K188</f>
        <v>9</v>
      </c>
      <c r="M16" s="157">
        <f>'ANALYSIS BY SUBJECTS'!L188</f>
        <v>2</v>
      </c>
      <c r="N16" s="157">
        <v>0</v>
      </c>
      <c r="O16" s="158">
        <f t="shared" si="0"/>
        <v>0.17391304347826086</v>
      </c>
      <c r="P16" s="158">
        <f t="shared" si="1"/>
        <v>0.13043478260869565</v>
      </c>
      <c r="Q16" s="158">
        <f t="shared" si="2"/>
        <v>0.60869565217391308</v>
      </c>
      <c r="R16" s="158">
        <f t="shared" si="3"/>
        <v>8.6956521739130432E-2</v>
      </c>
      <c r="S16" s="159">
        <f>'OVERALL PERFORMANCES'!B12</f>
        <v>30.434782608695656</v>
      </c>
      <c r="T16" s="159">
        <f>'OVERALL PERFORMANCES'!C12</f>
        <v>91.304347826086953</v>
      </c>
      <c r="U16" s="156"/>
    </row>
    <row r="17" spans="1:21" ht="19.5" customHeight="1">
      <c r="A17" s="285" t="s">
        <v>111</v>
      </c>
      <c r="B17" s="286"/>
      <c r="C17" s="157">
        <f>'ANALYSIS BY SUBJECTS'!C189</f>
        <v>11</v>
      </c>
      <c r="D17" s="157">
        <f>'ANALYSIS BY SUBJECTS'!C189</f>
        <v>11</v>
      </c>
      <c r="E17" s="157">
        <f>'ANALYSIS BY SUBJECTS'!D189</f>
        <v>0</v>
      </c>
      <c r="F17" s="157">
        <f>'ANALYSIS BY SUBJECTS'!E189</f>
        <v>1</v>
      </c>
      <c r="G17" s="157">
        <f>'ANALYSIS BY SUBJECTS'!F189</f>
        <v>0</v>
      </c>
      <c r="H17" s="157">
        <f>'ANALYSIS BY SUBJECTS'!G189</f>
        <v>0</v>
      </c>
      <c r="I17" s="157">
        <f>'ANALYSIS BY SUBJECTS'!H189</f>
        <v>2</v>
      </c>
      <c r="J17" s="157">
        <f>'ANALYSIS BY SUBJECTS'!I189</f>
        <v>5</v>
      </c>
      <c r="K17" s="157">
        <f>'ANALYSIS BY SUBJECTS'!J189</f>
        <v>1</v>
      </c>
      <c r="L17" s="157">
        <f>'ANALYSIS BY SUBJECTS'!K189</f>
        <v>2</v>
      </c>
      <c r="M17" s="157">
        <f>'ANALYSIS BY SUBJECTS'!L189</f>
        <v>0</v>
      </c>
      <c r="N17" s="157">
        <v>0</v>
      </c>
      <c r="O17" s="158">
        <f t="shared" si="0"/>
        <v>9.0909090909090912E-2</v>
      </c>
      <c r="P17" s="158">
        <f t="shared" si="1"/>
        <v>0.63636363636363635</v>
      </c>
      <c r="Q17" s="158">
        <f t="shared" si="2"/>
        <v>0.27272727272727271</v>
      </c>
      <c r="R17" s="158">
        <f t="shared" si="3"/>
        <v>0</v>
      </c>
      <c r="S17" s="159">
        <f>'OVERALL PERFORMANCES'!B13</f>
        <v>72.727272727272734</v>
      </c>
      <c r="T17" s="159">
        <f>'OVERALL PERFORMANCES'!C13</f>
        <v>100</v>
      </c>
      <c r="U17" s="156"/>
    </row>
    <row r="18" spans="1:21" ht="19.5" customHeight="1">
      <c r="A18" s="285" t="s">
        <v>112</v>
      </c>
      <c r="B18" s="286"/>
      <c r="C18" s="157">
        <f>'ANALYSIS BY SUBJECTS'!C190</f>
        <v>12</v>
      </c>
      <c r="D18" s="157">
        <f>'ANALYSIS BY SUBJECTS'!C190</f>
        <v>12</v>
      </c>
      <c r="E18" s="157">
        <f>'ANALYSIS BY SUBJECTS'!D190</f>
        <v>0</v>
      </c>
      <c r="F18" s="157">
        <f>'ANALYSIS BY SUBJECTS'!E190</f>
        <v>0</v>
      </c>
      <c r="G18" s="157">
        <f>'ANALYSIS BY SUBJECTS'!F190</f>
        <v>1</v>
      </c>
      <c r="H18" s="157">
        <f>'ANALYSIS BY SUBJECTS'!G190</f>
        <v>0</v>
      </c>
      <c r="I18" s="157">
        <f>'ANALYSIS BY SUBJECTS'!H190</f>
        <v>2</v>
      </c>
      <c r="J18" s="157">
        <f>'ANALYSIS BY SUBJECTS'!I190</f>
        <v>1</v>
      </c>
      <c r="K18" s="157">
        <f>'ANALYSIS BY SUBJECTS'!J190</f>
        <v>5</v>
      </c>
      <c r="L18" s="157">
        <f>'ANALYSIS BY SUBJECTS'!K190</f>
        <v>2</v>
      </c>
      <c r="M18" s="157">
        <f>'ANALYSIS BY SUBJECTS'!L190</f>
        <v>1</v>
      </c>
      <c r="N18" s="157">
        <v>0</v>
      </c>
      <c r="O18" s="158">
        <f>((E18+F18)/C18)</f>
        <v>0</v>
      </c>
      <c r="P18" s="158">
        <f>(SUM(G18:J18)/C18)</f>
        <v>0.33333333333333331</v>
      </c>
      <c r="Q18" s="158">
        <f>(SUM(K18:L18)/C18)</f>
        <v>0.58333333333333337</v>
      </c>
      <c r="R18" s="158">
        <f>M18/C18</f>
        <v>8.3333333333333329E-2</v>
      </c>
      <c r="S18" s="159">
        <f>'OVERALL PERFORMANCES'!B14</f>
        <v>33.333333333333329</v>
      </c>
      <c r="T18" s="159">
        <f>'OVERALL PERFORMANCES'!C14</f>
        <v>91.666666666666657</v>
      </c>
      <c r="U18" s="156"/>
    </row>
    <row r="19" spans="1:21" ht="19.5" customHeight="1">
      <c r="A19" s="285" t="s">
        <v>113</v>
      </c>
      <c r="B19" s="286"/>
      <c r="C19" s="157">
        <f>'ANALYSIS BY SUBJECTS'!C191</f>
        <v>73</v>
      </c>
      <c r="D19" s="157">
        <f>'ANALYSIS BY SUBJECTS'!C191</f>
        <v>73</v>
      </c>
      <c r="E19" s="157">
        <f>'ANALYSIS BY SUBJECTS'!D191</f>
        <v>0</v>
      </c>
      <c r="F19" s="157">
        <f>'ANALYSIS BY SUBJECTS'!E191</f>
        <v>0</v>
      </c>
      <c r="G19" s="157">
        <f>'ANALYSIS BY SUBJECTS'!F191</f>
        <v>0</v>
      </c>
      <c r="H19" s="157">
        <f>'ANALYSIS BY SUBJECTS'!G191</f>
        <v>2</v>
      </c>
      <c r="I19" s="157">
        <f>'ANALYSIS BY SUBJECTS'!H191</f>
        <v>2</v>
      </c>
      <c r="J19" s="157">
        <f>'ANALYSIS BY SUBJECTS'!I191</f>
        <v>7</v>
      </c>
      <c r="K19" s="157">
        <f>'ANALYSIS BY SUBJECTS'!J191</f>
        <v>9</v>
      </c>
      <c r="L19" s="157">
        <f>'ANALYSIS BY SUBJECTS'!K191</f>
        <v>18</v>
      </c>
      <c r="M19" s="157">
        <f>'ANALYSIS BY SUBJECTS'!L191</f>
        <v>35</v>
      </c>
      <c r="N19" s="157">
        <v>0</v>
      </c>
      <c r="O19" s="158">
        <f t="shared" si="0"/>
        <v>0</v>
      </c>
      <c r="P19" s="158">
        <f t="shared" si="1"/>
        <v>0.15068493150684931</v>
      </c>
      <c r="Q19" s="158">
        <f t="shared" si="2"/>
        <v>0.36986301369863012</v>
      </c>
      <c r="R19" s="158">
        <f t="shared" si="3"/>
        <v>0.47945205479452052</v>
      </c>
      <c r="S19" s="159">
        <f>'OVERALL PERFORMANCES'!B15</f>
        <v>23.404255319148938</v>
      </c>
      <c r="T19" s="159">
        <f>'OVERALL PERFORMANCES'!C15</f>
        <v>52.054794520547944</v>
      </c>
      <c r="U19" s="156"/>
    </row>
    <row r="20" spans="1:21" ht="19.5" customHeight="1">
      <c r="A20" s="285" t="s">
        <v>114</v>
      </c>
      <c r="B20" s="286"/>
      <c r="C20" s="157">
        <f>'ANALYSIS BY SUBJECTS'!C192</f>
        <v>17</v>
      </c>
      <c r="D20" s="157">
        <f>'ANALYSIS BY SUBJECTS'!C192</f>
        <v>17</v>
      </c>
      <c r="E20" s="157">
        <f>'ANALYSIS BY SUBJECTS'!D192</f>
        <v>0</v>
      </c>
      <c r="F20" s="157">
        <f>'ANALYSIS BY SUBJECTS'!E192</f>
        <v>0</v>
      </c>
      <c r="G20" s="157">
        <f>'ANALYSIS BY SUBJECTS'!F192</f>
        <v>0</v>
      </c>
      <c r="H20" s="157">
        <f>'ANALYSIS BY SUBJECTS'!G192</f>
        <v>0</v>
      </c>
      <c r="I20" s="157">
        <f>'ANALYSIS BY SUBJECTS'!H192</f>
        <v>2</v>
      </c>
      <c r="J20" s="157">
        <f>'ANALYSIS BY SUBJECTS'!I192</f>
        <v>0</v>
      </c>
      <c r="K20" s="157">
        <f>'ANALYSIS BY SUBJECTS'!J192</f>
        <v>7</v>
      </c>
      <c r="L20" s="157">
        <f>'ANALYSIS BY SUBJECTS'!K192</f>
        <v>4</v>
      </c>
      <c r="M20" s="157">
        <f>'ANALYSIS BY SUBJECTS'!L192</f>
        <v>4</v>
      </c>
      <c r="N20" s="157">
        <v>0</v>
      </c>
      <c r="O20" s="158">
        <f t="shared" si="0"/>
        <v>0</v>
      </c>
      <c r="P20" s="158">
        <f t="shared" si="1"/>
        <v>0.11764705882352941</v>
      </c>
      <c r="Q20" s="158">
        <f t="shared" si="2"/>
        <v>0.6470588235294118</v>
      </c>
      <c r="R20" s="158">
        <f t="shared" si="3"/>
        <v>0.23529411764705882</v>
      </c>
      <c r="S20" s="159">
        <f>'OVERALL PERFORMANCES'!B16</f>
        <v>59.45945945945946</v>
      </c>
      <c r="T20" s="159">
        <f>'OVERALL PERFORMANCES'!C16</f>
        <v>76.470588235294116</v>
      </c>
      <c r="U20" s="156"/>
    </row>
    <row r="21" spans="1:21" ht="19.5" customHeight="1">
      <c r="A21" s="285" t="s">
        <v>115</v>
      </c>
      <c r="B21" s="286"/>
      <c r="C21" s="157">
        <f>'ANALYSIS BY SUBJECTS'!C193</f>
        <v>16</v>
      </c>
      <c r="D21" s="157">
        <f>'ANALYSIS BY SUBJECTS'!C193</f>
        <v>16</v>
      </c>
      <c r="E21" s="157">
        <f>'ANALYSIS BY SUBJECTS'!D193</f>
        <v>0</v>
      </c>
      <c r="F21" s="157">
        <f>'ANALYSIS BY SUBJECTS'!E193</f>
        <v>0</v>
      </c>
      <c r="G21" s="157">
        <f>'ANALYSIS BY SUBJECTS'!F193</f>
        <v>1</v>
      </c>
      <c r="H21" s="157">
        <f>'ANALYSIS BY SUBJECTS'!G193</f>
        <v>1</v>
      </c>
      <c r="I21" s="157">
        <f>'ANALYSIS BY SUBJECTS'!H193</f>
        <v>5</v>
      </c>
      <c r="J21" s="157">
        <f>'ANALYSIS BY SUBJECTS'!I193</f>
        <v>2</v>
      </c>
      <c r="K21" s="157">
        <f>'ANALYSIS BY SUBJECTS'!J193</f>
        <v>3</v>
      </c>
      <c r="L21" s="157">
        <f>'ANALYSIS BY SUBJECTS'!K193</f>
        <v>2</v>
      </c>
      <c r="M21" s="157">
        <f>'ANALYSIS BY SUBJECTS'!L193</f>
        <v>2</v>
      </c>
      <c r="N21" s="157">
        <v>0</v>
      </c>
      <c r="O21" s="158">
        <f t="shared" si="0"/>
        <v>0</v>
      </c>
      <c r="P21" s="158">
        <f t="shared" si="1"/>
        <v>0.5625</v>
      </c>
      <c r="Q21" s="158">
        <f t="shared" si="2"/>
        <v>0.3125</v>
      </c>
      <c r="R21" s="158">
        <f t="shared" si="3"/>
        <v>0.125</v>
      </c>
      <c r="S21" s="159">
        <f>'OVERALL PERFORMANCES'!B17</f>
        <v>56.25</v>
      </c>
      <c r="T21" s="159">
        <f>'OVERALL PERFORMANCES'!C17</f>
        <v>87.5</v>
      </c>
      <c r="U21" s="156"/>
    </row>
    <row r="22" spans="1:21" ht="19.5" customHeight="1">
      <c r="A22" s="285" t="s">
        <v>116</v>
      </c>
      <c r="B22" s="286"/>
      <c r="C22" s="157">
        <f>'ANALYSIS BY SUBJECTS'!C194</f>
        <v>5</v>
      </c>
      <c r="D22" s="157">
        <f>'ANALYSIS BY SUBJECTS'!C194</f>
        <v>5</v>
      </c>
      <c r="E22" s="157">
        <f>'ANALYSIS BY SUBJECTS'!D194</f>
        <v>0</v>
      </c>
      <c r="F22" s="157">
        <f>'ANALYSIS BY SUBJECTS'!E194</f>
        <v>0</v>
      </c>
      <c r="G22" s="157">
        <f>'ANALYSIS BY SUBJECTS'!F194</f>
        <v>1</v>
      </c>
      <c r="H22" s="157">
        <f>'ANALYSIS BY SUBJECTS'!G194</f>
        <v>0</v>
      </c>
      <c r="I22" s="157">
        <f>'ANALYSIS BY SUBJECTS'!H194</f>
        <v>1</v>
      </c>
      <c r="J22" s="157">
        <f>'ANALYSIS BY SUBJECTS'!I194</f>
        <v>1</v>
      </c>
      <c r="K22" s="157">
        <f>'ANALYSIS BY SUBJECTS'!J194</f>
        <v>0</v>
      </c>
      <c r="L22" s="157">
        <f>'ANALYSIS BY SUBJECTS'!K194</f>
        <v>1</v>
      </c>
      <c r="M22" s="157">
        <f>'ANALYSIS BY SUBJECTS'!L194</f>
        <v>1</v>
      </c>
      <c r="N22" s="157">
        <v>0</v>
      </c>
      <c r="O22" s="158">
        <f t="shared" si="0"/>
        <v>0</v>
      </c>
      <c r="P22" s="158">
        <f t="shared" si="1"/>
        <v>0.6</v>
      </c>
      <c r="Q22" s="158">
        <f t="shared" si="2"/>
        <v>0.2</v>
      </c>
      <c r="R22" s="158">
        <f t="shared" si="3"/>
        <v>0.2</v>
      </c>
      <c r="S22" s="159">
        <f>'OVERALL PERFORMANCES'!B18</f>
        <v>60</v>
      </c>
      <c r="T22" s="159">
        <f>'OVERALL PERFORMANCES'!C18</f>
        <v>80</v>
      </c>
      <c r="U22" s="156"/>
    </row>
    <row r="23" spans="1:21" ht="19.5" customHeight="1">
      <c r="A23" s="285" t="s">
        <v>117</v>
      </c>
      <c r="B23" s="286"/>
      <c r="C23" s="157">
        <f>'ANALYSIS BY SUBJECTS'!C194</f>
        <v>5</v>
      </c>
      <c r="D23" s="157">
        <f>'ANALYSIS BY SUBJECTS'!C194</f>
        <v>5</v>
      </c>
      <c r="E23" s="157">
        <f>'ANALYSIS BY SUBJECTS'!D194</f>
        <v>0</v>
      </c>
      <c r="F23" s="157">
        <f>'ANALYSIS BY SUBJECTS'!E194</f>
        <v>0</v>
      </c>
      <c r="G23" s="157">
        <f>'ANALYSIS BY SUBJECTS'!F194</f>
        <v>1</v>
      </c>
      <c r="H23" s="157">
        <f>'ANALYSIS BY SUBJECTS'!G194</f>
        <v>0</v>
      </c>
      <c r="I23" s="157">
        <f>'ANALYSIS BY SUBJECTS'!H194</f>
        <v>1</v>
      </c>
      <c r="J23" s="157">
        <f>'ANALYSIS BY SUBJECTS'!I194</f>
        <v>1</v>
      </c>
      <c r="K23" s="157">
        <f>'ANALYSIS BY SUBJECTS'!J194</f>
        <v>0</v>
      </c>
      <c r="L23" s="157">
        <f>'ANALYSIS BY SUBJECTS'!K194</f>
        <v>1</v>
      </c>
      <c r="M23" s="157">
        <f>'ANALYSIS BY SUBJECTS'!L194</f>
        <v>1</v>
      </c>
      <c r="N23" s="157">
        <v>0</v>
      </c>
      <c r="O23" s="158">
        <f t="shared" ref="O23" si="4">((E23+F23)/C23)</f>
        <v>0</v>
      </c>
      <c r="P23" s="158">
        <f t="shared" ref="P23" si="5">(SUM(G23:J23)/C23)</f>
        <v>0.6</v>
      </c>
      <c r="Q23" s="158">
        <f t="shared" ref="Q23" si="6">(SUM(K23:L23)/C23)</f>
        <v>0.2</v>
      </c>
      <c r="R23" s="158">
        <f t="shared" ref="R23" si="7">M23/C23</f>
        <v>0.2</v>
      </c>
      <c r="S23" s="159">
        <f>'OVERALL PERFORMANCES'!B18</f>
        <v>60</v>
      </c>
      <c r="T23" s="159">
        <f>'OVERALL PERFORMANCES'!C18</f>
        <v>80</v>
      </c>
      <c r="U23" s="156"/>
    </row>
    <row r="24" spans="1:21" ht="19.5" customHeight="1">
      <c r="A24" s="285" t="s">
        <v>118</v>
      </c>
      <c r="B24" s="286"/>
      <c r="C24" s="157">
        <f>'ANALYSIS BY SUBJECTS'!$C$165</f>
        <v>20</v>
      </c>
      <c r="D24" s="157">
        <f>'ANALYSIS BY SUBJECTS'!C165</f>
        <v>20</v>
      </c>
      <c r="E24" s="157">
        <f>'ANALYSIS BY SUBJECTS'!D165</f>
        <v>0</v>
      </c>
      <c r="F24" s="157">
        <f>'ANALYSIS BY SUBJECTS'!E165</f>
        <v>2</v>
      </c>
      <c r="G24" s="157">
        <f>'ANALYSIS BY SUBJECTS'!F165</f>
        <v>3</v>
      </c>
      <c r="H24" s="157">
        <f>'ANALYSIS BY SUBJECTS'!G165</f>
        <v>1</v>
      </c>
      <c r="I24" s="157">
        <f>'ANALYSIS BY SUBJECTS'!H165</f>
        <v>5</v>
      </c>
      <c r="J24" s="157">
        <f>'ANALYSIS BY SUBJECTS'!I165</f>
        <v>2</v>
      </c>
      <c r="K24" s="157">
        <f>'ANALYSIS BY SUBJECTS'!J165</f>
        <v>4</v>
      </c>
      <c r="L24" s="157">
        <f>'ANALYSIS BY SUBJECTS'!K165</f>
        <v>2</v>
      </c>
      <c r="M24" s="157">
        <f>'ANALYSIS BY SUBJECTS'!L165</f>
        <v>1</v>
      </c>
      <c r="N24" s="157">
        <v>0</v>
      </c>
      <c r="O24" s="158">
        <f t="shared" ref="O24" si="8">((E24+F24)/C24)</f>
        <v>0.1</v>
      </c>
      <c r="P24" s="158">
        <f t="shared" ref="P24" si="9">(SUM(G24:J24)/C24)</f>
        <v>0.55000000000000004</v>
      </c>
      <c r="Q24" s="158">
        <f t="shared" ref="Q24" si="10">(SUM(K24:L24)/C24)</f>
        <v>0.3</v>
      </c>
      <c r="R24" s="158">
        <f t="shared" ref="R24" si="11">M24/C24</f>
        <v>0.05</v>
      </c>
      <c r="S24" s="159">
        <f>'OVERALL PERFORMANCES'!B19</f>
        <v>56.09756097560976</v>
      </c>
      <c r="T24" s="159">
        <f>'OVERALL PERFORMANCES'!C19</f>
        <v>87.804878048780495</v>
      </c>
      <c r="U24" s="156"/>
    </row>
    <row r="25" spans="1:21" ht="18" customHeight="1">
      <c r="A25" s="297" t="s">
        <v>95</v>
      </c>
      <c r="B25" s="298"/>
      <c r="C25" s="157">
        <f>'ANALYSIS BY SUBJECTS'!C197</f>
        <v>10</v>
      </c>
      <c r="D25" s="157">
        <f>'ANALYSIS BY SUBJECTS'!D197</f>
        <v>0</v>
      </c>
      <c r="E25" s="157">
        <f>'ANALYSIS BY SUBJECTS'!E197</f>
        <v>0</v>
      </c>
      <c r="F25" s="157">
        <f>'ANALYSIS BY SUBJECTS'!F197</f>
        <v>0</v>
      </c>
      <c r="G25" s="157">
        <f>'ANALYSIS BY SUBJECTS'!G197</f>
        <v>2</v>
      </c>
      <c r="H25" s="157">
        <f>'ANALYSIS BY SUBJECTS'!H197</f>
        <v>0</v>
      </c>
      <c r="I25" s="157">
        <f>'ANALYSIS BY SUBJECTS'!I197</f>
        <v>2</v>
      </c>
      <c r="J25" s="157">
        <f>'ANALYSIS BY SUBJECTS'!J197</f>
        <v>3</v>
      </c>
      <c r="K25" s="157">
        <f>'ANALYSIS BY SUBJECTS'!K197</f>
        <v>1</v>
      </c>
      <c r="L25" s="157">
        <f>'ANALYSIS BY SUBJECTS'!L197</f>
        <v>2</v>
      </c>
      <c r="M25" s="157">
        <f>'ANALYSIS BY SUBJECTS'!M197</f>
        <v>4</v>
      </c>
      <c r="N25" s="157">
        <v>0</v>
      </c>
      <c r="O25" s="158">
        <f t="shared" si="0"/>
        <v>0</v>
      </c>
      <c r="P25" s="158">
        <f t="shared" si="1"/>
        <v>0.7</v>
      </c>
      <c r="Q25" s="158">
        <f t="shared" si="2"/>
        <v>0.3</v>
      </c>
      <c r="R25" s="158">
        <f t="shared" si="3"/>
        <v>0.4</v>
      </c>
      <c r="S25" s="159">
        <f>'OVERALL PERFORMANCES'!B20</f>
        <v>65</v>
      </c>
      <c r="T25" s="159">
        <f>'OVERALL PERFORMANCES'!C20</f>
        <v>95</v>
      </c>
      <c r="U25" s="156"/>
    </row>
    <row r="26" spans="1:21" ht="24.75" customHeight="1">
      <c r="A26" s="160"/>
      <c r="B26" s="160"/>
    </row>
    <row r="27" spans="1:21" ht="18" customHeight="1">
      <c r="A27" s="153"/>
      <c r="B27" s="153"/>
      <c r="C27" s="287" t="s">
        <v>164</v>
      </c>
      <c r="D27" s="288"/>
      <c r="E27" s="288"/>
      <c r="F27" s="288"/>
      <c r="G27" s="288"/>
      <c r="H27" s="288"/>
      <c r="I27" s="288"/>
      <c r="J27" s="288"/>
      <c r="K27" s="288"/>
      <c r="L27" s="288"/>
      <c r="M27" s="288"/>
      <c r="N27" s="289"/>
      <c r="O27" s="290" t="s">
        <v>165</v>
      </c>
      <c r="P27" s="291"/>
      <c r="Q27" s="291"/>
      <c r="R27" s="291"/>
      <c r="S27" s="291"/>
      <c r="T27" s="292"/>
      <c r="U27" s="154" t="s">
        <v>184</v>
      </c>
    </row>
    <row r="28" spans="1:21" ht="15" customHeight="1">
      <c r="A28" s="155"/>
      <c r="B28" s="155"/>
      <c r="C28" s="282" t="s">
        <v>166</v>
      </c>
      <c r="D28" s="283"/>
      <c r="E28" s="282" t="s">
        <v>1</v>
      </c>
      <c r="F28" s="283"/>
      <c r="G28" s="282" t="s">
        <v>2</v>
      </c>
      <c r="H28" s="283"/>
      <c r="I28" s="282" t="s">
        <v>98</v>
      </c>
      <c r="J28" s="284"/>
      <c r="K28" s="284"/>
      <c r="L28" s="283"/>
      <c r="M28" s="164" t="s">
        <v>4</v>
      </c>
      <c r="N28" s="164" t="s">
        <v>167</v>
      </c>
      <c r="O28" s="165" t="s">
        <v>1</v>
      </c>
      <c r="P28" s="165" t="s">
        <v>2</v>
      </c>
      <c r="Q28" s="165" t="s">
        <v>98</v>
      </c>
      <c r="R28" s="165" t="s">
        <v>4</v>
      </c>
      <c r="S28" s="165" t="s">
        <v>2</v>
      </c>
      <c r="T28" s="165" t="s">
        <v>98</v>
      </c>
      <c r="U28" s="156"/>
    </row>
    <row r="29" spans="1:21" ht="23.25" customHeight="1">
      <c r="A29" s="275" t="s">
        <v>99</v>
      </c>
      <c r="B29" s="276"/>
      <c r="C29" s="167" t="s">
        <v>168</v>
      </c>
      <c r="D29" s="167" t="s">
        <v>169</v>
      </c>
      <c r="E29" s="167" t="s">
        <v>8</v>
      </c>
      <c r="F29" s="167" t="s">
        <v>170</v>
      </c>
      <c r="G29" s="167" t="s">
        <v>171</v>
      </c>
      <c r="H29" s="167" t="s">
        <v>46</v>
      </c>
      <c r="I29" s="167" t="s">
        <v>47</v>
      </c>
      <c r="J29" s="167" t="s">
        <v>48</v>
      </c>
      <c r="K29" s="167" t="s">
        <v>49</v>
      </c>
      <c r="L29" s="167" t="s">
        <v>50</v>
      </c>
      <c r="M29" s="167" t="s">
        <v>16</v>
      </c>
      <c r="N29" s="167" t="s">
        <v>172</v>
      </c>
      <c r="O29" s="168" t="s">
        <v>173</v>
      </c>
      <c r="P29" s="168" t="s">
        <v>174</v>
      </c>
      <c r="Q29" s="168" t="s">
        <v>175</v>
      </c>
      <c r="R29" s="168" t="s">
        <v>16</v>
      </c>
      <c r="S29" s="169" t="s">
        <v>176</v>
      </c>
      <c r="T29" s="169" t="s">
        <v>177</v>
      </c>
      <c r="U29" s="156"/>
    </row>
    <row r="30" spans="1:21" ht="28.7" hidden="1" customHeight="1">
      <c r="A30" s="293" t="s">
        <v>178</v>
      </c>
      <c r="B30" s="294"/>
      <c r="C30" s="157" t="e">
        <f>'ANALYSIS BY SUBJECTS'!#REF!</f>
        <v>#REF!</v>
      </c>
      <c r="D30" s="157" t="e">
        <f>'ANALYSIS BY SUBJECTS'!#REF!</f>
        <v>#REF!</v>
      </c>
      <c r="E30" s="161"/>
      <c r="F30" s="161"/>
      <c r="G30" s="161"/>
      <c r="H30" s="157" t="e">
        <f>'ANALYSIS BY SUBJECTS'!#REF!</f>
        <v>#REF!</v>
      </c>
      <c r="I30" s="157" t="e">
        <f>'ANALYSIS BY SUBJECTS'!#REF!</f>
        <v>#REF!</v>
      </c>
      <c r="J30" s="157" t="e">
        <f>'ANALYSIS BY SUBJECTS'!#REF!</f>
        <v>#REF!</v>
      </c>
      <c r="K30" s="157" t="e">
        <f>'ANALYSIS BY SUBJECTS'!#REF!</f>
        <v>#REF!</v>
      </c>
      <c r="L30" s="157" t="e">
        <f>'ANALYSIS BY SUBJECTS'!#REF!</f>
        <v>#REF!</v>
      </c>
      <c r="M30" s="157" t="e">
        <f>'ANALYSIS BY SUBJECTS'!#REF!</f>
        <v>#REF!</v>
      </c>
      <c r="N30" s="157">
        <v>0</v>
      </c>
      <c r="O30" s="162" t="e">
        <f>((E30+F30)/C30)</f>
        <v>#REF!</v>
      </c>
      <c r="P30" s="162" t="e">
        <f>(SUM(G30:H30)/C30)</f>
        <v>#REF!</v>
      </c>
      <c r="Q30" s="162" t="e">
        <f>(SUM(I30:L30)/C30)</f>
        <v>#REF!</v>
      </c>
      <c r="R30" s="162" t="e">
        <f>M30/C30</f>
        <v>#REF!</v>
      </c>
      <c r="S30" s="163" t="e">
        <f>(SUM(E30:H30)/C30)</f>
        <v>#REF!</v>
      </c>
      <c r="T30" s="163" t="e">
        <f>(SUM(E30:L30)/D30)</f>
        <v>#REF!</v>
      </c>
      <c r="U30" s="156"/>
    </row>
    <row r="31" spans="1:21" ht="28.7" customHeight="1">
      <c r="A31" s="295" t="s">
        <v>179</v>
      </c>
      <c r="B31" s="296"/>
      <c r="C31" s="157">
        <f>'ANALYSIS BY SUBJECTS'!$C$47</f>
        <v>37</v>
      </c>
      <c r="D31" s="157">
        <f>'ANALYSIS BY SUBJECTS'!$C$47</f>
        <v>37</v>
      </c>
      <c r="E31" s="161"/>
      <c r="F31" s="161"/>
      <c r="G31" s="161"/>
      <c r="H31" s="157">
        <f>'ANALYSIS BY SUBJECTS'!D47</f>
        <v>0</v>
      </c>
      <c r="I31" s="157">
        <f>'ANALYSIS BY SUBJECTS'!E47</f>
        <v>0</v>
      </c>
      <c r="J31" s="157">
        <f>'ANALYSIS BY SUBJECTS'!F47</f>
        <v>6</v>
      </c>
      <c r="K31" s="157">
        <f>'ANALYSIS BY SUBJECTS'!G47</f>
        <v>2</v>
      </c>
      <c r="L31" s="157">
        <f>'ANALYSIS BY SUBJECTS'!H47</f>
        <v>7</v>
      </c>
      <c r="M31" s="157">
        <f>'ANALYSIS BY SUBJECTS'!I47</f>
        <v>5</v>
      </c>
      <c r="N31" s="157">
        <v>0</v>
      </c>
      <c r="O31" s="162">
        <f>((E31+F31)/C31)</f>
        <v>0</v>
      </c>
      <c r="P31" s="162">
        <f>(SUM(G31:H31)/C31)</f>
        <v>0</v>
      </c>
      <c r="Q31" s="162">
        <f>(SUM(I31:L31)/C31)</f>
        <v>0.40540540540540543</v>
      </c>
      <c r="R31" s="162">
        <f>M31/C31</f>
        <v>0.13513513513513514</v>
      </c>
      <c r="S31" s="163">
        <f>(SUM(E31:H31)/C31)</f>
        <v>0</v>
      </c>
      <c r="T31" s="163">
        <f>(SUM(E31:L31)/D31)</f>
        <v>0.40540540540540543</v>
      </c>
      <c r="U31" s="156"/>
    </row>
  </sheetData>
  <mergeCells count="37">
    <mergeCell ref="A23:B23"/>
    <mergeCell ref="A24:B24"/>
    <mergeCell ref="A29:B29"/>
    <mergeCell ref="A30:B30"/>
    <mergeCell ref="A31:B31"/>
    <mergeCell ref="A25:B25"/>
    <mergeCell ref="C27:N27"/>
    <mergeCell ref="O27:T27"/>
    <mergeCell ref="C28:D28"/>
    <mergeCell ref="E28:F28"/>
    <mergeCell ref="G28:H28"/>
    <mergeCell ref="I28:L28"/>
    <mergeCell ref="A7:B7"/>
    <mergeCell ref="A8:B8"/>
    <mergeCell ref="A9:B9"/>
    <mergeCell ref="A10:B10"/>
    <mergeCell ref="A22:B22"/>
    <mergeCell ref="A11:B11"/>
    <mergeCell ref="A12:B12"/>
    <mergeCell ref="A13:B13"/>
    <mergeCell ref="A14:B14"/>
    <mergeCell ref="A15:B15"/>
    <mergeCell ref="A18:B18"/>
    <mergeCell ref="A17:B17"/>
    <mergeCell ref="A16:B16"/>
    <mergeCell ref="A19:B19"/>
    <mergeCell ref="A20:B20"/>
    <mergeCell ref="A21:B21"/>
    <mergeCell ref="A6:B6"/>
    <mergeCell ref="A1:U1"/>
    <mergeCell ref="A2:U2"/>
    <mergeCell ref="C4:N4"/>
    <mergeCell ref="O4:T4"/>
    <mergeCell ref="C5:D5"/>
    <mergeCell ref="E5:F5"/>
    <mergeCell ref="G5:J5"/>
    <mergeCell ref="K5:L5"/>
  </mergeCells>
  <pageMargins left="0.42708333333333298" right="0.34375" top="0.41249999999999998" bottom="0.30249999999999999" header="0.3" footer="0.3"/>
  <pageSetup paperSize="5" scale="8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4"/>
  <sheetViews>
    <sheetView view="pageLayout" zoomScaleNormal="100" workbookViewId="0">
      <selection activeCell="F5" sqref="F5"/>
    </sheetView>
  </sheetViews>
  <sheetFormatPr defaultColWidth="9.140625" defaultRowHeight="12.95"/>
  <cols>
    <col min="1" max="1" width="10.7109375" customWidth="1"/>
    <col min="2" max="19" width="6.85546875" customWidth="1"/>
  </cols>
  <sheetData>
    <row r="1" spans="1:19" ht="36.950000000000003">
      <c r="A1" s="264" t="s">
        <v>161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</row>
    <row r="2" spans="1:19" ht="29.1">
      <c r="A2" s="265" t="s">
        <v>162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</row>
    <row r="4" spans="1:19" s="41" customFormat="1" ht="15.95">
      <c r="A4" s="304" t="s">
        <v>189</v>
      </c>
      <c r="B4" s="305"/>
      <c r="C4" s="305"/>
      <c r="D4" s="306"/>
      <c r="E4" s="39">
        <v>195</v>
      </c>
      <c r="F4" s="40"/>
      <c r="G4" s="40"/>
      <c r="H4" s="40"/>
      <c r="I4" s="40"/>
      <c r="J4" s="40"/>
      <c r="K4" s="40"/>
      <c r="L4" s="40"/>
    </row>
    <row r="5" spans="1:19" s="41" customFormat="1" ht="15.95">
      <c r="A5" s="304" t="s">
        <v>190</v>
      </c>
      <c r="B5" s="305"/>
      <c r="C5" s="305"/>
      <c r="D5" s="306"/>
      <c r="E5" s="39">
        <v>195</v>
      </c>
      <c r="F5" s="40"/>
      <c r="G5" s="40"/>
      <c r="H5" s="40"/>
      <c r="I5" s="40"/>
      <c r="J5" s="40"/>
      <c r="K5" s="40"/>
      <c r="L5" s="40"/>
    </row>
    <row r="6" spans="1:19" s="41" customFormat="1" ht="15.95">
      <c r="A6" s="304" t="s">
        <v>191</v>
      </c>
      <c r="B6" s="305"/>
      <c r="C6" s="305"/>
      <c r="D6" s="306"/>
      <c r="E6" s="39">
        <v>0</v>
      </c>
      <c r="F6" s="40"/>
      <c r="G6" s="40"/>
      <c r="H6" s="40"/>
      <c r="I6" s="40"/>
      <c r="J6" s="40"/>
      <c r="K6" s="40"/>
      <c r="L6" s="40"/>
    </row>
    <row r="7" spans="1:19" s="41" customFormat="1" ht="15.95"/>
    <row r="8" spans="1:19" s="41" customFormat="1" ht="63" customHeight="1">
      <c r="A8" s="42" t="s">
        <v>192</v>
      </c>
      <c r="B8" s="307" t="s">
        <v>193</v>
      </c>
      <c r="C8" s="308"/>
      <c r="D8" s="43" t="s">
        <v>194</v>
      </c>
      <c r="E8" s="44"/>
      <c r="F8" s="44"/>
      <c r="G8" s="44"/>
      <c r="H8" s="44"/>
      <c r="I8" s="44"/>
      <c r="J8" s="44"/>
      <c r="K8" s="44"/>
      <c r="L8" s="40"/>
    </row>
    <row r="9" spans="1:19" s="41" customFormat="1" ht="15.95">
      <c r="A9" s="39">
        <v>9</v>
      </c>
      <c r="B9" s="301"/>
      <c r="C9" s="302"/>
      <c r="D9" s="45"/>
      <c r="E9" s="40"/>
      <c r="F9" s="40"/>
      <c r="G9" s="40"/>
      <c r="H9" s="40"/>
      <c r="I9" s="40"/>
      <c r="J9" s="40"/>
      <c r="K9" s="40"/>
      <c r="L9" s="40"/>
    </row>
    <row r="10" spans="1:19" s="41" customFormat="1" ht="15.95">
      <c r="A10" s="39">
        <v>8</v>
      </c>
      <c r="B10" s="301"/>
      <c r="C10" s="302"/>
      <c r="D10" s="45"/>
      <c r="E10" s="40"/>
      <c r="F10" s="40"/>
      <c r="G10" s="40"/>
      <c r="H10" s="40"/>
      <c r="I10" s="40"/>
      <c r="J10" s="40"/>
      <c r="K10" s="40"/>
      <c r="L10" s="40"/>
    </row>
    <row r="11" spans="1:19" s="41" customFormat="1" ht="15.95">
      <c r="A11" s="39">
        <v>7</v>
      </c>
      <c r="B11" s="301"/>
      <c r="C11" s="302"/>
      <c r="D11" s="45"/>
      <c r="E11" s="40"/>
      <c r="F11" s="40"/>
      <c r="G11" s="40"/>
      <c r="H11" s="40"/>
      <c r="I11" s="40"/>
      <c r="J11" s="40"/>
      <c r="K11" s="40"/>
      <c r="L11" s="40"/>
    </row>
    <row r="12" spans="1:19" s="41" customFormat="1" ht="15.95">
      <c r="A12" s="39">
        <v>6</v>
      </c>
      <c r="B12" s="301"/>
      <c r="C12" s="302"/>
      <c r="D12" s="45"/>
      <c r="E12" s="40"/>
      <c r="F12" s="40"/>
      <c r="G12" s="40"/>
      <c r="H12" s="40"/>
      <c r="I12" s="40"/>
      <c r="J12" s="40"/>
      <c r="K12" s="40"/>
      <c r="L12" s="40"/>
    </row>
    <row r="13" spans="1:19" s="41" customFormat="1" ht="15.95">
      <c r="A13" s="39">
        <v>5</v>
      </c>
      <c r="B13" s="301"/>
      <c r="C13" s="302"/>
      <c r="D13" s="45"/>
      <c r="E13" s="40"/>
      <c r="F13" s="40"/>
      <c r="G13" s="40"/>
      <c r="H13" s="40"/>
      <c r="I13" s="40"/>
      <c r="J13" s="40"/>
      <c r="K13" s="40"/>
      <c r="L13" s="40"/>
    </row>
    <row r="14" spans="1:19" s="41" customFormat="1" ht="15.95">
      <c r="A14" s="39">
        <v>4</v>
      </c>
      <c r="B14" s="301"/>
      <c r="C14" s="302"/>
      <c r="D14" s="45"/>
      <c r="E14" s="40"/>
      <c r="F14" s="40"/>
      <c r="G14" s="40"/>
      <c r="H14" s="40"/>
      <c r="I14" s="40"/>
      <c r="J14" s="40"/>
      <c r="K14" s="40"/>
      <c r="L14" s="40"/>
    </row>
    <row r="15" spans="1:19" s="41" customFormat="1" ht="15.95">
      <c r="A15" s="39">
        <v>3</v>
      </c>
      <c r="B15" s="301"/>
      <c r="C15" s="302"/>
      <c r="D15" s="45"/>
    </row>
    <row r="16" spans="1:19" s="41" customFormat="1" ht="15.95">
      <c r="A16" s="39">
        <v>2</v>
      </c>
      <c r="B16" s="301"/>
      <c r="C16" s="302"/>
      <c r="D16" s="45"/>
    </row>
    <row r="17" spans="1:19" s="41" customFormat="1" ht="15.95">
      <c r="A17" s="39">
        <v>1</v>
      </c>
      <c r="B17" s="301"/>
      <c r="C17" s="302"/>
      <c r="D17" s="45"/>
    </row>
    <row r="18" spans="1:19" s="41" customFormat="1" ht="15.95">
      <c r="A18" s="39">
        <v>0</v>
      </c>
      <c r="B18" s="301"/>
      <c r="C18" s="302"/>
      <c r="D18" s="45"/>
    </row>
    <row r="19" spans="1:19" s="41" customFormat="1" ht="15.95">
      <c r="A19" s="43" t="s">
        <v>7</v>
      </c>
      <c r="B19" s="303">
        <v>195</v>
      </c>
      <c r="C19" s="303"/>
    </row>
    <row r="21" spans="1:19" ht="18">
      <c r="A21" s="46"/>
      <c r="B21" s="47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</row>
    <row r="22" spans="1:19" ht="24.75" customHeight="1">
      <c r="A22" s="46"/>
      <c r="B22" s="46"/>
      <c r="C22" s="48" t="s">
        <v>195</v>
      </c>
      <c r="D22" s="49" t="s">
        <v>194</v>
      </c>
    </row>
    <row r="23" spans="1:19" ht="21.6" customHeight="1">
      <c r="A23" s="299" t="s">
        <v>196</v>
      </c>
      <c r="B23" s="300"/>
      <c r="C23" s="50"/>
      <c r="D23" s="51">
        <f>C23/B19</f>
        <v>0</v>
      </c>
    </row>
    <row r="24" spans="1:19" ht="21.6" customHeight="1">
      <c r="A24" s="299" t="s">
        <v>197</v>
      </c>
      <c r="B24" s="300"/>
      <c r="C24" s="50"/>
      <c r="D24" s="51">
        <f>C24/B19</f>
        <v>0</v>
      </c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</row>
  </sheetData>
  <mergeCells count="19">
    <mergeCell ref="B14:C14"/>
    <mergeCell ref="A1:S1"/>
    <mergeCell ref="A2:S2"/>
    <mergeCell ref="A4:D4"/>
    <mergeCell ref="A5:D5"/>
    <mergeCell ref="A6:D6"/>
    <mergeCell ref="B8:C8"/>
    <mergeCell ref="B9:C9"/>
    <mergeCell ref="B10:C10"/>
    <mergeCell ref="B11:C11"/>
    <mergeCell ref="B12:C12"/>
    <mergeCell ref="B13:C13"/>
    <mergeCell ref="A24:B24"/>
    <mergeCell ref="B15:C15"/>
    <mergeCell ref="B16:C16"/>
    <mergeCell ref="B17:C17"/>
    <mergeCell ref="B18:C18"/>
    <mergeCell ref="B19:C19"/>
    <mergeCell ref="A23:B23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C3" sqref="C3:C21"/>
    </sheetView>
  </sheetViews>
  <sheetFormatPr defaultColWidth="8.85546875" defaultRowHeight="12.9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5"/>
  <sheetViews>
    <sheetView view="pageLayout" zoomScaleNormal="100" workbookViewId="0">
      <selection activeCell="K15" sqref="K15"/>
    </sheetView>
  </sheetViews>
  <sheetFormatPr defaultColWidth="11.42578125" defaultRowHeight="15"/>
  <cols>
    <col min="1" max="1" width="15.28515625" style="171" customWidth="1"/>
    <col min="2" max="2" width="11.28515625" style="171" customWidth="1"/>
    <col min="3" max="12" width="5.140625" style="171" customWidth="1"/>
    <col min="13" max="13" width="10.28515625" style="171" customWidth="1"/>
    <col min="14" max="14" width="8.28515625" style="171" customWidth="1"/>
    <col min="15" max="15" width="11" style="171" customWidth="1"/>
    <col min="16" max="16" width="11.140625" style="171" customWidth="1"/>
    <col min="17" max="16384" width="11.42578125" style="171"/>
  </cols>
  <sheetData>
    <row r="1" spans="1:16" ht="30">
      <c r="A1" s="309" t="s">
        <v>198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</row>
    <row r="2" spans="1:16" ht="17.25" customHeight="1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</row>
    <row r="3" spans="1:16" s="174" customFormat="1" ht="32.25" customHeight="1">
      <c r="A3" s="173"/>
      <c r="B3" s="310" t="s">
        <v>199</v>
      </c>
      <c r="C3" s="316" t="s">
        <v>200</v>
      </c>
      <c r="D3" s="316"/>
      <c r="E3" s="316"/>
      <c r="F3" s="316"/>
      <c r="G3" s="316"/>
      <c r="H3" s="316"/>
      <c r="I3" s="316"/>
      <c r="J3" s="316"/>
      <c r="K3" s="316"/>
      <c r="L3" s="316"/>
      <c r="M3" s="312" t="s">
        <v>201</v>
      </c>
      <c r="N3" s="313"/>
      <c r="O3" s="314" t="s">
        <v>202</v>
      </c>
      <c r="P3" s="315"/>
    </row>
    <row r="4" spans="1:16" s="174" customFormat="1" ht="32.25" customHeight="1">
      <c r="A4" s="173"/>
      <c r="B4" s="311"/>
      <c r="C4" s="210">
        <v>9</v>
      </c>
      <c r="D4" s="211">
        <v>8</v>
      </c>
      <c r="E4" s="211">
        <v>7</v>
      </c>
      <c r="F4" s="211">
        <v>6</v>
      </c>
      <c r="G4" s="211">
        <v>5</v>
      </c>
      <c r="H4" s="211">
        <v>4</v>
      </c>
      <c r="I4" s="211">
        <v>3</v>
      </c>
      <c r="J4" s="211">
        <v>2</v>
      </c>
      <c r="K4" s="211">
        <v>1</v>
      </c>
      <c r="L4" s="220">
        <v>0</v>
      </c>
      <c r="M4" s="216" t="s">
        <v>199</v>
      </c>
      <c r="N4" s="217" t="s">
        <v>194</v>
      </c>
      <c r="O4" s="218" t="s">
        <v>199</v>
      </c>
      <c r="P4" s="219" t="s">
        <v>194</v>
      </c>
    </row>
    <row r="5" spans="1:16" s="174" customFormat="1" ht="29.25" customHeight="1">
      <c r="A5" s="192" t="s">
        <v>21</v>
      </c>
      <c r="B5" s="209">
        <f>SUM(_xlfn.ANCHORARRAY(C5))</f>
        <v>21</v>
      </c>
      <c r="C5" s="212" cm="1">
        <f t="array" ref="C5:L5">TRANSPOSE([1]Master!$BV$47:$BV$56)</f>
        <v>2</v>
      </c>
      <c r="D5" s="213">
        <v>1</v>
      </c>
      <c r="E5" s="214">
        <v>4</v>
      </c>
      <c r="F5" s="214">
        <v>2</v>
      </c>
      <c r="G5" s="214">
        <v>3</v>
      </c>
      <c r="H5" s="214">
        <v>4</v>
      </c>
      <c r="I5" s="214">
        <v>1</v>
      </c>
      <c r="J5" s="213">
        <v>0</v>
      </c>
      <c r="K5" s="213">
        <v>4</v>
      </c>
      <c r="L5" s="215">
        <v>0</v>
      </c>
      <c r="M5" s="221">
        <f>SUM(C5:G5)</f>
        <v>12</v>
      </c>
      <c r="N5" s="222">
        <f t="shared" ref="N5:N12" si="0">M5/B5</f>
        <v>0.5714285714285714</v>
      </c>
      <c r="O5" s="223">
        <f>SUM(C5:I5)</f>
        <v>17</v>
      </c>
      <c r="P5" s="224">
        <f t="shared" ref="P5" si="1">O5/B5</f>
        <v>0.80952380952380953</v>
      </c>
    </row>
    <row r="6" spans="1:16" s="174" customFormat="1" ht="29.25" customHeight="1">
      <c r="A6" s="192" t="s">
        <v>23</v>
      </c>
      <c r="B6" s="209">
        <f t="shared" ref="B6:B11" si="2">SUM(_xlfn.ANCHORARRAY(C6))</f>
        <v>15</v>
      </c>
      <c r="C6" s="173" cm="1">
        <f t="array" ref="C6:L6">TRANSPOSE([2]Master!$BM$47:$BM$56)</f>
        <v>0</v>
      </c>
      <c r="D6" s="175">
        <v>0</v>
      </c>
      <c r="E6" s="157">
        <v>0</v>
      </c>
      <c r="F6" s="176">
        <v>0</v>
      </c>
      <c r="G6" s="176">
        <v>0</v>
      </c>
      <c r="H6" s="176">
        <v>0</v>
      </c>
      <c r="I6" s="176">
        <v>0</v>
      </c>
      <c r="J6" s="176">
        <v>0</v>
      </c>
      <c r="K6" s="157">
        <v>0</v>
      </c>
      <c r="L6" s="157">
        <v>15</v>
      </c>
      <c r="M6" s="177">
        <f>SUM(D6:H6)</f>
        <v>0</v>
      </c>
      <c r="N6" s="222">
        <f t="shared" si="0"/>
        <v>0</v>
      </c>
      <c r="O6" s="178">
        <f>SUM(D6:J6)</f>
        <v>0</v>
      </c>
      <c r="P6" s="179">
        <f t="shared" ref="P6:P11" si="3">O6/B6</f>
        <v>0</v>
      </c>
    </row>
    <row r="7" spans="1:16" s="174" customFormat="1" ht="29.25" customHeight="1">
      <c r="A7" s="192" t="s">
        <v>25</v>
      </c>
      <c r="B7" s="209">
        <f t="shared" si="2"/>
        <v>24</v>
      </c>
      <c r="C7" s="180" cm="1">
        <f t="array" ref="C7:L7">TRANSPOSE([3]Master!$BI$46:$BI$55)</f>
        <v>0</v>
      </c>
      <c r="D7" s="176">
        <v>0</v>
      </c>
      <c r="E7" s="176">
        <v>0</v>
      </c>
      <c r="F7" s="176">
        <v>4</v>
      </c>
      <c r="G7" s="176">
        <v>3</v>
      </c>
      <c r="H7" s="176">
        <v>2</v>
      </c>
      <c r="I7" s="176">
        <v>10</v>
      </c>
      <c r="J7" s="176">
        <v>4</v>
      </c>
      <c r="K7" s="176">
        <v>1</v>
      </c>
      <c r="L7" s="181">
        <v>0</v>
      </c>
      <c r="M7" s="177">
        <f t="shared" ref="M7:M10" si="4">SUM(C7:G7)</f>
        <v>7</v>
      </c>
      <c r="N7" s="222">
        <f t="shared" si="0"/>
        <v>0.29166666666666669</v>
      </c>
      <c r="O7" s="178">
        <f t="shared" ref="O7:O11" si="5">SUM(C7:I7)</f>
        <v>19</v>
      </c>
      <c r="P7" s="179">
        <f t="shared" si="3"/>
        <v>0.79166666666666663</v>
      </c>
    </row>
    <row r="8" spans="1:16" s="174" customFormat="1" ht="29.25" customHeight="1">
      <c r="A8" s="192" t="s">
        <v>26</v>
      </c>
      <c r="B8" s="209">
        <f>SUM(_xlfn.ANCHORARRAY(C8))</f>
        <v>24</v>
      </c>
      <c r="C8" s="180" cm="1">
        <f t="array" ref="C8:L8">TRANSPOSE([4]Master!$BR$47:$BR$56)</f>
        <v>0</v>
      </c>
      <c r="D8" s="176">
        <v>0</v>
      </c>
      <c r="E8" s="176">
        <v>0</v>
      </c>
      <c r="F8" s="176">
        <v>1</v>
      </c>
      <c r="G8" s="176">
        <v>1</v>
      </c>
      <c r="H8" s="176">
        <v>7</v>
      </c>
      <c r="I8" s="176">
        <v>12</v>
      </c>
      <c r="J8" s="176">
        <v>3</v>
      </c>
      <c r="K8" s="176">
        <v>0</v>
      </c>
      <c r="L8" s="181">
        <v>0</v>
      </c>
      <c r="M8" s="177">
        <f t="shared" si="4"/>
        <v>2</v>
      </c>
      <c r="N8" s="222">
        <f t="shared" si="0"/>
        <v>8.3333333333333329E-2</v>
      </c>
      <c r="O8" s="178">
        <f t="shared" si="5"/>
        <v>21</v>
      </c>
      <c r="P8" s="179">
        <f t="shared" si="3"/>
        <v>0.875</v>
      </c>
    </row>
    <row r="9" spans="1:16" s="174" customFormat="1" ht="29.25" customHeight="1">
      <c r="A9" s="192" t="s">
        <v>27</v>
      </c>
      <c r="B9" s="209">
        <f>SUM(_xlfn.ANCHORARRAY(C9))</f>
        <v>26</v>
      </c>
      <c r="C9" s="180" cm="1">
        <f t="array" ref="C9:L9">TRANSPOSE([12]Master!$BI$47:$BI$56)</f>
        <v>0</v>
      </c>
      <c r="D9" s="176">
        <v>0</v>
      </c>
      <c r="E9" s="176">
        <v>0</v>
      </c>
      <c r="F9" s="176">
        <v>0</v>
      </c>
      <c r="G9" s="176">
        <v>0</v>
      </c>
      <c r="H9" s="176">
        <v>2</v>
      </c>
      <c r="I9" s="176">
        <v>3</v>
      </c>
      <c r="J9" s="176">
        <v>9</v>
      </c>
      <c r="K9" s="176">
        <v>6</v>
      </c>
      <c r="L9" s="181">
        <v>6</v>
      </c>
      <c r="M9" s="177">
        <f t="shared" si="4"/>
        <v>0</v>
      </c>
      <c r="N9" s="222">
        <f t="shared" si="0"/>
        <v>0</v>
      </c>
      <c r="O9" s="178">
        <f t="shared" si="5"/>
        <v>5</v>
      </c>
      <c r="P9" s="179">
        <f t="shared" si="3"/>
        <v>0.19230769230769232</v>
      </c>
    </row>
    <row r="10" spans="1:16" s="174" customFormat="1" ht="29.25" customHeight="1">
      <c r="A10" s="192" t="s">
        <v>29</v>
      </c>
      <c r="B10" s="209">
        <f>SUM(_xlfn.ANCHORARRAY(C10))</f>
        <v>21</v>
      </c>
      <c r="C10" s="180" cm="1">
        <f t="array" ref="C10:L10">TRANSPOSE([13]Master!$BR$47:$BR$56)</f>
        <v>0</v>
      </c>
      <c r="D10" s="176">
        <v>0</v>
      </c>
      <c r="E10" s="176">
        <v>0</v>
      </c>
      <c r="F10" s="176">
        <v>0</v>
      </c>
      <c r="G10" s="176">
        <v>0</v>
      </c>
      <c r="H10" s="176">
        <v>1</v>
      </c>
      <c r="I10" s="176">
        <v>5</v>
      </c>
      <c r="J10" s="176">
        <v>9</v>
      </c>
      <c r="K10" s="176">
        <v>5</v>
      </c>
      <c r="L10" s="181">
        <v>1</v>
      </c>
      <c r="M10" s="177">
        <f t="shared" si="4"/>
        <v>0</v>
      </c>
      <c r="N10" s="222">
        <f t="shared" si="0"/>
        <v>0</v>
      </c>
      <c r="O10" s="178">
        <f t="shared" si="5"/>
        <v>6</v>
      </c>
      <c r="P10" s="179">
        <f t="shared" ref="P10" si="6">O10/B10</f>
        <v>0.2857142857142857</v>
      </c>
    </row>
    <row r="11" spans="1:16" s="174" customFormat="1" ht="29.25" customHeight="1">
      <c r="A11" s="192" t="s">
        <v>30</v>
      </c>
      <c r="B11" s="209">
        <f>SUM(_xlfn.ANCHORARRAY(C11))</f>
        <v>20</v>
      </c>
      <c r="C11" s="180" cm="1">
        <f t="array" ref="C11:L11">TRANSPOSE([14]Master!$BA$47:$BA$56)</f>
        <v>0</v>
      </c>
      <c r="D11" s="176">
        <v>0</v>
      </c>
      <c r="E11" s="176">
        <v>0</v>
      </c>
      <c r="F11" s="176">
        <v>0</v>
      </c>
      <c r="G11" s="176">
        <v>1</v>
      </c>
      <c r="H11" s="176">
        <v>2</v>
      </c>
      <c r="I11" s="176">
        <v>6</v>
      </c>
      <c r="J11" s="176">
        <v>5</v>
      </c>
      <c r="K11" s="176">
        <v>3</v>
      </c>
      <c r="L11" s="181">
        <v>3</v>
      </c>
      <c r="M11" s="177">
        <f>SUM(C11:G11)</f>
        <v>1</v>
      </c>
      <c r="N11" s="222">
        <f t="shared" si="0"/>
        <v>0.05</v>
      </c>
      <c r="O11" s="178">
        <f t="shared" si="5"/>
        <v>9</v>
      </c>
      <c r="P11" s="179">
        <f t="shared" si="3"/>
        <v>0.45</v>
      </c>
    </row>
    <row r="12" spans="1:16" s="174" customFormat="1" ht="29.25" customHeight="1">
      <c r="A12" s="193" t="s">
        <v>203</v>
      </c>
      <c r="B12" s="182">
        <f>SUM(B5:B11)</f>
        <v>151</v>
      </c>
      <c r="C12" s="183">
        <f t="shared" ref="C12:M12" si="7">SUM(C5:C11)</f>
        <v>2</v>
      </c>
      <c r="D12" s="184">
        <f t="shared" si="7"/>
        <v>1</v>
      </c>
      <c r="E12" s="184">
        <f t="shared" si="7"/>
        <v>4</v>
      </c>
      <c r="F12" s="184">
        <f t="shared" si="7"/>
        <v>7</v>
      </c>
      <c r="G12" s="184">
        <f t="shared" si="7"/>
        <v>8</v>
      </c>
      <c r="H12" s="184">
        <f t="shared" si="7"/>
        <v>18</v>
      </c>
      <c r="I12" s="184">
        <f t="shared" si="7"/>
        <v>37</v>
      </c>
      <c r="J12" s="184">
        <f t="shared" si="7"/>
        <v>30</v>
      </c>
      <c r="K12" s="184">
        <f t="shared" si="7"/>
        <v>19</v>
      </c>
      <c r="L12" s="185">
        <f t="shared" si="7"/>
        <v>25</v>
      </c>
      <c r="M12" s="186">
        <f t="shared" si="7"/>
        <v>22</v>
      </c>
      <c r="N12" s="222">
        <f t="shared" si="0"/>
        <v>0.14569536423841059</v>
      </c>
      <c r="O12" s="188">
        <f>SUM(O5:O11)</f>
        <v>77</v>
      </c>
      <c r="P12" s="189">
        <f>O12/B12</f>
        <v>0.50993377483443714</v>
      </c>
    </row>
    <row r="13" spans="1:16" ht="15.75"/>
    <row r="14" spans="1:16" ht="32.25" customHeight="1">
      <c r="A14" s="194" t="s">
        <v>204</v>
      </c>
      <c r="B14" s="190">
        <f>$N$12</f>
        <v>0.14569536423841059</v>
      </c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73"/>
      <c r="N14" s="173"/>
      <c r="O14" s="173"/>
      <c r="P14" s="173"/>
    </row>
    <row r="15" spans="1:16" ht="32.25" customHeight="1" thickBot="1">
      <c r="A15" s="195" t="s">
        <v>205</v>
      </c>
      <c r="B15" s="187">
        <f>$P$12</f>
        <v>0.50993377483443714</v>
      </c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73"/>
      <c r="N15" s="173"/>
      <c r="O15" s="173"/>
      <c r="P15" s="173"/>
    </row>
  </sheetData>
  <mergeCells count="5">
    <mergeCell ref="A1:P1"/>
    <mergeCell ref="B3:B4"/>
    <mergeCell ref="M3:N3"/>
    <mergeCell ref="O3:P3"/>
    <mergeCell ref="C3:L3"/>
  </mergeCells>
  <pageMargins left="0.7" right="0.33333333333333298" top="0.59375" bottom="0.75" header="0.3" footer="0.3"/>
  <pageSetup paperSize="9" scale="10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4"/>
  <sheetViews>
    <sheetView view="pageLayout" zoomScaleNormal="100" workbookViewId="0">
      <selection activeCell="B11" sqref="B11:C11"/>
    </sheetView>
  </sheetViews>
  <sheetFormatPr defaultColWidth="11.42578125" defaultRowHeight="12.95"/>
  <cols>
    <col min="1" max="1" width="10.7109375" style="153" customWidth="1"/>
    <col min="2" max="2" width="6.85546875" style="153" customWidth="1"/>
    <col min="3" max="3" width="10" style="153" customWidth="1"/>
    <col min="4" max="4" width="7.85546875" style="153" customWidth="1"/>
    <col min="5" max="19" width="6.85546875" style="153" customWidth="1"/>
    <col min="20" max="16384" width="11.42578125" style="153"/>
  </cols>
  <sheetData>
    <row r="1" spans="1:20" ht="30">
      <c r="A1" s="309" t="s">
        <v>206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196"/>
    </row>
    <row r="3" spans="1:20" s="199" customFormat="1" ht="15" hidden="1">
      <c r="A3" s="317" t="s">
        <v>189</v>
      </c>
      <c r="B3" s="318"/>
      <c r="C3" s="318"/>
      <c r="D3" s="319"/>
      <c r="E3" s="197">
        <v>200</v>
      </c>
      <c r="F3" s="198"/>
      <c r="G3" s="198"/>
      <c r="H3" s="198"/>
      <c r="I3" s="198"/>
      <c r="J3" s="198"/>
      <c r="K3" s="198"/>
      <c r="L3" s="198"/>
    </row>
    <row r="4" spans="1:20" s="199" customFormat="1" ht="15">
      <c r="A4" s="317" t="s">
        <v>190</v>
      </c>
      <c r="B4" s="318"/>
      <c r="C4" s="318"/>
      <c r="D4" s="319"/>
      <c r="E4" s="197">
        <f>$B$18</f>
        <v>151</v>
      </c>
      <c r="F4" s="198"/>
      <c r="G4" s="198"/>
      <c r="H4" s="198"/>
      <c r="I4" s="198"/>
      <c r="J4" s="198"/>
      <c r="K4" s="198"/>
      <c r="L4" s="198"/>
    </row>
    <row r="5" spans="1:20" s="199" customFormat="1" ht="15">
      <c r="A5" s="317" t="s">
        <v>191</v>
      </c>
      <c r="B5" s="318"/>
      <c r="C5" s="318"/>
      <c r="D5" s="319"/>
      <c r="E5" s="197">
        <v>0</v>
      </c>
      <c r="F5" s="198"/>
      <c r="G5" s="198"/>
      <c r="H5" s="198"/>
      <c r="I5" s="198"/>
      <c r="J5" s="198"/>
      <c r="K5" s="198"/>
      <c r="L5" s="198"/>
    </row>
    <row r="6" spans="1:20" s="199" customFormat="1" ht="15"/>
    <row r="7" spans="1:20" s="199" customFormat="1" ht="63" customHeight="1">
      <c r="A7" s="206" t="s">
        <v>192</v>
      </c>
      <c r="B7" s="320" t="s">
        <v>193</v>
      </c>
      <c r="C7" s="321"/>
      <c r="D7" s="207" t="s">
        <v>194</v>
      </c>
      <c r="E7" s="172"/>
      <c r="F7" s="172"/>
      <c r="G7" s="172"/>
      <c r="H7" s="172"/>
      <c r="I7" s="172"/>
      <c r="J7" s="172"/>
      <c r="K7" s="172"/>
      <c r="L7" s="198"/>
    </row>
    <row r="8" spans="1:20" s="199" customFormat="1" ht="15">
      <c r="A8" s="197">
        <v>9</v>
      </c>
      <c r="B8" s="322">
        <f>'3''O'' and 5''O'' &amp; above'!$C$12</f>
        <v>2</v>
      </c>
      <c r="C8" s="323"/>
      <c r="D8" s="200">
        <f>B8/B18</f>
        <v>1.3245033112582781E-2</v>
      </c>
      <c r="E8" s="198"/>
      <c r="F8" s="198"/>
      <c r="G8" s="198"/>
      <c r="H8" s="198"/>
      <c r="I8" s="198"/>
      <c r="J8" s="198"/>
      <c r="K8" s="198"/>
      <c r="L8" s="198"/>
    </row>
    <row r="9" spans="1:20" s="199" customFormat="1" ht="15">
      <c r="A9" s="197">
        <v>8</v>
      </c>
      <c r="B9" s="322">
        <f>'3''O'' and 5''O'' &amp; above'!$D$12</f>
        <v>1</v>
      </c>
      <c r="C9" s="323"/>
      <c r="D9" s="200">
        <f>B9/B18</f>
        <v>6.6225165562913907E-3</v>
      </c>
      <c r="E9" s="198"/>
      <c r="F9" s="198"/>
      <c r="G9" s="198"/>
      <c r="H9" s="198"/>
      <c r="I9" s="198"/>
      <c r="J9" s="198"/>
      <c r="K9" s="198"/>
      <c r="L9" s="198"/>
    </row>
    <row r="10" spans="1:20" s="199" customFormat="1" ht="15">
      <c r="A10" s="197">
        <v>7</v>
      </c>
      <c r="B10" s="322">
        <f>'3''O'' and 5''O'' &amp; above'!$E$12</f>
        <v>4</v>
      </c>
      <c r="C10" s="323"/>
      <c r="D10" s="200">
        <f>B10/B18</f>
        <v>2.6490066225165563E-2</v>
      </c>
      <c r="E10" s="198"/>
      <c r="F10" s="198"/>
      <c r="G10" s="198"/>
      <c r="H10" s="198"/>
      <c r="I10" s="198"/>
      <c r="J10" s="198"/>
      <c r="K10" s="198"/>
      <c r="L10" s="198"/>
    </row>
    <row r="11" spans="1:20" s="199" customFormat="1" ht="15">
      <c r="A11" s="197">
        <v>6</v>
      </c>
      <c r="B11" s="322">
        <f>'3''O'' and 5''O'' &amp; above'!$F$12</f>
        <v>7</v>
      </c>
      <c r="C11" s="323"/>
      <c r="D11" s="200">
        <f>B11/B18</f>
        <v>4.6357615894039736E-2</v>
      </c>
      <c r="E11" s="198"/>
      <c r="F11" s="198"/>
      <c r="G11" s="198"/>
      <c r="H11" s="198"/>
      <c r="I11" s="198"/>
      <c r="J11" s="198"/>
      <c r="K11" s="198"/>
      <c r="L11" s="198"/>
    </row>
    <row r="12" spans="1:20" s="199" customFormat="1" ht="15">
      <c r="A12" s="197">
        <v>5</v>
      </c>
      <c r="B12" s="322">
        <f>'3''O'' and 5''O'' &amp; above'!$G$12</f>
        <v>8</v>
      </c>
      <c r="C12" s="323"/>
      <c r="D12" s="200">
        <f>B12/B18</f>
        <v>5.2980132450331126E-2</v>
      </c>
      <c r="E12" s="198"/>
      <c r="F12" s="198"/>
      <c r="G12" s="198"/>
      <c r="H12" s="198"/>
      <c r="I12" s="198"/>
      <c r="J12" s="198"/>
      <c r="K12" s="198"/>
      <c r="L12" s="198"/>
    </row>
    <row r="13" spans="1:20" s="199" customFormat="1" ht="15">
      <c r="A13" s="197">
        <v>4</v>
      </c>
      <c r="B13" s="322">
        <f>'3''O'' and 5''O'' &amp; above'!$H$12</f>
        <v>18</v>
      </c>
      <c r="C13" s="323"/>
      <c r="D13" s="200">
        <f>B13/B18</f>
        <v>0.11920529801324503</v>
      </c>
      <c r="E13" s="198"/>
      <c r="F13" s="198"/>
      <c r="G13" s="198"/>
      <c r="H13" s="198"/>
      <c r="I13" s="198"/>
      <c r="J13" s="198"/>
      <c r="K13" s="198"/>
      <c r="L13" s="198"/>
    </row>
    <row r="14" spans="1:20" s="199" customFormat="1" ht="15">
      <c r="A14" s="197">
        <v>3</v>
      </c>
      <c r="B14" s="322">
        <f>'3''O'' and 5''O'' &amp; above'!$I$12</f>
        <v>37</v>
      </c>
      <c r="C14" s="323"/>
      <c r="D14" s="200">
        <f>B14/B18</f>
        <v>0.24503311258278146</v>
      </c>
    </row>
    <row r="15" spans="1:20" s="199" customFormat="1" ht="15">
      <c r="A15" s="197">
        <v>2</v>
      </c>
      <c r="B15" s="322">
        <f>'3''O'' and 5''O'' &amp; above'!$J$12</f>
        <v>30</v>
      </c>
      <c r="C15" s="323"/>
      <c r="D15" s="200">
        <f>B15/B18</f>
        <v>0.19867549668874171</v>
      </c>
    </row>
    <row r="16" spans="1:20" s="199" customFormat="1" ht="15">
      <c r="A16" s="197">
        <v>1</v>
      </c>
      <c r="B16" s="322">
        <f>'3''O'' and 5''O'' &amp; above'!$K$12</f>
        <v>19</v>
      </c>
      <c r="C16" s="323"/>
      <c r="D16" s="200">
        <f>B16/B18</f>
        <v>0.12582781456953643</v>
      </c>
    </row>
    <row r="17" spans="1:4" s="199" customFormat="1" ht="15">
      <c r="A17" s="197">
        <v>0</v>
      </c>
      <c r="B17" s="322">
        <f>'3''O'' and 5''O'' &amp; above'!$L$12</f>
        <v>25</v>
      </c>
      <c r="C17" s="323"/>
      <c r="D17" s="200">
        <f>B17/B18</f>
        <v>0.16556291390728478</v>
      </c>
    </row>
    <row r="18" spans="1:4" s="199" customFormat="1" ht="15">
      <c r="A18" s="166" t="s">
        <v>7</v>
      </c>
      <c r="B18" s="326">
        <f>SUM(B8:C17)</f>
        <v>151</v>
      </c>
      <c r="C18" s="326"/>
    </row>
    <row r="20" spans="1:4" ht="18">
      <c r="B20" s="201"/>
    </row>
    <row r="21" spans="1:4" ht="24.75" customHeight="1">
      <c r="C21" s="202" t="s">
        <v>195</v>
      </c>
      <c r="D21" s="203" t="s">
        <v>194</v>
      </c>
    </row>
    <row r="22" spans="1:4" ht="21.6" customHeight="1">
      <c r="A22" s="324" t="s">
        <v>207</v>
      </c>
      <c r="B22" s="325"/>
      <c r="C22" s="204">
        <f>SUM(B8:C14)</f>
        <v>77</v>
      </c>
      <c r="D22" s="205">
        <f>C22/B18</f>
        <v>0.50993377483443714</v>
      </c>
    </row>
    <row r="23" spans="1:4" ht="21.6" customHeight="1">
      <c r="A23" s="324" t="s">
        <v>196</v>
      </c>
      <c r="B23" s="325"/>
      <c r="C23" s="204">
        <f>SUM(B8:C13)</f>
        <v>40</v>
      </c>
      <c r="D23" s="205">
        <f>C23/B18</f>
        <v>0.26490066225165565</v>
      </c>
    </row>
    <row r="24" spans="1:4" ht="18">
      <c r="A24" s="324" t="s">
        <v>197</v>
      </c>
      <c r="B24" s="325"/>
      <c r="C24" s="204">
        <f>SUM(B8:C12)</f>
        <v>22</v>
      </c>
      <c r="D24" s="205">
        <f>C24/B18</f>
        <v>0.14569536423841059</v>
      </c>
    </row>
  </sheetData>
  <mergeCells count="19">
    <mergeCell ref="B13:C13"/>
    <mergeCell ref="A23:B23"/>
    <mergeCell ref="A24:B24"/>
    <mergeCell ref="B14:C14"/>
    <mergeCell ref="B15:C15"/>
    <mergeCell ref="B16:C16"/>
    <mergeCell ref="B17:C17"/>
    <mergeCell ref="B18:C18"/>
    <mergeCell ref="A22:B22"/>
    <mergeCell ref="B8:C8"/>
    <mergeCell ref="B9:C9"/>
    <mergeCell ref="B10:C10"/>
    <mergeCell ref="B11:C11"/>
    <mergeCell ref="B12:C12"/>
    <mergeCell ref="A3:D3"/>
    <mergeCell ref="A4:D4"/>
    <mergeCell ref="A5:D5"/>
    <mergeCell ref="A1:S1"/>
    <mergeCell ref="B7:C7"/>
  </mergeCells>
  <pageMargins left="0.53125" right="6.9444444444444448E-2" top="0.75" bottom="0.75" header="0.3" footer="1.3888888888888888E-2"/>
  <pageSetup paperSize="9" orientation="landscape" horizontalDpi="4294967292" verticalDpi="4294967292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654dc4-867b-4591-8088-9c5fa2ce1fc8">
      <Terms xmlns="http://schemas.microsoft.com/office/infopath/2007/PartnerControls"/>
    </lcf76f155ced4ddcb4097134ff3c332f>
    <TaxCatchAll xmlns="0737c322-3a19-4541-9cff-efbbbad6ee0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A2EE18CB3E64ABAFABBB6986B9A32" ma:contentTypeVersion="14" ma:contentTypeDescription="Create a new document." ma:contentTypeScope="" ma:versionID="77c17746d369f830365a0228d73cb1b5">
  <xsd:schema xmlns:xsd="http://www.w3.org/2001/XMLSchema" xmlns:xs="http://www.w3.org/2001/XMLSchema" xmlns:p="http://schemas.microsoft.com/office/2006/metadata/properties" xmlns:ns2="22654dc4-867b-4591-8088-9c5fa2ce1fc8" xmlns:ns3="0737c322-3a19-4541-9cff-efbbbad6ee01" targetNamespace="http://schemas.microsoft.com/office/2006/metadata/properties" ma:root="true" ma:fieldsID="3736ab6d7162001d2a86e1ec8790087a" ns2:_="" ns3:_="">
    <xsd:import namespace="22654dc4-867b-4591-8088-9c5fa2ce1fc8"/>
    <xsd:import namespace="0737c322-3a19-4541-9cff-efbbbad6ee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54dc4-867b-4591-8088-9c5fa2ce1f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106d83-448a-4aa3-89fb-861fa519b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7c322-3a19-4541-9cff-efbbbad6ee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a653ab-a2e0-46a8-b5e6-02da2c4d25bd}" ma:internalName="TaxCatchAll" ma:showField="CatchAllData" ma:web="0737c322-3a19-4541-9cff-efbbbad6ee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8E345F-A79F-4CF7-A565-9F3009ABDF78}"/>
</file>

<file path=customXml/itemProps2.xml><?xml version="1.0" encoding="utf-8"?>
<ds:datastoreItem xmlns:ds="http://schemas.openxmlformats.org/officeDocument/2006/customXml" ds:itemID="{DE8AA45C-4AD0-4231-AD47-00F697B2CAC4}"/>
</file>

<file path=customXml/itemProps3.xml><?xml version="1.0" encoding="utf-8"?>
<ds:datastoreItem xmlns:ds="http://schemas.openxmlformats.org/officeDocument/2006/customXml" ds:itemID="{7A591F30-DEBE-460B-8CF9-B454C6CEC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COMPAQ ITD</dc:creator>
  <cp:keywords/>
  <dc:description/>
  <cp:lastModifiedBy>exam section SMPAPHM 2025</cp:lastModifiedBy>
  <cp:revision/>
  <dcterms:created xsi:type="dcterms:W3CDTF">2005-03-29T23:57:46Z</dcterms:created>
  <dcterms:modified xsi:type="dcterms:W3CDTF">2025-11-30T11:50:26Z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0x0101004FEA2EE18CB3E64ABAFABBB6986B9A32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{"FileActivityType":"9","FileActivityTimeStamp":"2025-07-29T12:05:41.813Z","FileActivityUsersOnPage":[{"DisplayName":"exam section SMPAPHM 2025","Id":"exam.section@smpapmasna.edu.moe.bn"}],"FileActivityNavigationId":null}</vt:lpwstr>
  </property>
  <property fmtid="{D5CDD505-2E9C-101B-9397-08002B2CF9AE}" pid="9" name="TriggerFlowInfo">
    <vt:lpwstr/>
  </property>
</Properties>
</file>