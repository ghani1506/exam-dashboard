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/Users/ghani/Desktop/"/>
    </mc:Choice>
  </mc:AlternateContent>
  <xr:revisionPtr revIDLastSave="1532" documentId="8_{B9295F1B-E59B-904B-A4FA-C93FC6849350}" xr6:coauthVersionLast="47" xr6:coauthVersionMax="47" xr10:uidLastSave="{BA057F14-58B5-48E0-8702-4D325AFB2D4B}"/>
  <bookViews>
    <workbookView xWindow="0" yWindow="660" windowWidth="30240" windowHeight="18980" firstSheet="2" activeTab="3" xr2:uid="{00000000-000D-0000-FFFF-FFFF00000000}"/>
  </bookViews>
  <sheets>
    <sheet name="YEAR 8" sheetId="19" r:id="rId1"/>
    <sheet name="CHART" sheetId="20" r:id="rId2"/>
    <sheet name="3'O' and 5'O' &amp; above" sheetId="22" r:id="rId3"/>
    <sheet name="No.of Credits Attained" sheetId="23" r:id="rId4"/>
    <sheet name="class avg" sheetId="18" state="hidden" r:id="rId5"/>
    <sheet name="By Class" sheetId="21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Print_Area" localSheetId="5">'By Class'!$A$85:$P$110</definedName>
    <definedName name="_xlnm.Print_Area" localSheetId="4">'class avg'!$A$1:$N$35</definedName>
    <definedName name="_xlnm.Print_Area" localSheetId="0">'YEAR 8'!$A$1:$P$105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22" l="1"/>
  <c r="K10" i="22"/>
  <c r="K9" i="22"/>
  <c r="K8" i="22"/>
  <c r="K7" i="22"/>
  <c r="K6" i="22"/>
  <c r="J11" i="22"/>
  <c r="J10" i="22"/>
  <c r="J9" i="22"/>
  <c r="J8" i="22"/>
  <c r="J7" i="22"/>
  <c r="J6" i="22"/>
  <c r="I11" i="22"/>
  <c r="I10" i="22"/>
  <c r="I9" i="22"/>
  <c r="I8" i="22"/>
  <c r="I7" i="22"/>
  <c r="I6" i="22"/>
  <c r="H10" i="22"/>
  <c r="H9" i="22"/>
  <c r="H8" i="22"/>
  <c r="H7" i="22"/>
  <c r="H6" i="22"/>
  <c r="H11" i="22"/>
  <c r="G11" i="22"/>
  <c r="G10" i="22"/>
  <c r="G9" i="22"/>
  <c r="G8" i="22"/>
  <c r="G7" i="22"/>
  <c r="G6" i="22"/>
  <c r="F11" i="22"/>
  <c r="F10" i="22"/>
  <c r="F9" i="22"/>
  <c r="F8" i="22"/>
  <c r="F7" i="22"/>
  <c r="F6" i="22"/>
  <c r="E11" i="22"/>
  <c r="E10" i="22"/>
  <c r="E9" i="22"/>
  <c r="E8" i="22"/>
  <c r="E7" i="22"/>
  <c r="E6" i="22"/>
  <c r="D11" i="22"/>
  <c r="D10" i="22"/>
  <c r="D9" i="22"/>
  <c r="D8" i="22"/>
  <c r="D7" i="22"/>
  <c r="D6" i="22"/>
  <c r="C11" i="22"/>
  <c r="C10" i="22"/>
  <c r="C9" i="22"/>
  <c r="C8" i="22"/>
  <c r="C7" i="22"/>
  <c r="C6" i="22"/>
  <c r="K5" i="22"/>
  <c r="J5" i="22"/>
  <c r="I5" i="22"/>
  <c r="H5" i="22"/>
  <c r="G5" i="22"/>
  <c r="F5" i="22"/>
  <c r="E5" i="22"/>
  <c r="D5" i="22"/>
  <c r="C5" i="22"/>
  <c r="L88" i="19"/>
  <c r="L87" i="19"/>
  <c r="L86" i="19"/>
  <c r="L85" i="19"/>
  <c r="L84" i="19"/>
  <c r="L83" i="19"/>
  <c r="K88" i="19"/>
  <c r="K87" i="19"/>
  <c r="K86" i="19"/>
  <c r="K85" i="19"/>
  <c r="K84" i="19"/>
  <c r="K83" i="19"/>
  <c r="J88" i="19"/>
  <c r="J87" i="19"/>
  <c r="J86" i="19"/>
  <c r="J85" i="19"/>
  <c r="J84" i="19"/>
  <c r="J83" i="19"/>
  <c r="I88" i="19"/>
  <c r="I87" i="19"/>
  <c r="I86" i="19"/>
  <c r="I85" i="19"/>
  <c r="I84" i="19"/>
  <c r="I83" i="19"/>
  <c r="H88" i="19"/>
  <c r="H87" i="19"/>
  <c r="H86" i="19"/>
  <c r="H85" i="19"/>
  <c r="H84" i="19"/>
  <c r="H83" i="19"/>
  <c r="G88" i="19"/>
  <c r="G87" i="19"/>
  <c r="G86" i="19"/>
  <c r="G85" i="19"/>
  <c r="G84" i="19"/>
  <c r="G83" i="19"/>
  <c r="F88" i="19"/>
  <c r="F87" i="19"/>
  <c r="F86" i="19"/>
  <c r="F85" i="19"/>
  <c r="F84" i="19"/>
  <c r="F83" i="19"/>
  <c r="E88" i="19"/>
  <c r="E87" i="19"/>
  <c r="E86" i="19"/>
  <c r="E85" i="19"/>
  <c r="E84" i="19"/>
  <c r="E83" i="19"/>
  <c r="D88" i="19"/>
  <c r="D87" i="19"/>
  <c r="D86" i="19"/>
  <c r="D85" i="19"/>
  <c r="D84" i="19"/>
  <c r="D83" i="19"/>
  <c r="L82" i="19"/>
  <c r="K82" i="19"/>
  <c r="J82" i="19"/>
  <c r="I82" i="19"/>
  <c r="H82" i="19"/>
  <c r="G82" i="19"/>
  <c r="F82" i="19"/>
  <c r="E82" i="19"/>
  <c r="D82" i="19"/>
  <c r="L74" i="19"/>
  <c r="L73" i="19"/>
  <c r="L72" i="19"/>
  <c r="L71" i="19"/>
  <c r="K74" i="19"/>
  <c r="K73" i="19"/>
  <c r="K72" i="19"/>
  <c r="K71" i="19"/>
  <c r="J74" i="19"/>
  <c r="J73" i="19"/>
  <c r="J72" i="19"/>
  <c r="J71" i="19"/>
  <c r="I74" i="19"/>
  <c r="I73" i="19"/>
  <c r="I72" i="19"/>
  <c r="I71" i="19"/>
  <c r="H74" i="19"/>
  <c r="H73" i="19"/>
  <c r="H72" i="19"/>
  <c r="H71" i="19"/>
  <c r="G74" i="19"/>
  <c r="G73" i="19"/>
  <c r="G72" i="19"/>
  <c r="G71" i="19"/>
  <c r="F74" i="19"/>
  <c r="F73" i="19"/>
  <c r="F72" i="19"/>
  <c r="F71" i="19"/>
  <c r="E74" i="19"/>
  <c r="E73" i="19"/>
  <c r="E72" i="19"/>
  <c r="E71" i="19"/>
  <c r="D74" i="19"/>
  <c r="D73" i="19"/>
  <c r="D72" i="19"/>
  <c r="D71" i="19"/>
  <c r="L70" i="19"/>
  <c r="K70" i="19"/>
  <c r="J70" i="19"/>
  <c r="I70" i="19"/>
  <c r="H70" i="19"/>
  <c r="G70" i="19"/>
  <c r="F70" i="19"/>
  <c r="E70" i="19"/>
  <c r="D70" i="19"/>
  <c r="O73" i="19"/>
  <c r="M71" i="19"/>
  <c r="M72" i="19"/>
  <c r="M73" i="19"/>
  <c r="C71" i="19"/>
  <c r="C72" i="19"/>
  <c r="C73" i="19"/>
  <c r="L65" i="19"/>
  <c r="L64" i="19"/>
  <c r="L63" i="19"/>
  <c r="L62" i="19"/>
  <c r="L61" i="19"/>
  <c r="K65" i="19"/>
  <c r="K64" i="19"/>
  <c r="K63" i="19"/>
  <c r="K62" i="19"/>
  <c r="K61" i="19"/>
  <c r="J65" i="19"/>
  <c r="J64" i="19"/>
  <c r="J63" i="19"/>
  <c r="J62" i="19"/>
  <c r="J61" i="19"/>
  <c r="I65" i="19"/>
  <c r="I64" i="19"/>
  <c r="I63" i="19"/>
  <c r="I62" i="19"/>
  <c r="I61" i="19"/>
  <c r="H65" i="19"/>
  <c r="H64" i="19"/>
  <c r="H63" i="19"/>
  <c r="H62" i="19"/>
  <c r="H61" i="19"/>
  <c r="G65" i="19"/>
  <c r="G64" i="19"/>
  <c r="G63" i="19"/>
  <c r="G62" i="19"/>
  <c r="G61" i="19"/>
  <c r="F65" i="19"/>
  <c r="F64" i="19"/>
  <c r="F63" i="19"/>
  <c r="F62" i="19"/>
  <c r="F61" i="19"/>
  <c r="E65" i="19"/>
  <c r="E64" i="19"/>
  <c r="E63" i="19"/>
  <c r="E62" i="19"/>
  <c r="E61" i="19"/>
  <c r="D65" i="19"/>
  <c r="D64" i="19"/>
  <c r="D63" i="19"/>
  <c r="D62" i="19"/>
  <c r="D61" i="19"/>
  <c r="L60" i="19"/>
  <c r="K60" i="19"/>
  <c r="J60" i="19"/>
  <c r="I60" i="19"/>
  <c r="H60" i="19"/>
  <c r="G60" i="19"/>
  <c r="F60" i="19"/>
  <c r="E60" i="19"/>
  <c r="D60" i="19"/>
  <c r="L59" i="19"/>
  <c r="K59" i="19"/>
  <c r="J59" i="19"/>
  <c r="I59" i="19"/>
  <c r="H59" i="19"/>
  <c r="G59" i="19"/>
  <c r="F59" i="19"/>
  <c r="E59" i="19"/>
  <c r="D59" i="19"/>
  <c r="L54" i="19"/>
  <c r="K54" i="19"/>
  <c r="J54" i="19"/>
  <c r="I54" i="19"/>
  <c r="H54" i="19"/>
  <c r="G54" i="19"/>
  <c r="F54" i="19"/>
  <c r="E54" i="19"/>
  <c r="D54" i="19"/>
  <c r="L53" i="19"/>
  <c r="K53" i="19"/>
  <c r="J53" i="19"/>
  <c r="I53" i="19"/>
  <c r="H53" i="19"/>
  <c r="G53" i="19"/>
  <c r="F53" i="19"/>
  <c r="E53" i="19"/>
  <c r="D53" i="19"/>
  <c r="L52" i="19"/>
  <c r="K52" i="19"/>
  <c r="J52" i="19"/>
  <c r="I52" i="19"/>
  <c r="H52" i="19"/>
  <c r="G52" i="19"/>
  <c r="F52" i="19"/>
  <c r="E52" i="19"/>
  <c r="D52" i="19"/>
  <c r="L51" i="19"/>
  <c r="K51" i="19"/>
  <c r="J51" i="19"/>
  <c r="I51" i="19"/>
  <c r="H51" i="19"/>
  <c r="G51" i="19"/>
  <c r="F51" i="19"/>
  <c r="E51" i="19"/>
  <c r="D51" i="19"/>
  <c r="L50" i="19"/>
  <c r="K50" i="19"/>
  <c r="J50" i="19"/>
  <c r="I50" i="19"/>
  <c r="H50" i="19"/>
  <c r="G50" i="19"/>
  <c r="F50" i="19"/>
  <c r="E50" i="19"/>
  <c r="D50" i="19"/>
  <c r="L49" i="19"/>
  <c r="K49" i="19"/>
  <c r="J49" i="19"/>
  <c r="I49" i="19"/>
  <c r="H49" i="19"/>
  <c r="G49" i="19"/>
  <c r="F49" i="19"/>
  <c r="E49" i="19"/>
  <c r="D49" i="19"/>
  <c r="L48" i="19"/>
  <c r="K48" i="19"/>
  <c r="J48" i="19"/>
  <c r="I48" i="19"/>
  <c r="H48" i="19"/>
  <c r="G48" i="19"/>
  <c r="F48" i="19"/>
  <c r="E48" i="19"/>
  <c r="D48" i="19"/>
  <c r="L43" i="19"/>
  <c r="K43" i="19"/>
  <c r="J43" i="19"/>
  <c r="I43" i="19"/>
  <c r="H43" i="19"/>
  <c r="G43" i="19"/>
  <c r="F43" i="19"/>
  <c r="E43" i="19"/>
  <c r="D43" i="19"/>
  <c r="L42" i="19"/>
  <c r="K42" i="19"/>
  <c r="J42" i="19"/>
  <c r="I42" i="19"/>
  <c r="H42" i="19"/>
  <c r="G42" i="19"/>
  <c r="F42" i="19"/>
  <c r="E42" i="19"/>
  <c r="D42" i="19"/>
  <c r="L41" i="19"/>
  <c r="K41" i="19"/>
  <c r="J41" i="19"/>
  <c r="I41" i="19"/>
  <c r="H41" i="19"/>
  <c r="G41" i="19"/>
  <c r="F41" i="19"/>
  <c r="E41" i="19"/>
  <c r="D41" i="19"/>
  <c r="L40" i="19"/>
  <c r="K40" i="19"/>
  <c r="J40" i="19"/>
  <c r="I40" i="19"/>
  <c r="H40" i="19"/>
  <c r="G40" i="19"/>
  <c r="F40" i="19"/>
  <c r="E40" i="19"/>
  <c r="D40" i="19"/>
  <c r="L39" i="19"/>
  <c r="K39" i="19"/>
  <c r="J39" i="19"/>
  <c r="I39" i="19"/>
  <c r="H39" i="19"/>
  <c r="G39" i="19"/>
  <c r="F39" i="19"/>
  <c r="E39" i="19"/>
  <c r="D39" i="19"/>
  <c r="L38" i="19"/>
  <c r="K38" i="19"/>
  <c r="J38" i="19"/>
  <c r="I38" i="19"/>
  <c r="H38" i="19"/>
  <c r="G38" i="19"/>
  <c r="F38" i="19"/>
  <c r="E38" i="19"/>
  <c r="D38" i="19"/>
  <c r="L37" i="19"/>
  <c r="K37" i="19"/>
  <c r="J37" i="19"/>
  <c r="I37" i="19"/>
  <c r="H37" i="19"/>
  <c r="G37" i="19"/>
  <c r="F37" i="19"/>
  <c r="E37" i="19"/>
  <c r="D37" i="19"/>
  <c r="L32" i="19"/>
  <c r="K32" i="19"/>
  <c r="J32" i="19"/>
  <c r="I32" i="19"/>
  <c r="H32" i="19"/>
  <c r="G32" i="19"/>
  <c r="F32" i="19"/>
  <c r="E32" i="19"/>
  <c r="D32" i="19"/>
  <c r="L31" i="19"/>
  <c r="K31" i="19"/>
  <c r="J31" i="19"/>
  <c r="I31" i="19"/>
  <c r="H31" i="19"/>
  <c r="G31" i="19"/>
  <c r="F31" i="19"/>
  <c r="E31" i="19"/>
  <c r="D31" i="19"/>
  <c r="L30" i="19"/>
  <c r="K30" i="19"/>
  <c r="J30" i="19"/>
  <c r="I30" i="19"/>
  <c r="H30" i="19"/>
  <c r="G30" i="19"/>
  <c r="F30" i="19"/>
  <c r="E30" i="19"/>
  <c r="D30" i="19"/>
  <c r="L29" i="19"/>
  <c r="K29" i="19"/>
  <c r="J29" i="19"/>
  <c r="I29" i="19"/>
  <c r="H29" i="19"/>
  <c r="G29" i="19"/>
  <c r="F29" i="19"/>
  <c r="E29" i="19"/>
  <c r="D29" i="19"/>
  <c r="L28" i="19"/>
  <c r="K28" i="19"/>
  <c r="J28" i="19"/>
  <c r="I28" i="19"/>
  <c r="H28" i="19"/>
  <c r="G28" i="19"/>
  <c r="F28" i="19"/>
  <c r="E28" i="19"/>
  <c r="D28" i="19"/>
  <c r="L27" i="19"/>
  <c r="K27" i="19"/>
  <c r="J27" i="19"/>
  <c r="I27" i="19"/>
  <c r="H27" i="19"/>
  <c r="G27" i="19"/>
  <c r="F27" i="19"/>
  <c r="E27" i="19"/>
  <c r="L26" i="19"/>
  <c r="K26" i="19"/>
  <c r="J26" i="19"/>
  <c r="I26" i="19"/>
  <c r="H26" i="19"/>
  <c r="G26" i="19"/>
  <c r="F26" i="19"/>
  <c r="E26" i="19"/>
  <c r="D26" i="19"/>
  <c r="D27" i="19"/>
  <c r="L21" i="19"/>
  <c r="J21" i="19"/>
  <c r="K21" i="19"/>
  <c r="I21" i="19"/>
  <c r="H21" i="19"/>
  <c r="G21" i="19"/>
  <c r="F21" i="19"/>
  <c r="E21" i="19"/>
  <c r="D21" i="19"/>
  <c r="L20" i="19"/>
  <c r="K20" i="19"/>
  <c r="J20" i="19"/>
  <c r="I20" i="19"/>
  <c r="H20" i="19"/>
  <c r="G20" i="19"/>
  <c r="F20" i="19"/>
  <c r="E20" i="19"/>
  <c r="D20" i="19"/>
  <c r="L19" i="19"/>
  <c r="K19" i="19"/>
  <c r="J19" i="19"/>
  <c r="I19" i="19"/>
  <c r="H19" i="19"/>
  <c r="G19" i="19"/>
  <c r="F19" i="19"/>
  <c r="E19" i="19"/>
  <c r="D19" i="19"/>
  <c r="G18" i="19"/>
  <c r="F18" i="19"/>
  <c r="E18" i="19"/>
  <c r="D18" i="19"/>
  <c r="L17" i="19"/>
  <c r="K17" i="19"/>
  <c r="J17" i="19"/>
  <c r="I17" i="19"/>
  <c r="H17" i="19"/>
  <c r="G17" i="19"/>
  <c r="F17" i="19"/>
  <c r="E17" i="19"/>
  <c r="D17" i="19"/>
  <c r="L16" i="19"/>
  <c r="K16" i="19"/>
  <c r="J16" i="19"/>
  <c r="I16" i="19"/>
  <c r="H16" i="19"/>
  <c r="G16" i="19"/>
  <c r="F16" i="19"/>
  <c r="E16" i="19"/>
  <c r="D16" i="19"/>
  <c r="H18" i="19"/>
  <c r="I18" i="19"/>
  <c r="J18" i="19"/>
  <c r="K18" i="19"/>
  <c r="L18" i="19"/>
  <c r="L15" i="19"/>
  <c r="K15" i="19"/>
  <c r="J15" i="19"/>
  <c r="I15" i="19"/>
  <c r="H15" i="19"/>
  <c r="G15" i="19"/>
  <c r="F15" i="19"/>
  <c r="E15" i="19"/>
  <c r="D15" i="19"/>
  <c r="F10" i="19"/>
  <c r="L10" i="19"/>
  <c r="K10" i="19"/>
  <c r="J10" i="19"/>
  <c r="I10" i="19"/>
  <c r="H10" i="19"/>
  <c r="G10" i="19"/>
  <c r="E10" i="19"/>
  <c r="D10" i="19"/>
  <c r="D9" i="19" a="1"/>
  <c r="D9" i="19"/>
  <c r="D8" i="19" a="1"/>
  <c r="D8" i="19"/>
  <c r="D7" i="19" a="1"/>
  <c r="D7" i="19"/>
  <c r="L6" i="19"/>
  <c r="K6" i="19"/>
  <c r="J6" i="19"/>
  <c r="I6" i="19"/>
  <c r="H6" i="19"/>
  <c r="G6" i="19"/>
  <c r="F6" i="19"/>
  <c r="E6" i="19"/>
  <c r="D6" i="19"/>
  <c r="L5" i="19"/>
  <c r="K5" i="19"/>
  <c r="J5" i="19"/>
  <c r="I5" i="19"/>
  <c r="H5" i="19"/>
  <c r="G5" i="19"/>
  <c r="F5" i="19"/>
  <c r="E5" i="19"/>
  <c r="D5" i="19"/>
  <c r="L4" i="19"/>
  <c r="K4" i="19"/>
  <c r="J4" i="19"/>
  <c r="I4" i="19"/>
  <c r="H4" i="19"/>
  <c r="G4" i="19"/>
  <c r="F4" i="19"/>
  <c r="E4" i="19"/>
  <c r="D4" i="19"/>
  <c r="O74" i="19"/>
  <c r="M74" i="19"/>
  <c r="C74" i="19"/>
  <c r="L75" i="19"/>
  <c r="K75" i="19"/>
  <c r="J75" i="19"/>
  <c r="I75" i="19"/>
  <c r="H75" i="19"/>
  <c r="G75" i="19"/>
  <c r="F75" i="19"/>
  <c r="E75" i="19"/>
  <c r="D75" i="19"/>
  <c r="D11" i="19"/>
  <c r="E11" i="19"/>
  <c r="F11" i="19"/>
  <c r="G11" i="19"/>
  <c r="H11" i="19"/>
  <c r="I11" i="19"/>
  <c r="J11" i="19"/>
  <c r="K11" i="19"/>
  <c r="L11" i="19"/>
  <c r="B10" i="22"/>
  <c r="B11" i="22"/>
  <c r="B6" i="22"/>
  <c r="B7" i="22"/>
  <c r="B8" i="22"/>
  <c r="B9" i="22"/>
  <c r="B5" i="22"/>
  <c r="C62" i="19"/>
  <c r="C83" i="19"/>
  <c r="C84" i="19"/>
  <c r="C85" i="19"/>
  <c r="C86" i="19"/>
  <c r="C87" i="19"/>
  <c r="C88" i="19"/>
  <c r="C82" i="19"/>
  <c r="C70" i="19"/>
  <c r="C60" i="19"/>
  <c r="C61" i="19"/>
  <c r="C63" i="19"/>
  <c r="C64" i="19"/>
  <c r="C65" i="19"/>
  <c r="C59" i="19"/>
  <c r="C49" i="19"/>
  <c r="C50" i="19"/>
  <c r="C51" i="19"/>
  <c r="C52" i="19"/>
  <c r="C53" i="19"/>
  <c r="C54" i="19"/>
  <c r="C48" i="19"/>
  <c r="C38" i="19"/>
  <c r="C39" i="19"/>
  <c r="C40" i="19"/>
  <c r="C41" i="19"/>
  <c r="C42" i="19"/>
  <c r="C43" i="19"/>
  <c r="C37" i="19"/>
  <c r="C27" i="19"/>
  <c r="C28" i="19"/>
  <c r="C29" i="19"/>
  <c r="C30" i="19"/>
  <c r="C31" i="19"/>
  <c r="C32" i="19"/>
  <c r="C26" i="19"/>
  <c r="C16" i="19"/>
  <c r="C17" i="19"/>
  <c r="C18" i="19"/>
  <c r="C19" i="19"/>
  <c r="C20" i="19"/>
  <c r="C21" i="19"/>
  <c r="C15" i="19"/>
  <c r="C5" i="19"/>
  <c r="C6" i="19"/>
  <c r="C7" i="19"/>
  <c r="C8" i="19"/>
  <c r="C9" i="19"/>
  <c r="C10" i="19"/>
  <c r="C4" i="19"/>
  <c r="M51" i="19"/>
  <c r="N51" i="19"/>
  <c r="O53" i="19"/>
  <c r="M83" i="19"/>
  <c r="M84" i="19"/>
  <c r="M85" i="19"/>
  <c r="M86" i="19"/>
  <c r="M87" i="19"/>
  <c r="M88" i="19"/>
  <c r="M38" i="19"/>
  <c r="M39" i="19"/>
  <c r="M40" i="19"/>
  <c r="M41" i="19"/>
  <c r="M42" i="19"/>
  <c r="M43" i="19"/>
  <c r="M60" i="19"/>
  <c r="M61" i="19"/>
  <c r="M62" i="19"/>
  <c r="M63" i="19"/>
  <c r="M64" i="19"/>
  <c r="M65" i="19"/>
  <c r="M82" i="19"/>
  <c r="M59" i="19"/>
  <c r="M49" i="19"/>
  <c r="M50" i="19"/>
  <c r="M52" i="19"/>
  <c r="M53" i="19"/>
  <c r="M54" i="19"/>
  <c r="M48" i="19"/>
  <c r="M37" i="19"/>
  <c r="M27" i="19"/>
  <c r="M28" i="19"/>
  <c r="M29" i="19"/>
  <c r="M30" i="19"/>
  <c r="M31" i="19"/>
  <c r="M32" i="19"/>
  <c r="M26" i="19"/>
  <c r="M16" i="19"/>
  <c r="M17" i="19"/>
  <c r="M18" i="19"/>
  <c r="M19" i="19"/>
  <c r="M20" i="19"/>
  <c r="M21" i="19"/>
  <c r="M15" i="19"/>
  <c r="M5" i="19"/>
  <c r="M6" i="19"/>
  <c r="M7" i="19"/>
  <c r="M8" i="19"/>
  <c r="M9" i="19"/>
  <c r="M10" i="19"/>
  <c r="M4" i="19"/>
  <c r="N73" i="19" l="1"/>
  <c r="P73" i="19"/>
  <c r="C75" i="19"/>
  <c r="N74" i="19"/>
  <c r="P74" i="19"/>
  <c r="K12" i="22" l="1"/>
  <c r="B16" i="23" s="1"/>
  <c r="J12" i="22"/>
  <c r="B15" i="23" s="1"/>
  <c r="I12" i="22"/>
  <c r="B14" i="23" s="1"/>
  <c r="H12" i="22"/>
  <c r="B13" i="23" s="1"/>
  <c r="G12" i="22"/>
  <c r="B12" i="23" s="1"/>
  <c r="F12" i="22"/>
  <c r="B11" i="23" s="1"/>
  <c r="E12" i="22"/>
  <c r="B10" i="23" s="1"/>
  <c r="D12" i="22"/>
  <c r="B9" i="23" s="1"/>
  <c r="C12" i="22"/>
  <c r="B8" i="23" s="1"/>
  <c r="B12" i="22"/>
  <c r="L89" i="19"/>
  <c r="L102" i="19" s="1"/>
  <c r="K89" i="19"/>
  <c r="K102" i="19" s="1"/>
  <c r="J89" i="19"/>
  <c r="J102" i="19" s="1"/>
  <c r="I89" i="19"/>
  <c r="I102" i="19" s="1"/>
  <c r="H89" i="19"/>
  <c r="H102" i="19" s="1"/>
  <c r="G89" i="19"/>
  <c r="G102" i="19" s="1"/>
  <c r="F89" i="19"/>
  <c r="F102" i="19" s="1"/>
  <c r="E89" i="19"/>
  <c r="E102" i="19" s="1"/>
  <c r="D89" i="19"/>
  <c r="D102" i="19" s="1"/>
  <c r="C89" i="19"/>
  <c r="C102" i="19" s="1"/>
  <c r="L101" i="19"/>
  <c r="K101" i="19"/>
  <c r="J101" i="19"/>
  <c r="I101" i="19"/>
  <c r="H101" i="19"/>
  <c r="G101" i="19"/>
  <c r="F101" i="19"/>
  <c r="E101" i="19"/>
  <c r="D101" i="19"/>
  <c r="C101" i="19"/>
  <c r="O102" i="19" l="1"/>
  <c r="P102" i="19" s="1"/>
  <c r="C10" i="20" s="1"/>
  <c r="M102" i="19"/>
  <c r="N102" i="19" s="1"/>
  <c r="B10" i="20" s="1"/>
  <c r="O101" i="19"/>
  <c r="P101" i="19" s="1"/>
  <c r="C9" i="20" s="1"/>
  <c r="M101" i="19"/>
  <c r="N101" i="19" s="1"/>
  <c r="B9" i="20" s="1"/>
  <c r="M75" i="19"/>
  <c r="N75" i="19" s="1"/>
  <c r="O75" i="19"/>
  <c r="P75" i="19" s="1"/>
  <c r="L66" i="19"/>
  <c r="L100" i="19" s="1"/>
  <c r="K66" i="19"/>
  <c r="K100" i="19" s="1"/>
  <c r="J66" i="19"/>
  <c r="J100" i="19" s="1"/>
  <c r="I66" i="19"/>
  <c r="I100" i="19" s="1"/>
  <c r="H66" i="19"/>
  <c r="H100" i="19" s="1"/>
  <c r="G66" i="19"/>
  <c r="G100" i="19" s="1"/>
  <c r="F66" i="19"/>
  <c r="F100" i="19" s="1"/>
  <c r="E66" i="19"/>
  <c r="E100" i="19" s="1"/>
  <c r="D66" i="19"/>
  <c r="D100" i="19" s="1"/>
  <c r="C66" i="19"/>
  <c r="C100" i="19" s="1"/>
  <c r="L55" i="19"/>
  <c r="L99" i="19" s="1"/>
  <c r="K55" i="19"/>
  <c r="K99" i="19" s="1"/>
  <c r="J55" i="19"/>
  <c r="J99" i="19" s="1"/>
  <c r="I55" i="19"/>
  <c r="I99" i="19" s="1"/>
  <c r="H55" i="19"/>
  <c r="H99" i="19" s="1"/>
  <c r="G55" i="19"/>
  <c r="G99" i="19" s="1"/>
  <c r="F55" i="19"/>
  <c r="F99" i="19" s="1"/>
  <c r="E55" i="19"/>
  <c r="E99" i="19" s="1"/>
  <c r="D55" i="19"/>
  <c r="D99" i="19" s="1"/>
  <c r="C55" i="19"/>
  <c r="C99" i="19" s="1"/>
  <c r="L44" i="19"/>
  <c r="L98" i="19" s="1"/>
  <c r="K44" i="19"/>
  <c r="K98" i="19" s="1"/>
  <c r="J44" i="19"/>
  <c r="J98" i="19" s="1"/>
  <c r="I44" i="19"/>
  <c r="I98" i="19" s="1"/>
  <c r="H44" i="19"/>
  <c r="H98" i="19" s="1"/>
  <c r="G44" i="19"/>
  <c r="G98" i="19" s="1"/>
  <c r="F44" i="19"/>
  <c r="F98" i="19" s="1"/>
  <c r="E44" i="19"/>
  <c r="E98" i="19" s="1"/>
  <c r="D44" i="19"/>
  <c r="D98" i="19" s="1"/>
  <c r="C44" i="19"/>
  <c r="C98" i="19" s="1"/>
  <c r="L33" i="19"/>
  <c r="L97" i="19" s="1"/>
  <c r="K33" i="19"/>
  <c r="K97" i="19" s="1"/>
  <c r="J33" i="19"/>
  <c r="J97" i="19" s="1"/>
  <c r="I33" i="19"/>
  <c r="I97" i="19" s="1"/>
  <c r="H33" i="19"/>
  <c r="H97" i="19" s="1"/>
  <c r="G33" i="19"/>
  <c r="G97" i="19" s="1"/>
  <c r="F33" i="19"/>
  <c r="F97" i="19" s="1"/>
  <c r="E33" i="19"/>
  <c r="E97" i="19" s="1"/>
  <c r="C33" i="19"/>
  <c r="C97" i="19" s="1"/>
  <c r="D33" i="19"/>
  <c r="D97" i="19" s="1"/>
  <c r="N15" i="19"/>
  <c r="L22" i="19"/>
  <c r="L96" i="19" s="1"/>
  <c r="K22" i="19"/>
  <c r="K96" i="19" s="1"/>
  <c r="J22" i="19"/>
  <c r="J96" i="19" s="1"/>
  <c r="I22" i="19"/>
  <c r="I96" i="19" s="1"/>
  <c r="H22" i="19"/>
  <c r="H96" i="19" s="1"/>
  <c r="G22" i="19"/>
  <c r="G96" i="19" s="1"/>
  <c r="F22" i="19"/>
  <c r="F96" i="19" s="1"/>
  <c r="E22" i="19"/>
  <c r="E96" i="19" s="1"/>
  <c r="D22" i="19"/>
  <c r="D96" i="19" s="1"/>
  <c r="C22" i="19"/>
  <c r="C96" i="19" s="1"/>
  <c r="L95" i="19"/>
  <c r="K95" i="19"/>
  <c r="J95" i="19"/>
  <c r="I95" i="19"/>
  <c r="H95" i="19"/>
  <c r="G95" i="19"/>
  <c r="F95" i="19"/>
  <c r="E95" i="19"/>
  <c r="D95" i="19"/>
  <c r="C11" i="19"/>
  <c r="C95" i="19" s="1"/>
  <c r="N10" i="19"/>
  <c r="N27" i="19"/>
  <c r="O71" i="19"/>
  <c r="P71" i="19" s="1"/>
  <c r="O72" i="19"/>
  <c r="P72" i="19" s="1"/>
  <c r="N71" i="19"/>
  <c r="N72" i="19"/>
  <c r="N4" i="19"/>
  <c r="O4" i="19"/>
  <c r="P4" i="19" s="1"/>
  <c r="N5" i="19"/>
  <c r="O5" i="19"/>
  <c r="P5" i="19" s="1"/>
  <c r="N6" i="19"/>
  <c r="O6" i="19"/>
  <c r="P6" i="19" s="1"/>
  <c r="N7" i="19"/>
  <c r="O7" i="19"/>
  <c r="P7" i="19" s="1"/>
  <c r="N8" i="19"/>
  <c r="O8" i="19"/>
  <c r="P8" i="19" s="1"/>
  <c r="N9" i="19"/>
  <c r="O9" i="19"/>
  <c r="P9" i="19" s="1"/>
  <c r="O10" i="19"/>
  <c r="P10" i="19" s="1"/>
  <c r="O15" i="19"/>
  <c r="P15" i="19" s="1"/>
  <c r="N16" i="19"/>
  <c r="O16" i="19"/>
  <c r="P16" i="19" s="1"/>
  <c r="N17" i="19"/>
  <c r="O17" i="19"/>
  <c r="P17" i="19" s="1"/>
  <c r="N18" i="19"/>
  <c r="O18" i="19"/>
  <c r="P18" i="19" s="1"/>
  <c r="N19" i="19"/>
  <c r="O19" i="19"/>
  <c r="P19" i="19" s="1"/>
  <c r="N20" i="19"/>
  <c r="O20" i="19"/>
  <c r="P20" i="19" s="1"/>
  <c r="N21" i="19"/>
  <c r="O21" i="19"/>
  <c r="P21" i="19" s="1"/>
  <c r="L11" i="22"/>
  <c r="M11" i="22" s="1"/>
  <c r="L10" i="22"/>
  <c r="M10" i="22" s="1"/>
  <c r="L9" i="22"/>
  <c r="M9" i="22" s="1"/>
  <c r="L8" i="22"/>
  <c r="M8" i="22" s="1"/>
  <c r="L7" i="22"/>
  <c r="M7" i="22" s="1"/>
  <c r="L6" i="22"/>
  <c r="L5" i="22"/>
  <c r="N38" i="19"/>
  <c r="N31" i="19"/>
  <c r="N10" i="22"/>
  <c r="O10" i="22" s="1"/>
  <c r="N5" i="22"/>
  <c r="O63" i="19"/>
  <c r="P63" i="19" s="1"/>
  <c r="O59" i="19"/>
  <c r="P59" i="19" s="1"/>
  <c r="N11" i="22"/>
  <c r="O11" i="22" s="1"/>
  <c r="N9" i="22"/>
  <c r="O9" i="22"/>
  <c r="N8" i="22"/>
  <c r="O8" i="22"/>
  <c r="N7" i="22"/>
  <c r="N6" i="22"/>
  <c r="O83" i="19"/>
  <c r="P83" i="19" s="1"/>
  <c r="O84" i="19"/>
  <c r="P84" i="19" s="1"/>
  <c r="O85" i="19"/>
  <c r="P85" i="19" s="1"/>
  <c r="O86" i="19"/>
  <c r="P86" i="19" s="1"/>
  <c r="O87" i="19"/>
  <c r="P87" i="19" s="1"/>
  <c r="O88" i="19"/>
  <c r="P88" i="19" s="1"/>
  <c r="N83" i="19"/>
  <c r="N84" i="19"/>
  <c r="N85" i="19"/>
  <c r="N86" i="19"/>
  <c r="N87" i="19"/>
  <c r="N88" i="19"/>
  <c r="O28" i="19"/>
  <c r="P28" i="19" s="1"/>
  <c r="O29" i="19"/>
  <c r="P29" i="19" s="1"/>
  <c r="O30" i="19"/>
  <c r="P30" i="19" s="1"/>
  <c r="O31" i="19"/>
  <c r="P31" i="19" s="1"/>
  <c r="O32" i="19"/>
  <c r="P32" i="19" s="1"/>
  <c r="N28" i="19"/>
  <c r="N29" i="19"/>
  <c r="N30" i="19"/>
  <c r="N32" i="19"/>
  <c r="N61" i="19"/>
  <c r="O61" i="19"/>
  <c r="P61" i="19" s="1"/>
  <c r="O51" i="19"/>
  <c r="P51" i="19" s="1"/>
  <c r="N40" i="19"/>
  <c r="O40" i="19"/>
  <c r="P40" i="19" s="1"/>
  <c r="N39" i="19"/>
  <c r="N41" i="19"/>
  <c r="N42" i="19"/>
  <c r="N43" i="19"/>
  <c r="N37" i="19"/>
  <c r="N62" i="19"/>
  <c r="O82" i="19"/>
  <c r="P82" i="19" s="1"/>
  <c r="N82" i="19"/>
  <c r="O70" i="19"/>
  <c r="P70" i="19" s="1"/>
  <c r="M70" i="19"/>
  <c r="N70" i="19" s="1"/>
  <c r="O65" i="19"/>
  <c r="P65" i="19" s="1"/>
  <c r="N65" i="19"/>
  <c r="O64" i="19"/>
  <c r="P64" i="19" s="1"/>
  <c r="N64" i="19"/>
  <c r="N63" i="19"/>
  <c r="O62" i="19"/>
  <c r="P62" i="19" s="1"/>
  <c r="O60" i="19"/>
  <c r="P60" i="19" s="1"/>
  <c r="N60" i="19"/>
  <c r="N59" i="19"/>
  <c r="O54" i="19"/>
  <c r="P54" i="19" s="1"/>
  <c r="N54" i="19"/>
  <c r="P53" i="19"/>
  <c r="N53" i="19"/>
  <c r="O52" i="19"/>
  <c r="P52" i="19" s="1"/>
  <c r="N52" i="19"/>
  <c r="O50" i="19"/>
  <c r="P50" i="19" s="1"/>
  <c r="N50" i="19"/>
  <c r="O49" i="19"/>
  <c r="P49" i="19" s="1"/>
  <c r="N49" i="19"/>
  <c r="O48" i="19"/>
  <c r="P48" i="19" s="1"/>
  <c r="N48" i="19"/>
  <c r="O43" i="19"/>
  <c r="P43" i="19" s="1"/>
  <c r="O42" i="19"/>
  <c r="P42" i="19" s="1"/>
  <c r="O41" i="19"/>
  <c r="P41" i="19" s="1"/>
  <c r="O39" i="19"/>
  <c r="P39" i="19" s="1"/>
  <c r="O38" i="19"/>
  <c r="P38" i="19" s="1"/>
  <c r="O37" i="19"/>
  <c r="P37" i="19" s="1"/>
  <c r="N5" i="21"/>
  <c r="O5" i="21"/>
  <c r="P5" i="21"/>
  <c r="P14" i="21"/>
  <c r="N6" i="21"/>
  <c r="O6" i="21"/>
  <c r="P6" i="21"/>
  <c r="N7" i="21"/>
  <c r="O7" i="21"/>
  <c r="P7" i="21"/>
  <c r="N8" i="21"/>
  <c r="O8" i="21"/>
  <c r="P8" i="21"/>
  <c r="N9" i="21"/>
  <c r="O9" i="21"/>
  <c r="P9" i="21"/>
  <c r="N10" i="21"/>
  <c r="O10" i="21"/>
  <c r="P10" i="21"/>
  <c r="N11" i="21"/>
  <c r="O11" i="21"/>
  <c r="P11" i="21"/>
  <c r="N12" i="21"/>
  <c r="O12" i="21"/>
  <c r="P12" i="21"/>
  <c r="N13" i="21"/>
  <c r="O13" i="21"/>
  <c r="P13" i="21"/>
  <c r="N14" i="21"/>
  <c r="N19" i="21"/>
  <c r="O19" i="21"/>
  <c r="P19" i="21"/>
  <c r="P29" i="21"/>
  <c r="N20" i="21"/>
  <c r="O20" i="21"/>
  <c r="P20" i="21"/>
  <c r="N21" i="21"/>
  <c r="O21" i="21"/>
  <c r="P21" i="21"/>
  <c r="N22" i="21"/>
  <c r="P22" i="21"/>
  <c r="N23" i="21"/>
  <c r="P23" i="21"/>
  <c r="N24" i="21"/>
  <c r="P24" i="21"/>
  <c r="N25" i="21"/>
  <c r="P25" i="21"/>
  <c r="N26" i="21"/>
  <c r="P26" i="21"/>
  <c r="N27" i="21"/>
  <c r="P27" i="21"/>
  <c r="N28" i="21"/>
  <c r="P28" i="21"/>
  <c r="N29" i="21"/>
  <c r="N34" i="21"/>
  <c r="P34" i="21"/>
  <c r="P43" i="21"/>
  <c r="N35" i="21"/>
  <c r="P35" i="21"/>
  <c r="N36" i="21"/>
  <c r="P36" i="21"/>
  <c r="N37" i="21"/>
  <c r="P37" i="21"/>
  <c r="N38" i="21"/>
  <c r="P38" i="21"/>
  <c r="N39" i="21"/>
  <c r="P39" i="21"/>
  <c r="N40" i="21"/>
  <c r="P40" i="21"/>
  <c r="N41" i="21"/>
  <c r="P41" i="21"/>
  <c r="N42" i="21"/>
  <c r="P42" i="21"/>
  <c r="N43" i="21"/>
  <c r="N48" i="21"/>
  <c r="P48" i="21"/>
  <c r="P57" i="21"/>
  <c r="N49" i="21"/>
  <c r="P49" i="21"/>
  <c r="N50" i="21"/>
  <c r="P50" i="21"/>
  <c r="N51" i="21"/>
  <c r="P51" i="21"/>
  <c r="N52" i="21"/>
  <c r="P52" i="21"/>
  <c r="N53" i="21"/>
  <c r="P53" i="21"/>
  <c r="N54" i="21"/>
  <c r="P54" i="21"/>
  <c r="N55" i="21"/>
  <c r="P55" i="21"/>
  <c r="N56" i="21"/>
  <c r="P56" i="21"/>
  <c r="N57" i="21"/>
  <c r="N62" i="21"/>
  <c r="P62" i="21"/>
  <c r="N63" i="21"/>
  <c r="P63" i="21"/>
  <c r="N64" i="21"/>
  <c r="P64" i="21"/>
  <c r="N65" i="21"/>
  <c r="P65" i="21"/>
  <c r="N66" i="21"/>
  <c r="P66" i="21"/>
  <c r="N67" i="21"/>
  <c r="P67" i="21"/>
  <c r="N68" i="21"/>
  <c r="P68" i="21"/>
  <c r="N69" i="21"/>
  <c r="P69" i="21"/>
  <c r="N70" i="21"/>
  <c r="P70" i="21"/>
  <c r="N75" i="21"/>
  <c r="P75" i="21"/>
  <c r="N76" i="21"/>
  <c r="P76" i="21"/>
  <c r="N77" i="21"/>
  <c r="P77" i="21"/>
  <c r="N78" i="21"/>
  <c r="P78" i="21"/>
  <c r="N79" i="21"/>
  <c r="P79" i="21"/>
  <c r="N80" i="21"/>
  <c r="P80" i="21"/>
  <c r="N81" i="21"/>
  <c r="P81" i="21"/>
  <c r="N82" i="21"/>
  <c r="P82" i="21"/>
  <c r="N83" i="21"/>
  <c r="P83" i="21"/>
  <c r="N89" i="21"/>
  <c r="P89" i="21"/>
  <c r="P96" i="21"/>
  <c r="N90" i="21"/>
  <c r="P90" i="21"/>
  <c r="N91" i="21"/>
  <c r="P91" i="21"/>
  <c r="N92" i="21"/>
  <c r="P92" i="21"/>
  <c r="N93" i="21"/>
  <c r="P93" i="21"/>
  <c r="N94" i="21"/>
  <c r="P94" i="21"/>
  <c r="N95" i="21"/>
  <c r="P95" i="21"/>
  <c r="N96" i="21"/>
  <c r="N102" i="21"/>
  <c r="P102" i="21"/>
  <c r="P109" i="21"/>
  <c r="N103" i="21"/>
  <c r="P103" i="21"/>
  <c r="N104" i="21"/>
  <c r="P104" i="21"/>
  <c r="N105" i="21"/>
  <c r="P105" i="21"/>
  <c r="N106" i="21"/>
  <c r="P106" i="21"/>
  <c r="N107" i="21"/>
  <c r="P107" i="21"/>
  <c r="N108" i="21"/>
  <c r="P108" i="21"/>
  <c r="N109" i="21"/>
  <c r="N136" i="21"/>
  <c r="P136" i="21"/>
  <c r="M6" i="22"/>
  <c r="O6" i="22"/>
  <c r="O7" i="22"/>
  <c r="O100" i="19" l="1"/>
  <c r="M100" i="19"/>
  <c r="O99" i="19"/>
  <c r="P99" i="19" s="1"/>
  <c r="C7" i="20" s="1"/>
  <c r="M99" i="19"/>
  <c r="N99" i="19" s="1"/>
  <c r="B7" i="20" s="1"/>
  <c r="O98" i="19"/>
  <c r="P98" i="19" s="1"/>
  <c r="C6" i="20" s="1"/>
  <c r="M98" i="19"/>
  <c r="N98" i="19" s="1"/>
  <c r="B6" i="20" s="1"/>
  <c r="O97" i="19"/>
  <c r="P97" i="19" s="1"/>
  <c r="C5" i="20" s="1"/>
  <c r="M97" i="19"/>
  <c r="N97" i="19" s="1"/>
  <c r="B5" i="20" s="1"/>
  <c r="O96" i="19"/>
  <c r="P96" i="19" s="1"/>
  <c r="C4" i="20" s="1"/>
  <c r="M96" i="19"/>
  <c r="N96" i="19" s="1"/>
  <c r="B4" i="20" s="1"/>
  <c r="O95" i="19"/>
  <c r="P95" i="19" s="1"/>
  <c r="C3" i="20" s="1"/>
  <c r="M95" i="19"/>
  <c r="N95" i="19" s="1"/>
  <c r="B3" i="20" s="1"/>
  <c r="P100" i="19"/>
  <c r="C8" i="20" s="1"/>
  <c r="N100" i="19"/>
  <c r="B8" i="20" s="1"/>
  <c r="M66" i="19"/>
  <c r="N66" i="19" s="1"/>
  <c r="M33" i="19"/>
  <c r="N33" i="19" s="1"/>
  <c r="M11" i="19"/>
  <c r="N11" i="19" s="1"/>
  <c r="N12" i="22"/>
  <c r="O12" i="22" s="1"/>
  <c r="B16" i="22" s="1"/>
  <c r="L12" i="22"/>
  <c r="M12" i="22" s="1"/>
  <c r="B15" i="22" s="1"/>
  <c r="C21" i="23"/>
  <c r="B17" i="23"/>
  <c r="D12" i="23" s="1"/>
  <c r="C23" i="23"/>
  <c r="C22" i="23"/>
  <c r="O89" i="19"/>
  <c r="P89" i="19" s="1"/>
  <c r="M89" i="19"/>
  <c r="N89" i="19" s="1"/>
  <c r="O66" i="19"/>
  <c r="P66" i="19" s="1"/>
  <c r="O55" i="19"/>
  <c r="P55" i="19" s="1"/>
  <c r="M55" i="19"/>
  <c r="N55" i="19" s="1"/>
  <c r="O44" i="19"/>
  <c r="P44" i="19" s="1"/>
  <c r="M44" i="19"/>
  <c r="N44" i="19" s="1"/>
  <c r="O33" i="19"/>
  <c r="P33" i="19" s="1"/>
  <c r="O11" i="19"/>
  <c r="P11" i="19" s="1"/>
  <c r="M22" i="19"/>
  <c r="N22" i="19" s="1"/>
  <c r="O22" i="19"/>
  <c r="P22" i="19" s="1"/>
  <c r="O27" i="19"/>
  <c r="P27" i="19" s="1"/>
  <c r="O26" i="19"/>
  <c r="P26" i="19" s="1"/>
  <c r="N26" i="19"/>
  <c r="M5" i="22"/>
  <c r="O5" i="22"/>
  <c r="D21" i="23" l="1"/>
  <c r="D22" i="23"/>
  <c r="D23" i="23"/>
  <c r="D16" i="23"/>
  <c r="D13" i="23"/>
  <c r="D14" i="23"/>
  <c r="D11" i="23"/>
  <c r="D15" i="23"/>
  <c r="D9" i="23"/>
  <c r="D8" i="23"/>
  <c r="D10" i="23"/>
  <c r="N103" i="19" l="1"/>
  <c r="P103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<sst xmlns="http://schemas.openxmlformats.org/spreadsheetml/2006/main" count="602" uniqueCount="145">
  <si>
    <t>BAHASA MELAYU</t>
  </si>
  <si>
    <t>Distinction</t>
  </si>
  <si>
    <t>Credit</t>
  </si>
  <si>
    <t xml:space="preserve"> Pass</t>
  </si>
  <si>
    <t>Fail</t>
  </si>
  <si>
    <t>Class</t>
  </si>
  <si>
    <t>Taught By</t>
  </si>
  <si>
    <t>Total</t>
  </si>
  <si>
    <t>A*</t>
  </si>
  <si>
    <t>A2</t>
  </si>
  <si>
    <t>B3</t>
  </si>
  <si>
    <t>B4</t>
  </si>
  <si>
    <t>C5</t>
  </si>
  <si>
    <t>C6</t>
  </si>
  <si>
    <t>D7</t>
  </si>
  <si>
    <t>E8</t>
  </si>
  <si>
    <t>U</t>
  </si>
  <si>
    <t>Total
1-6</t>
  </si>
  <si>
    <t>%
1-6</t>
  </si>
  <si>
    <t>Total
1-8</t>
  </si>
  <si>
    <t>%
1-8</t>
  </si>
  <si>
    <t>YEAR 7H</t>
  </si>
  <si>
    <t>CG SITI IZYAN</t>
  </si>
  <si>
    <t>YEAR 7A</t>
  </si>
  <si>
    <t>CG NONI RATINA</t>
  </si>
  <si>
    <t>YEAR 7R</t>
  </si>
  <si>
    <t>CG ERMAWATI</t>
  </si>
  <si>
    <t>YEAR 7M</t>
  </si>
  <si>
    <t>YEAR 7O</t>
  </si>
  <si>
    <t>YEAR 7N</t>
  </si>
  <si>
    <t>YEAR 7Y</t>
  </si>
  <si>
    <t>CG SITI  NOOR RAHAYU</t>
  </si>
  <si>
    <t>Overall</t>
  </si>
  <si>
    <t>ENGLISH LANGUAGE</t>
  </si>
  <si>
    <t>CG AIMI LIYANA</t>
  </si>
  <si>
    <t>CG DEREK</t>
  </si>
  <si>
    <t>ISLAMIC RELIGIOUS KNOWLEDGE</t>
  </si>
  <si>
    <t>CG HJH FAUZIAHWATI</t>
  </si>
  <si>
    <t>CG HAJI MOHAMMAD AZMI</t>
  </si>
  <si>
    <t>SOCIAL STUDIES</t>
  </si>
  <si>
    <t>CG PG HJH MARLINAWATI</t>
  </si>
  <si>
    <t>CG SUNARDI</t>
  </si>
  <si>
    <t>CG AZYMAH</t>
  </si>
  <si>
    <t>MATHEMATICS</t>
  </si>
  <si>
    <t>CG HJH UMIKALSHOM</t>
  </si>
  <si>
    <t>CG DK NORAZLINA</t>
  </si>
  <si>
    <t>CG HJH SYUHAIRAH</t>
  </si>
  <si>
    <t>CG MAHANI</t>
  </si>
  <si>
    <t xml:space="preserve">SCIENCE </t>
  </si>
  <si>
    <t>CG HJH SITI SOFINA</t>
  </si>
  <si>
    <t>CG NORIANI</t>
  </si>
  <si>
    <t>BAHASA ARAB</t>
  </si>
  <si>
    <t>CG HJH JURAINE</t>
  </si>
  <si>
    <t>CG HJH JUSNANI</t>
  </si>
  <si>
    <t>MELAYU ISLAM BERAJA</t>
  </si>
  <si>
    <t>CG AMALINA</t>
  </si>
  <si>
    <t>OVERALL PERFORMANCES</t>
  </si>
  <si>
    <t>Pass</t>
  </si>
  <si>
    <t>Subject</t>
  </si>
  <si>
    <t>Bahasa Melayu</t>
  </si>
  <si>
    <t>English Language</t>
  </si>
  <si>
    <t>I.R.K</t>
  </si>
  <si>
    <t>Social Studies</t>
  </si>
  <si>
    <t>Mathematics</t>
  </si>
  <si>
    <t>Science</t>
  </si>
  <si>
    <t>Bahasa Arab</t>
  </si>
  <si>
    <t>Melayu Islam Beraja</t>
  </si>
  <si>
    <t>Subjects</t>
  </si>
  <si>
    <t>YEAR 7, ASSESSMENT 2 2026</t>
  </si>
  <si>
    <t>No. of Candidates</t>
  </si>
  <si>
    <t>No. of Credits Obtained</t>
  </si>
  <si>
    <t>5 'O' &amp; above</t>
  </si>
  <si>
    <t>3 'O' &amp; above</t>
  </si>
  <si>
    <t>%</t>
  </si>
  <si>
    <t>7H</t>
  </si>
  <si>
    <t>7A</t>
  </si>
  <si>
    <t>7R</t>
  </si>
  <si>
    <t>7M</t>
  </si>
  <si>
    <t>7O</t>
  </si>
  <si>
    <t>7N</t>
  </si>
  <si>
    <t>7Y</t>
  </si>
  <si>
    <t>Total No. of Candidates</t>
  </si>
  <si>
    <t>% obtained 5'O' &amp; above</t>
  </si>
  <si>
    <t>% obtained 3'O' &amp; above</t>
  </si>
  <si>
    <t xml:space="preserve">No. Of Candidate Registered </t>
  </si>
  <si>
    <t>No. Of Candidate Sitting</t>
  </si>
  <si>
    <t>Withdrawn</t>
  </si>
  <si>
    <t>Credit Attained</t>
  </si>
  <si>
    <t>No. Of Student</t>
  </si>
  <si>
    <t>No. of 
Student</t>
  </si>
  <si>
    <t>3 or more Credits</t>
  </si>
  <si>
    <t>4 or more Credits</t>
  </si>
  <si>
    <t>5 or more Credits</t>
  </si>
  <si>
    <t>Class + No of stdn</t>
  </si>
  <si>
    <t>Class Avg</t>
  </si>
  <si>
    <t>10Sci1</t>
  </si>
  <si>
    <t>11Sci2</t>
  </si>
  <si>
    <t>11Sci3</t>
  </si>
  <si>
    <t>11P</t>
  </si>
  <si>
    <t>11E</t>
  </si>
  <si>
    <t>11A</t>
  </si>
  <si>
    <t>11R</t>
  </si>
  <si>
    <t>11L</t>
  </si>
  <si>
    <t>Menengah 4A</t>
  </si>
  <si>
    <t>B.Melayu</t>
  </si>
  <si>
    <t>English</t>
  </si>
  <si>
    <t>Maths</t>
  </si>
  <si>
    <t>Add Maths</t>
  </si>
  <si>
    <t>Physics</t>
  </si>
  <si>
    <t>Chemistry</t>
  </si>
  <si>
    <t>Biology</t>
  </si>
  <si>
    <t>Geography</t>
  </si>
  <si>
    <t>Computer</t>
  </si>
  <si>
    <t>Menengah 4B</t>
  </si>
  <si>
    <t>Economics</t>
  </si>
  <si>
    <t>POA</t>
  </si>
  <si>
    <t>Menengah 4C</t>
  </si>
  <si>
    <t>Comb Sc</t>
  </si>
  <si>
    <t>History</t>
  </si>
  <si>
    <t>IRK</t>
  </si>
  <si>
    <t>Commerce</t>
  </si>
  <si>
    <t>Agr Sc</t>
  </si>
  <si>
    <t>Menengah 4D</t>
  </si>
  <si>
    <t>Art</t>
  </si>
  <si>
    <t>Menengah 4E</t>
  </si>
  <si>
    <t>Sastera</t>
  </si>
  <si>
    <t>Menengah 4F</t>
  </si>
  <si>
    <t>Menengah 4G</t>
  </si>
  <si>
    <t>Menengah 4H</t>
  </si>
  <si>
    <t>B.Mel</t>
  </si>
  <si>
    <t>Eng</t>
  </si>
  <si>
    <t>A Math</t>
  </si>
  <si>
    <t>Phy</t>
  </si>
  <si>
    <t>Chem</t>
  </si>
  <si>
    <t>Bio</t>
  </si>
  <si>
    <t>C Sci</t>
  </si>
  <si>
    <t>Geog</t>
  </si>
  <si>
    <t>His</t>
  </si>
  <si>
    <t>Comm</t>
  </si>
  <si>
    <t>Eco</t>
  </si>
  <si>
    <t>Comp</t>
  </si>
  <si>
    <t>A Sci</t>
  </si>
  <si>
    <t>Sas</t>
  </si>
  <si>
    <t>Average</t>
  </si>
  <si>
    <t>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</si>
</sst>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7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9"/>
      <name val="Arial"/>
      <family val="2"/>
    </font>
    <font>
      <sz val="12"/>
      <name val="Helv"/>
    </font>
    <font>
      <b/>
      <sz val="12"/>
      <color rgb="FF0000FF"/>
      <name val="Aptos Display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1"/>
      <name val="Aptos Display"/>
      <family val="2"/>
    </font>
    <font>
      <sz val="10"/>
      <color theme="1"/>
      <name val="Aptos Display"/>
      <family val="2"/>
    </font>
    <font>
      <b/>
      <sz val="18"/>
      <color rgb="FF0000FF"/>
      <name val="Aptos Display"/>
      <family val="2"/>
    </font>
    <font>
      <b/>
      <sz val="18"/>
      <name val="Aptos Display"/>
      <family val="2"/>
    </font>
    <font>
      <sz val="14"/>
      <name val="Aptos Display"/>
      <family val="2"/>
    </font>
    <font>
      <b/>
      <sz val="12"/>
      <name val="Aptos Display"/>
      <family val="2"/>
    </font>
    <font>
      <b/>
      <sz val="16"/>
      <name val="Aptos Display"/>
      <family val="2"/>
    </font>
    <font>
      <sz val="12"/>
      <name val="Aptos Display"/>
      <family val="2"/>
    </font>
    <font>
      <b/>
      <sz val="14"/>
      <name val="Aptos Display"/>
      <family val="2"/>
    </font>
    <font>
      <b/>
      <sz val="24"/>
      <name val="Aptos Display"/>
      <family val="2"/>
    </font>
    <font>
      <b/>
      <sz val="24"/>
      <color indexed="8"/>
      <name val="Aptos Display"/>
      <family val="2"/>
    </font>
    <font>
      <sz val="12"/>
      <color indexed="8"/>
      <name val="Aptos Display"/>
      <family val="2"/>
    </font>
    <font>
      <b/>
      <sz val="9"/>
      <name val="Aptos Display"/>
      <family val="2"/>
    </font>
    <font>
      <b/>
      <sz val="11"/>
      <name val="Aptos Display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9" fillId="0" borderId="0"/>
  </cellStyleXfs>
  <cellXfs count="18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2" fillId="2" borderId="0" xfId="0" applyFont="1" applyFill="1"/>
    <xf numFmtId="0" fontId="4" fillId="2" borderId="0" xfId="0" applyFont="1" applyFill="1"/>
    <xf numFmtId="164" fontId="5" fillId="2" borderId="0" xfId="0" applyNumberFormat="1" applyFont="1" applyFill="1" applyAlignment="1">
      <alignment horizontal="center"/>
    </xf>
    <xf numFmtId="0" fontId="4" fillId="0" borderId="0" xfId="0" applyFont="1"/>
    <xf numFmtId="164" fontId="5" fillId="0" borderId="0" xfId="0" applyNumberFormat="1" applyFont="1" applyAlignment="1">
      <alignment horizontal="center"/>
    </xf>
    <xf numFmtId="1" fontId="4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164" fontId="7" fillId="2" borderId="3" xfId="0" applyNumberFormat="1" applyFont="1" applyFill="1" applyBorder="1" applyAlignment="1">
      <alignment horizontal="center" vertical="center"/>
    </xf>
    <xf numFmtId="1" fontId="7" fillId="2" borderId="3" xfId="0" applyNumberFormat="1" applyFont="1" applyFill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2" fillId="0" borderId="0" xfId="0" applyFont="1"/>
    <xf numFmtId="0" fontId="7" fillId="2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6" fillId="0" borderId="3" xfId="0" applyFont="1" applyBorder="1"/>
    <xf numFmtId="0" fontId="6" fillId="0" borderId="3" xfId="0" applyFont="1" applyBorder="1" applyAlignment="1">
      <alignment horizontal="left"/>
    </xf>
    <xf numFmtId="164" fontId="6" fillId="0" borderId="0" xfId="0" applyNumberFormat="1" applyFont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3" xfId="0" applyFont="1" applyBorder="1" applyAlignment="1">
      <alignment horizontal="center"/>
    </xf>
    <xf numFmtId="164" fontId="11" fillId="0" borderId="3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64" fontId="12" fillId="0" borderId="3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3" fillId="3" borderId="27" xfId="0" applyFont="1" applyFill="1" applyBorder="1" applyAlignment="1">
      <alignment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0" fontId="14" fillId="0" borderId="27" xfId="0" applyFont="1" applyBorder="1" applyAlignment="1">
      <alignment vertical="center"/>
    </xf>
    <xf numFmtId="0" fontId="14" fillId="0" borderId="27" xfId="0" applyFont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64" fontId="17" fillId="0" borderId="3" xfId="0" applyNumberFormat="1" applyFon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1" fillId="2" borderId="0" xfId="0" applyFont="1" applyFill="1"/>
    <xf numFmtId="0" fontId="21" fillId="2" borderId="0" xfId="0" applyFont="1" applyFill="1"/>
    <xf numFmtId="164" fontId="19" fillId="2" borderId="0" xfId="0" applyNumberFormat="1" applyFont="1" applyFill="1" applyAlignment="1">
      <alignment horizontal="center"/>
    </xf>
    <xf numFmtId="0" fontId="21" fillId="0" borderId="0" xfId="0" applyFont="1"/>
    <xf numFmtId="164" fontId="19" fillId="0" borderId="0" xfId="0" applyNumberFormat="1" applyFont="1" applyAlignment="1">
      <alignment horizontal="center"/>
    </xf>
    <xf numFmtId="0" fontId="20" fillId="2" borderId="0" xfId="0" applyFont="1" applyFill="1" applyAlignment="1">
      <alignment horizontal="center" vertical="center"/>
    </xf>
    <xf numFmtId="9" fontId="20" fillId="2" borderId="0" xfId="0" applyNumberFormat="1" applyFont="1" applyFill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wrapText="1"/>
    </xf>
    <xf numFmtId="0" fontId="12" fillId="5" borderId="3" xfId="0" applyFont="1" applyFill="1" applyBorder="1" applyAlignment="1">
      <alignment horizontal="center"/>
    </xf>
    <xf numFmtId="0" fontId="19" fillId="4" borderId="3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20" fillId="0" borderId="0" xfId="1" applyFont="1"/>
    <xf numFmtId="0" fontId="20" fillId="0" borderId="0" xfId="1" applyFont="1" applyAlignment="1">
      <alignment horizontal="center"/>
    </xf>
    <xf numFmtId="0" fontId="20" fillId="0" borderId="0" xfId="1" applyFont="1" applyAlignment="1">
      <alignment horizontal="center" vertical="center"/>
    </xf>
    <xf numFmtId="0" fontId="20" fillId="0" borderId="0" xfId="1" applyFont="1" applyAlignment="1">
      <alignment vertical="center"/>
    </xf>
    <xf numFmtId="0" fontId="12" fillId="8" borderId="14" xfId="1" applyFont="1" applyFill="1" applyBorder="1" applyAlignment="1">
      <alignment horizontal="center" vertical="center" wrapText="1"/>
    </xf>
    <xf numFmtId="0" fontId="18" fillId="8" borderId="15" xfId="1" applyFont="1" applyFill="1" applyBorder="1" applyAlignment="1">
      <alignment horizontal="center" vertical="center"/>
    </xf>
    <xf numFmtId="0" fontId="18" fillId="8" borderId="16" xfId="1" applyFont="1" applyFill="1" applyBorder="1" applyAlignment="1">
      <alignment horizontal="center" vertical="center"/>
    </xf>
    <xf numFmtId="0" fontId="18" fillId="7" borderId="7" xfId="1" applyFont="1" applyFill="1" applyBorder="1" applyAlignment="1">
      <alignment horizontal="center" vertical="center"/>
    </xf>
    <xf numFmtId="165" fontId="20" fillId="0" borderId="17" xfId="1" applyNumberFormat="1" applyFont="1" applyBorder="1" applyAlignment="1">
      <alignment horizontal="center" vertical="center"/>
    </xf>
    <xf numFmtId="0" fontId="20" fillId="0" borderId="18" xfId="1" applyFont="1" applyBorder="1" applyAlignment="1">
      <alignment horizontal="center" vertical="center"/>
    </xf>
    <xf numFmtId="165" fontId="20" fillId="0" borderId="19" xfId="1" applyNumberFormat="1" applyFont="1" applyBorder="1" applyAlignment="1">
      <alignment horizontal="center" vertical="center"/>
    </xf>
    <xf numFmtId="0" fontId="18" fillId="7" borderId="20" xfId="1" applyFont="1" applyFill="1" applyBorder="1" applyAlignment="1">
      <alignment horizontal="center" vertical="center"/>
    </xf>
    <xf numFmtId="165" fontId="20" fillId="0" borderId="4" xfId="1" applyNumberFormat="1" applyFont="1" applyBorder="1" applyAlignment="1">
      <alignment horizontal="center" vertical="center"/>
    </xf>
    <xf numFmtId="0" fontId="20" fillId="0" borderId="21" xfId="1" applyFont="1" applyBorder="1" applyAlignment="1">
      <alignment horizontal="center" vertical="center"/>
    </xf>
    <xf numFmtId="165" fontId="20" fillId="0" borderId="22" xfId="1" applyNumberFormat="1" applyFont="1" applyBorder="1" applyAlignment="1">
      <alignment horizontal="center" vertical="center"/>
    </xf>
    <xf numFmtId="0" fontId="18" fillId="7" borderId="13" xfId="1" applyFont="1" applyFill="1" applyBorder="1" applyAlignment="1">
      <alignment horizontal="center" vertical="center" wrapText="1"/>
    </xf>
    <xf numFmtId="0" fontId="20" fillId="0" borderId="13" xfId="1" applyFont="1" applyBorder="1" applyAlignment="1">
      <alignment horizontal="center" vertical="center"/>
    </xf>
    <xf numFmtId="0" fontId="20" fillId="0" borderId="23" xfId="1" applyFont="1" applyBorder="1" applyAlignment="1">
      <alignment horizontal="center" vertical="center"/>
    </xf>
    <xf numFmtId="165" fontId="20" fillId="0" borderId="24" xfId="1" applyNumberFormat="1" applyFont="1" applyBorder="1" applyAlignment="1">
      <alignment horizontal="center" vertical="center"/>
    </xf>
    <xf numFmtId="0" fontId="20" fillId="0" borderId="25" xfId="1" applyFont="1" applyBorder="1" applyAlignment="1">
      <alignment horizontal="center" vertical="center"/>
    </xf>
    <xf numFmtId="165" fontId="20" fillId="0" borderId="26" xfId="1" applyNumberFormat="1" applyFont="1" applyBorder="1" applyAlignment="1">
      <alignment horizontal="center" vertical="center"/>
    </xf>
    <xf numFmtId="165" fontId="20" fillId="0" borderId="0" xfId="1" applyNumberFormat="1" applyFont="1" applyAlignment="1">
      <alignment horizontal="center" vertical="center"/>
    </xf>
    <xf numFmtId="0" fontId="23" fillId="0" borderId="0" xfId="1" applyFont="1" applyAlignment="1">
      <alignment horizontal="center"/>
    </xf>
    <xf numFmtId="0" fontId="11" fillId="0" borderId="0" xfId="1" applyFont="1"/>
    <xf numFmtId="0" fontId="20" fillId="0" borderId="3" xfId="1" applyFont="1" applyBorder="1" applyAlignment="1">
      <alignment horizontal="center"/>
    </xf>
    <xf numFmtId="0" fontId="20" fillId="0" borderId="0" xfId="2" applyFont="1"/>
    <xf numFmtId="0" fontId="24" fillId="0" borderId="0" xfId="1" applyFont="1"/>
    <xf numFmtId="0" fontId="18" fillId="4" borderId="3" xfId="1" applyFont="1" applyFill="1" applyBorder="1" applyAlignment="1">
      <alignment horizontal="center" vertical="center" wrapText="1"/>
    </xf>
    <xf numFmtId="0" fontId="18" fillId="4" borderId="3" xfId="1" applyFont="1" applyFill="1" applyBorder="1" applyAlignment="1">
      <alignment horizontal="center" vertical="center"/>
    </xf>
    <xf numFmtId="165" fontId="20" fillId="0" borderId="3" xfId="1" applyNumberFormat="1" applyFont="1" applyBorder="1" applyAlignment="1">
      <alignment horizontal="center"/>
    </xf>
    <xf numFmtId="0" fontId="18" fillId="0" borderId="3" xfId="1" applyFont="1" applyBorder="1" applyAlignment="1">
      <alignment horizontal="center" vertical="center"/>
    </xf>
    <xf numFmtId="0" fontId="21" fillId="0" borderId="0" xfId="3" applyFont="1" applyAlignment="1">
      <alignment horizontal="center"/>
    </xf>
    <xf numFmtId="0" fontId="25" fillId="0" borderId="3" xfId="3" applyFont="1" applyBorder="1" applyAlignment="1">
      <alignment horizontal="center" vertical="center" wrapText="1"/>
    </xf>
    <xf numFmtId="0" fontId="12" fillId="0" borderId="3" xfId="3" applyFont="1" applyBorder="1" applyAlignment="1">
      <alignment horizontal="center" vertical="center"/>
    </xf>
    <xf numFmtId="0" fontId="17" fillId="0" borderId="3" xfId="3" applyFont="1" applyBorder="1" applyAlignment="1">
      <alignment horizontal="center" vertical="center"/>
    </xf>
    <xf numFmtId="10" fontId="20" fillId="0" borderId="3" xfId="3" applyNumberFormat="1" applyFont="1" applyBorder="1" applyAlignment="1">
      <alignment horizontal="center" vertical="center"/>
    </xf>
    <xf numFmtId="0" fontId="18" fillId="0" borderId="0" xfId="1" applyFont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/>
    </xf>
    <xf numFmtId="0" fontId="17" fillId="2" borderId="29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164" fontId="17" fillId="0" borderId="6" xfId="0" applyNumberFormat="1" applyFont="1" applyBorder="1" applyAlignment="1">
      <alignment horizontal="center" vertical="center"/>
    </xf>
    <xf numFmtId="0" fontId="12" fillId="9" borderId="1" xfId="0" applyFont="1" applyFill="1" applyBorder="1" applyAlignment="1">
      <alignment vertical="center"/>
    </xf>
    <xf numFmtId="0" fontId="18" fillId="7" borderId="20" xfId="1" quotePrefix="1" applyFont="1" applyFill="1" applyBorder="1" applyAlignment="1">
      <alignment horizontal="center" vertical="center"/>
    </xf>
    <xf numFmtId="164" fontId="17" fillId="0" borderId="2" xfId="0" applyNumberFormat="1" applyFont="1" applyBorder="1" applyAlignment="1">
      <alignment horizontal="center" vertical="center"/>
    </xf>
    <xf numFmtId="0" fontId="12" fillId="9" borderId="30" xfId="0" applyFont="1" applyFill="1" applyBorder="1" applyAlignment="1">
      <alignment vertical="center"/>
    </xf>
    <xf numFmtId="0" fontId="17" fillId="0" borderId="5" xfId="0" applyFont="1" applyBorder="1" applyAlignment="1">
      <alignment horizontal="center" vertical="center"/>
    </xf>
    <xf numFmtId="164" fontId="17" fillId="0" borderId="5" xfId="0" applyNumberFormat="1" applyFont="1" applyBorder="1" applyAlignment="1">
      <alignment horizontal="center" vertical="center"/>
    </xf>
    <xf numFmtId="164" fontId="19" fillId="10" borderId="31" xfId="0" applyNumberFormat="1" applyFont="1" applyFill="1" applyBorder="1" applyAlignment="1">
      <alignment horizontal="center"/>
    </xf>
    <xf numFmtId="0" fontId="12" fillId="9" borderId="5" xfId="0" applyFont="1" applyFill="1" applyBorder="1" applyAlignment="1">
      <alignment vertical="center"/>
    </xf>
    <xf numFmtId="0" fontId="20" fillId="0" borderId="32" xfId="1" applyFont="1" applyBorder="1" applyAlignment="1">
      <alignment horizontal="center" vertical="center"/>
    </xf>
    <xf numFmtId="0" fontId="20" fillId="0" borderId="33" xfId="1" applyFont="1" applyBorder="1" applyAlignment="1">
      <alignment horizontal="center" vertical="center"/>
    </xf>
    <xf numFmtId="0" fontId="18" fillId="8" borderId="34" xfId="1" applyFont="1" applyFill="1" applyBorder="1" applyAlignment="1">
      <alignment horizontal="center" vertical="center"/>
    </xf>
    <xf numFmtId="0" fontId="18" fillId="8" borderId="35" xfId="1" applyFont="1" applyFill="1" applyBorder="1" applyAlignment="1">
      <alignment horizontal="center" vertical="center"/>
    </xf>
    <xf numFmtId="0" fontId="20" fillId="0" borderId="36" xfId="1" applyFont="1" applyBorder="1" applyAlignment="1">
      <alignment horizontal="center" vertical="center"/>
    </xf>
    <xf numFmtId="0" fontId="20" fillId="0" borderId="37" xfId="1" applyFont="1" applyBorder="1" applyAlignment="1">
      <alignment horizontal="center" vertical="center"/>
    </xf>
    <xf numFmtId="0" fontId="20" fillId="0" borderId="38" xfId="1" applyFont="1" applyBorder="1" applyAlignment="1">
      <alignment horizontal="center" vertical="center"/>
    </xf>
    <xf numFmtId="0" fontId="20" fillId="0" borderId="39" xfId="1" applyFont="1" applyBorder="1" applyAlignment="1">
      <alignment horizontal="center" vertical="center"/>
    </xf>
    <xf numFmtId="0" fontId="22" fillId="6" borderId="0" xfId="1" applyFont="1" applyFill="1" applyAlignment="1">
      <alignment horizontal="center"/>
    </xf>
    <xf numFmtId="0" fontId="12" fillId="8" borderId="7" xfId="1" applyFont="1" applyFill="1" applyBorder="1" applyAlignment="1">
      <alignment horizontal="center" vertical="center" wrapText="1"/>
    </xf>
    <xf numFmtId="0" fontId="12" fillId="8" borderId="13" xfId="1" applyFont="1" applyFill="1" applyBorder="1" applyAlignment="1">
      <alignment horizontal="center" vertical="center"/>
    </xf>
    <xf numFmtId="0" fontId="18" fillId="8" borderId="8" xfId="1" applyFont="1" applyFill="1" applyBorder="1" applyAlignment="1">
      <alignment horizontal="center" vertical="center" wrapText="1"/>
    </xf>
    <xf numFmtId="0" fontId="18" fillId="8" borderId="9" xfId="1" applyFont="1" applyFill="1" applyBorder="1" applyAlignment="1">
      <alignment horizontal="center" vertical="center" wrapText="1"/>
    </xf>
    <xf numFmtId="0" fontId="18" fillId="8" borderId="10" xfId="1" applyFont="1" applyFill="1" applyBorder="1" applyAlignment="1">
      <alignment horizontal="center" vertical="center"/>
    </xf>
    <xf numFmtId="0" fontId="18" fillId="8" borderId="11" xfId="1" applyFont="1" applyFill="1" applyBorder="1" applyAlignment="1">
      <alignment horizontal="center" vertical="center"/>
    </xf>
    <xf numFmtId="0" fontId="18" fillId="8" borderId="12" xfId="1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right" vertical="center"/>
    </xf>
    <xf numFmtId="0" fontId="20" fillId="2" borderId="28" xfId="0" applyFont="1" applyFill="1" applyBorder="1" applyAlignment="1">
      <alignment horizontal="right" vertical="center"/>
    </xf>
    <xf numFmtId="0" fontId="12" fillId="5" borderId="1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/>
    </xf>
    <xf numFmtId="0" fontId="19" fillId="4" borderId="6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6" fillId="0" borderId="1" xfId="3" applyFont="1" applyBorder="1" applyAlignment="1">
      <alignment horizontal="center" vertical="center"/>
    </xf>
    <xf numFmtId="0" fontId="26" fillId="0" borderId="2" xfId="3" applyFont="1" applyBorder="1" applyAlignment="1">
      <alignment horizontal="center" vertical="center"/>
    </xf>
    <xf numFmtId="0" fontId="20" fillId="0" borderId="1" xfId="1" applyFont="1" applyBorder="1" applyAlignment="1">
      <alignment horizontal="center"/>
    </xf>
    <xf numFmtId="0" fontId="20" fillId="0" borderId="2" xfId="1" applyFont="1" applyBorder="1" applyAlignment="1">
      <alignment horizontal="center"/>
    </xf>
    <xf numFmtId="0" fontId="18" fillId="0" borderId="3" xfId="1" applyFont="1" applyBorder="1" applyAlignment="1">
      <alignment horizontal="center"/>
    </xf>
    <xf numFmtId="0" fontId="18" fillId="0" borderId="1" xfId="1" applyFont="1" applyBorder="1" applyAlignment="1">
      <alignment horizontal="center"/>
    </xf>
    <xf numFmtId="0" fontId="18" fillId="0" borderId="4" xfId="1" applyFont="1" applyBorder="1" applyAlignment="1">
      <alignment horizontal="center"/>
    </xf>
    <xf numFmtId="0" fontId="18" fillId="0" borderId="2" xfId="1" applyFont="1" applyBorder="1" applyAlignment="1">
      <alignment horizontal="center"/>
    </xf>
    <xf numFmtId="0" fontId="18" fillId="4" borderId="1" xfId="1" applyFont="1" applyFill="1" applyBorder="1" applyAlignment="1">
      <alignment horizontal="center" vertical="center" wrapText="1"/>
    </xf>
    <xf numFmtId="0" fontId="18" fillId="4" borderId="2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8" fillId="0" borderId="5" xfId="1" applyFont="1" applyBorder="1" applyAlignment="1">
      <alignment horizontal="center" vertical="center" wrapText="1"/>
    </xf>
    <xf numFmtId="165" fontId="20" fillId="0" borderId="5" xfId="1" applyNumberFormat="1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_M1 Subject Marks" xfId="3" xr:uid="{00000000-0005-0000-0000-000003000000}"/>
  </cellStyles>
  <dxfs count="0"/>
  <tableStyles count="0" defaultTableStyle="TableStyleMedium9" defaultPivotStyle="PivotStyleLight16"/>
  <colors>
    <mruColors>
      <color rgb="FF0000FF"/>
      <color rgb="FFCC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394970077199816E-2"/>
          <c:y val="2.6119402985074626E-2"/>
          <c:w val="0.80254839469639072"/>
          <c:h val="0.776119402985074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CHART!$B$2</c:f>
              <c:strCache>
                <c:ptCount val="1"/>
                <c:pt idx="0">
                  <c:v>%
1-6</c:v>
                </c:pt>
              </c:strCache>
            </c:strRef>
          </c:tx>
          <c:spPr>
            <a:solidFill>
              <a:srgbClr val="008000"/>
            </a:solidFill>
          </c:spPr>
          <c:invertIfNegative val="0"/>
          <c:cat>
            <c:strRef>
              <c:f>CHART!$A$3:$A$10</c:f>
              <c:strCache>
                <c:ptCount val="8"/>
                <c:pt idx="0">
                  <c:v>Bahasa Melayu</c:v>
                </c:pt>
                <c:pt idx="1">
                  <c:v>English Language</c:v>
                </c:pt>
                <c:pt idx="2">
                  <c:v>I.R.K</c:v>
                </c:pt>
                <c:pt idx="3">
                  <c:v>Social Studies</c:v>
                </c:pt>
                <c:pt idx="4">
                  <c:v>Mathematics</c:v>
                </c:pt>
                <c:pt idx="5">
                  <c:v>Science</c:v>
                </c:pt>
                <c:pt idx="6">
                  <c:v>Bahasa Arab</c:v>
                </c:pt>
                <c:pt idx="7">
                  <c:v>Melayu Islam Beraja</c:v>
                </c:pt>
              </c:strCache>
            </c:strRef>
          </c:cat>
          <c:val>
            <c:numRef>
              <c:f>CHART!$B$3:$B$10</c:f>
              <c:numCache>
                <c:formatCode>0.0</c:formatCode>
                <c:ptCount val="8"/>
                <c:pt idx="0">
                  <c:v>59.119496855345908</c:v>
                </c:pt>
                <c:pt idx="1">
                  <c:v>90.740740740740748</c:v>
                </c:pt>
                <c:pt idx="2">
                  <c:v>75.460122699386503</c:v>
                </c:pt>
                <c:pt idx="3">
                  <c:v>68.944099378881987</c:v>
                </c:pt>
                <c:pt idx="4">
                  <c:v>54.320987654320987</c:v>
                </c:pt>
                <c:pt idx="5">
                  <c:v>19.875776397515526</c:v>
                </c:pt>
                <c:pt idx="6">
                  <c:v>56.198347107438018</c:v>
                </c:pt>
                <c:pt idx="7">
                  <c:v>87.974683544303801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EF-4012-81DC-D968BDA460B7}"/>
            </c:ext>
          </c:extLst>
        </c:ser>
        <c:ser>
          <c:idx val="1"/>
          <c:order val="1"/>
          <c:tx>
            <c:strRef>
              <c:f>CHART!$C$2</c:f>
              <c:strCache>
                <c:ptCount val="1"/>
                <c:pt idx="0">
                  <c:v>%
1-8</c:v>
                </c:pt>
              </c:strCache>
            </c:strRef>
          </c:tx>
          <c:spPr>
            <a:solidFill>
              <a:srgbClr val="CC00FF"/>
            </a:solidFill>
          </c:spPr>
          <c:invertIfNegative val="0"/>
          <c:cat>
            <c:strRef>
              <c:f>CHART!$A$3:$A$10</c:f>
              <c:strCache>
                <c:ptCount val="8"/>
                <c:pt idx="0">
                  <c:v>Bahasa Melayu</c:v>
                </c:pt>
                <c:pt idx="1">
                  <c:v>English Language</c:v>
                </c:pt>
                <c:pt idx="2">
                  <c:v>I.R.K</c:v>
                </c:pt>
                <c:pt idx="3">
                  <c:v>Social Studies</c:v>
                </c:pt>
                <c:pt idx="4">
                  <c:v>Mathematics</c:v>
                </c:pt>
                <c:pt idx="5">
                  <c:v>Science</c:v>
                </c:pt>
                <c:pt idx="6">
                  <c:v>Bahasa Arab</c:v>
                </c:pt>
                <c:pt idx="7">
                  <c:v>Melayu Islam Beraja</c:v>
                </c:pt>
              </c:strCache>
            </c:strRef>
          </c:cat>
          <c:val>
            <c:numRef>
              <c:f>CHART!$C$3:$C$10</c:f>
              <c:numCache>
                <c:formatCode>0.0</c:formatCode>
                <c:ptCount val="8"/>
                <c:pt idx="0">
                  <c:v>95.59748427672956</c:v>
                </c:pt>
                <c:pt idx="1">
                  <c:v>98.148148148148152</c:v>
                </c:pt>
                <c:pt idx="2">
                  <c:v>90.184049079754601</c:v>
                </c:pt>
                <c:pt idx="3">
                  <c:v>94.409937888198755</c:v>
                </c:pt>
                <c:pt idx="4">
                  <c:v>85.802469135802468</c:v>
                </c:pt>
                <c:pt idx="5">
                  <c:v>68.322981366459629</c:v>
                </c:pt>
                <c:pt idx="6">
                  <c:v>83.471074380165291</c:v>
                </c:pt>
                <c:pt idx="7">
                  <c:v>94.936708860759495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EF-4012-81DC-D968BDA46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289344"/>
        <c:axId val="139291264"/>
      </c:barChart>
      <c:catAx>
        <c:axId val="139289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9291264"/>
        <c:crosses val="autoZero"/>
        <c:auto val="1"/>
        <c:lblAlgn val="ctr"/>
        <c:lblOffset val="100"/>
        <c:noMultiLvlLbl val="0"/>
      </c:catAx>
      <c:valAx>
        <c:axId val="139291264"/>
        <c:scaling>
          <c:orientation val="minMax"/>
          <c:max val="100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13928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437602730732503"/>
          <c:y val="0.42380075111016424"/>
          <c:w val="5.2687106760079948E-2"/>
          <c:h val="0.14710287286718809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>
      <c:oddHeader>&amp;C&amp;"Aptos Display,Bold"&amp;14SEKOLAH MENENGAH PENGIRAN ANAK PUTERI HAJAH MASNA
YEAR 8 ASSESSMENT 1 2025</c:oddHeader>
    </c:headerFooter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 CREDITS AND ABOVE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'3''O'' and 5''O'' &amp; above'!$A$5:$A$11</c:f>
              <c:strCache>
                <c:ptCount val="7"/>
                <c:pt idx="0">
                  <c:v>7H</c:v>
                </c:pt>
                <c:pt idx="1">
                  <c:v>7A</c:v>
                </c:pt>
                <c:pt idx="2">
                  <c:v>7R</c:v>
                </c:pt>
                <c:pt idx="3">
                  <c:v>7M</c:v>
                </c:pt>
                <c:pt idx="4">
                  <c:v>7O</c:v>
                </c:pt>
                <c:pt idx="5">
                  <c:v>7N</c:v>
                </c:pt>
                <c:pt idx="6">
                  <c:v>7Y</c:v>
                </c:pt>
              </c:strCache>
            </c:strRef>
          </c:cat>
          <c:val>
            <c:numRef>
              <c:f>'3''O'' and 5''O'' &amp; above'!$M$5:$M$11</c:f>
              <c:numCache>
                <c:formatCode>0.0%</c:formatCode>
                <c:ptCount val="7"/>
                <c:pt idx="0">
                  <c:v>1</c:v>
                </c:pt>
                <c:pt idx="1">
                  <c:v>0.80952380952380953</c:v>
                </c:pt>
                <c:pt idx="2">
                  <c:v>0.6428571428571429</c:v>
                </c:pt>
                <c:pt idx="3">
                  <c:v>0.76923076923076927</c:v>
                </c:pt>
                <c:pt idx="4">
                  <c:v>0.56000000000000005</c:v>
                </c:pt>
                <c:pt idx="5">
                  <c:v>0.3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12-4024-AA88-8AC57E8DB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1135495"/>
        <c:axId val="1011137543"/>
      </c:barChart>
      <c:catAx>
        <c:axId val="1011135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137543"/>
        <c:crosses val="autoZero"/>
        <c:auto val="1"/>
        <c:lblAlgn val="ctr"/>
        <c:lblOffset val="100"/>
        <c:noMultiLvlLbl val="0"/>
      </c:catAx>
      <c:valAx>
        <c:axId val="101113754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135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 CREDITS AND ABOVE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'3''O'' and 5''O'' &amp; above'!$A$5:$A$11</c:f>
              <c:strCache>
                <c:ptCount val="7"/>
                <c:pt idx="0">
                  <c:v>7H</c:v>
                </c:pt>
                <c:pt idx="1">
                  <c:v>7A</c:v>
                </c:pt>
                <c:pt idx="2">
                  <c:v>7R</c:v>
                </c:pt>
                <c:pt idx="3">
                  <c:v>7M</c:v>
                </c:pt>
                <c:pt idx="4">
                  <c:v>7O</c:v>
                </c:pt>
                <c:pt idx="5">
                  <c:v>7N</c:v>
                </c:pt>
                <c:pt idx="6">
                  <c:v>7Y</c:v>
                </c:pt>
              </c:strCache>
            </c:strRef>
          </c:cat>
          <c:val>
            <c:numRef>
              <c:f>'3''O'' and 5''O'' &amp; above'!$O$5:$O$11</c:f>
              <c:numCache>
                <c:formatCode>0.0%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0.92307692307692313</c:v>
                </c:pt>
                <c:pt idx="4">
                  <c:v>0.92</c:v>
                </c:pt>
                <c:pt idx="5">
                  <c:v>0.8</c:v>
                </c:pt>
                <c:pt idx="6">
                  <c:v>0.15789473684210525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9-4FB1-A563-03358BA6A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9906824"/>
        <c:axId val="679908872"/>
      </c:barChart>
      <c:catAx>
        <c:axId val="679906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908872"/>
        <c:crosses val="autoZero"/>
        <c:auto val="1"/>
        <c:lblAlgn val="ctr"/>
        <c:lblOffset val="100"/>
        <c:noMultiLvlLbl val="0"/>
      </c:catAx>
      <c:valAx>
        <c:axId val="679908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906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43485678054531"/>
          <c:y val="9.7297425698672002E-2"/>
          <c:w val="0.8493793649875987"/>
          <c:h val="0.69729821750714938"/>
        </c:manualLayout>
      </c:layout>
      <c:barChart>
        <c:barDir val="col"/>
        <c:grouping val="clustered"/>
        <c:varyColors val="0"/>
        <c:ser>
          <c:idx val="0"/>
          <c:order val="0"/>
          <c:tx>
            <c:v>Class Avg</c:v>
          </c:tx>
          <c:spPr>
            <a:solidFill>
              <a:srgbClr val="953735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10"/>
              <c:pt idx="0">
                <c:v>9</c:v>
              </c:pt>
              <c:pt idx="1">
                <c:v>8</c:v>
              </c:pt>
              <c:pt idx="2">
                <c:v>7</c:v>
              </c:pt>
              <c:pt idx="3">
                <c:v>6</c:v>
              </c:pt>
              <c:pt idx="4">
                <c:v>5</c:v>
              </c:pt>
              <c:pt idx="5">
                <c:v>4</c:v>
              </c:pt>
              <c:pt idx="6">
                <c:v>3</c:v>
              </c:pt>
              <c:pt idx="7">
                <c:v>2</c:v>
              </c:pt>
              <c:pt idx="8">
                <c:v>1</c:v>
              </c:pt>
              <c:pt idx="9">
                <c:v>0</c:v>
              </c:pt>
            </c:numLit>
          </c:cat>
          <c:val>
            <c:numLit>
              <c:formatCode>General</c:formatCode>
              <c:ptCount val="10"/>
              <c:pt idx="0">
                <c:v>1.0050251256281407E-2</c:v>
              </c:pt>
              <c:pt idx="1">
                <c:v>2.5125628140703519E-2</c:v>
              </c:pt>
              <c:pt idx="2">
                <c:v>2.5125628140703519E-2</c:v>
              </c:pt>
              <c:pt idx="3">
                <c:v>2.5125628140703519E-2</c:v>
              </c:pt>
              <c:pt idx="4">
                <c:v>7.5376884422110546E-2</c:v>
              </c:pt>
              <c:pt idx="5">
                <c:v>0.1407035175879397</c:v>
              </c:pt>
              <c:pt idx="6">
                <c:v>0.14572864321608039</c:v>
              </c:pt>
              <c:pt idx="7">
                <c:v>0.22613065326633167</c:v>
              </c:pt>
              <c:pt idx="8">
                <c:v>0.23115577889447236</c:v>
              </c:pt>
              <c:pt idx="9">
                <c:v>9.5477386934673364E-2</c:v>
              </c:pt>
            </c:numLit>
          </c:val>
          <c:extLst>
            <c:ext xmlns:c16="http://schemas.microsoft.com/office/drawing/2014/chart" uri="{C3380CC4-5D6E-409C-BE32-E72D297353CC}">
              <c16:uniqueId val="{00000000-CC81-400A-B1ED-7BBDBB01B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54184192"/>
        <c:axId val="54186368"/>
      </c:barChart>
      <c:catAx>
        <c:axId val="54184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Credits Attained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863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186368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3.1979457852321307E-2"/>
              <c:y val="0.368528759486459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841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>
      <c:oddHeader>&amp;CSEKOLAH MENENGAH PENGIRAN ANAK PUTERI HAJAH MASNA
ANALYSIS YEAR 10Sci1 and YEAR 11 MID YEAR EXAMINATION 2015
</c:oddHeader>
      <c:oddFooter>&amp;LExam Dept SMPAPHM&amp;CY10Sci1 and Y11 2015</c:oddFooter>
    </c:headerFooter>
    <c:pageMargins b="0.75000000000000011" l="0.70000000000000007" r="0.70000000000000007" t="0.75000000000000011" header="0.30000000000000004" footer="0.30000000000000004"/>
    <c:pageSetup paperSize="9" orientation="landscape" horizontalDpi="0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426620436418719E-2"/>
          <c:y val="4.2553173069222926E-2"/>
          <c:w val="0.84790264075388289"/>
          <c:h val="0.854609559140227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'No.of Credits Attained'!$D$7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numRef>
              <c:f>'No.of Credits Attained'!$A$8:$A$16</c:f>
              <c:numCache>
                <c:formatCode>General</c:formatCode>
                <c:ptCount val="9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</c:numCache>
            </c:numRef>
          </c:cat>
          <c:val>
            <c:numRef>
              <c:f>'No.of Credits Attained'!$D$8:$D$16</c:f>
              <c:numCache>
                <c:formatCode>0.0%</c:formatCode>
                <c:ptCount val="9"/>
                <c:pt idx="0">
                  <c:v>5.5555555555555552E-2</c:v>
                </c:pt>
                <c:pt idx="1">
                  <c:v>0.16666666666666666</c:v>
                </c:pt>
                <c:pt idx="2">
                  <c:v>0.1728395061728395</c:v>
                </c:pt>
                <c:pt idx="3">
                  <c:v>0.20987654320987653</c:v>
                </c:pt>
                <c:pt idx="4">
                  <c:v>0.19753086419753085</c:v>
                </c:pt>
                <c:pt idx="5">
                  <c:v>4.9382716049382713E-2</c:v>
                </c:pt>
                <c:pt idx="6">
                  <c:v>6.7901234567901231E-2</c:v>
                </c:pt>
                <c:pt idx="7">
                  <c:v>5.5555555555555552E-2</c:v>
                </c:pt>
                <c:pt idx="8">
                  <c:v>2.4691358024691357E-2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9-46C3-9396-E4E0770F8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7"/>
        <c:axId val="54196480"/>
        <c:axId val="54263808"/>
      </c:barChart>
      <c:catAx>
        <c:axId val="5419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2638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263808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96480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/>
              <a:t>CLASS</a:t>
            </a:r>
            <a:r>
              <a:rPr lang="en-US" baseline="0"/>
              <a:t> AVERAGE MARKS</a:t>
            </a:r>
          </a:p>
          <a:p>
            <a:pPr algn="ctr">
              <a:defRPr/>
            </a:pPr>
            <a:r>
              <a:rPr lang="en-US" sz="1800" b="1" i="0" baseline="0">
                <a:effectLst/>
              </a:rPr>
              <a:t>YEAR 10Sci1 &amp; YEAR 11, 2015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30442005560115798"/>
          <c:y val="0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3175">
          <a:solidFill>
            <a:srgbClr val="80808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0.13256493476797127"/>
          <c:y val="0.12701263330570189"/>
          <c:w val="0.84870376715581597"/>
          <c:h val="0.7030417590019837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'class avg'!$B$2</c:f>
              <c:strCache>
                <c:ptCount val="1"/>
                <c:pt idx="0">
                  <c:v>Class Avg</c:v>
                </c:pt>
              </c:strCache>
            </c:strRef>
          </c:tx>
          <c:invertIfNegative val="0"/>
          <c:cat>
            <c:strRef>
              <c:f>'class avg'!$A$3:$A$10</c:f>
              <c:strCache>
                <c:ptCount val="8"/>
                <c:pt idx="0">
                  <c:v>10Sci1</c:v>
                </c:pt>
                <c:pt idx="1">
                  <c:v>11Sci2</c:v>
                </c:pt>
                <c:pt idx="2">
                  <c:v>11Sci3</c:v>
                </c:pt>
                <c:pt idx="3">
                  <c:v>11P</c:v>
                </c:pt>
                <c:pt idx="4">
                  <c:v>11E</c:v>
                </c:pt>
                <c:pt idx="5">
                  <c:v>11A</c:v>
                </c:pt>
                <c:pt idx="6">
                  <c:v>11R</c:v>
                </c:pt>
                <c:pt idx="7">
                  <c:v>11L</c:v>
                </c:pt>
              </c:strCache>
            </c:strRef>
          </c:cat>
          <c:val>
            <c:numRef>
              <c:f>'class avg'!$B$3:$B$10</c:f>
              <c:numCache>
                <c:formatCode>0.0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AC8B-4D6F-B2CF-514594E4D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gapDepth val="61"/>
        <c:shape val="cylinder"/>
        <c:axId val="54461184"/>
        <c:axId val="54463104"/>
        <c:axId val="0"/>
      </c:bar3DChart>
      <c:catAx>
        <c:axId val="54461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Class</a:t>
                </a:r>
                <a:r>
                  <a:rPr lang="en-US" sz="1100" baseline="0"/>
                  <a:t>  &amp; No of students</a:t>
                </a:r>
                <a:endParaRPr lang="en-US" sz="1100"/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crossAx val="54463104"/>
        <c:crosses val="autoZero"/>
        <c:auto val="1"/>
        <c:lblAlgn val="ctr"/>
        <c:lblOffset val="100"/>
        <c:noMultiLvlLbl val="0"/>
      </c:catAx>
      <c:valAx>
        <c:axId val="544631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Class</a:t>
                </a:r>
                <a:r>
                  <a:rPr lang="en-US" sz="1200" baseline="0"/>
                  <a:t> Average</a:t>
                </a:r>
                <a:endParaRPr lang="en-US" sz="1200"/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crossAx val="5446118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Subjects Average Marks(%) Vs M4'O' Level Classes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dkDnDiag">
              <a:fgClr>
                <a:srgbClr val="993366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C6-4C12-B1BC-862F7E25F73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'By Class'!#REF!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'By Class'!#REF!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'By Class'!#REF!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2C6-4C12-B1BC-862F7E25F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07008"/>
        <c:axId val="54508544"/>
      </c:barChart>
      <c:catAx>
        <c:axId val="54507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508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5085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5070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Subject Analysis Men 4 'O' Level 
Monthly Test 2004</a:t>
            </a:r>
          </a:p>
        </c:rich>
      </c:tx>
      <c:layout>
        <c:manualLayout>
          <c:xMode val="edge"/>
          <c:yMode val="edge"/>
          <c:x val="0.25238128567262424"/>
          <c:y val="2.69886363636363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69858739240357"/>
          <c:y val="0.16761363636363635"/>
          <c:w val="0.77936628746014303"/>
          <c:h val="0.735795454545454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'By Class'!$C$142</c:f>
              <c:strCache>
                <c:ptCount val="1"/>
                <c:pt idx="0">
                  <c:v>%
1-6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Class'!$B$143:$B$160</c:f>
              <c:strCache>
                <c:ptCount val="18"/>
                <c:pt idx="0">
                  <c:v>B.Mel</c:v>
                </c:pt>
                <c:pt idx="1">
                  <c:v>Eng</c:v>
                </c:pt>
                <c:pt idx="2">
                  <c:v>Maths</c:v>
                </c:pt>
                <c:pt idx="3">
                  <c:v>A Math</c:v>
                </c:pt>
                <c:pt idx="4">
                  <c:v>Phy</c:v>
                </c:pt>
                <c:pt idx="5">
                  <c:v>Chem</c:v>
                </c:pt>
                <c:pt idx="6">
                  <c:v>Bio</c:v>
                </c:pt>
                <c:pt idx="7">
                  <c:v>C Sci</c:v>
                </c:pt>
                <c:pt idx="8">
                  <c:v>Geog</c:v>
                </c:pt>
                <c:pt idx="9">
                  <c:v>His</c:v>
                </c:pt>
                <c:pt idx="10">
                  <c:v>IRK</c:v>
                </c:pt>
                <c:pt idx="11">
                  <c:v>Comm</c:v>
                </c:pt>
                <c:pt idx="12">
                  <c:v>Eco</c:v>
                </c:pt>
                <c:pt idx="13">
                  <c:v>Comp</c:v>
                </c:pt>
                <c:pt idx="14">
                  <c:v>POA</c:v>
                </c:pt>
                <c:pt idx="15">
                  <c:v>A Sci</c:v>
                </c:pt>
                <c:pt idx="16">
                  <c:v>Art</c:v>
                </c:pt>
                <c:pt idx="17">
                  <c:v>Sas</c:v>
                </c:pt>
              </c:strCache>
            </c:strRef>
          </c:cat>
          <c:val>
            <c:numRef>
              <c:f>'By Class'!$C$143:$C$160</c:f>
              <c:numCache>
                <c:formatCode>0.0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0-8FFC-4E58-A0A0-1645B4051171}"/>
            </c:ext>
          </c:extLst>
        </c:ser>
        <c:ser>
          <c:idx val="1"/>
          <c:order val="1"/>
          <c:tx>
            <c:strRef>
              <c:f>'By Class'!$D$142</c:f>
              <c:strCache>
                <c:ptCount val="1"/>
                <c:pt idx="0">
                  <c:v>%
1-8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Class'!$B$143:$B$160</c:f>
              <c:strCache>
                <c:ptCount val="18"/>
                <c:pt idx="0">
                  <c:v>B.Mel</c:v>
                </c:pt>
                <c:pt idx="1">
                  <c:v>Eng</c:v>
                </c:pt>
                <c:pt idx="2">
                  <c:v>Maths</c:v>
                </c:pt>
                <c:pt idx="3">
                  <c:v>A Math</c:v>
                </c:pt>
                <c:pt idx="4">
                  <c:v>Phy</c:v>
                </c:pt>
                <c:pt idx="5">
                  <c:v>Chem</c:v>
                </c:pt>
                <c:pt idx="6">
                  <c:v>Bio</c:v>
                </c:pt>
                <c:pt idx="7">
                  <c:v>C Sci</c:v>
                </c:pt>
                <c:pt idx="8">
                  <c:v>Geog</c:v>
                </c:pt>
                <c:pt idx="9">
                  <c:v>His</c:v>
                </c:pt>
                <c:pt idx="10">
                  <c:v>IRK</c:v>
                </c:pt>
                <c:pt idx="11">
                  <c:v>Comm</c:v>
                </c:pt>
                <c:pt idx="12">
                  <c:v>Eco</c:v>
                </c:pt>
                <c:pt idx="13">
                  <c:v>Comp</c:v>
                </c:pt>
                <c:pt idx="14">
                  <c:v>POA</c:v>
                </c:pt>
                <c:pt idx="15">
                  <c:v>A Sci</c:v>
                </c:pt>
                <c:pt idx="16">
                  <c:v>Art</c:v>
                </c:pt>
                <c:pt idx="17">
                  <c:v>Sas</c:v>
                </c:pt>
              </c:strCache>
            </c:strRef>
          </c:cat>
          <c:val>
            <c:numRef>
              <c:f>'By Class'!$D$143:$D$160</c:f>
              <c:numCache>
                <c:formatCode>0.0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1-8FFC-4E58-A0A0-1645B4051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20448"/>
        <c:axId val="54595968"/>
      </c:barChart>
      <c:catAx>
        <c:axId val="54520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595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595968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52044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36082777342564"/>
          <c:y val="0.4835795780285761"/>
          <c:w val="7.8680239611122235E-2"/>
          <c:h val="0.1234430304569433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 copies="6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0</xdr:row>
      <xdr:rowOff>133984</xdr:rowOff>
    </xdr:from>
    <xdr:to>
      <xdr:col>15</xdr:col>
      <xdr:colOff>565439</xdr:colOff>
      <xdr:row>27</xdr:row>
      <xdr:rowOff>9172</xdr:rowOff>
    </xdr:to>
    <xdr:graphicFrame macro="">
      <xdr:nvGraphicFramePr>
        <xdr:cNvPr id="3767" name="Chart 2">
          <a:extLst>
            <a:ext uri="{FF2B5EF4-FFF2-40B4-BE49-F238E27FC236}">
              <a16:creationId xmlns:a16="http://schemas.microsoft.com/office/drawing/2014/main" id="{3C9A48C2-D04F-44BF-BC50-ADED6BD7C6C4}"/>
            </a:ext>
            <a:ext uri="{147F2762-F138-4A5C-976F-8EAC2B608ADB}">
              <a16:predDERef xmlns:a16="http://schemas.microsoft.com/office/drawing/2014/main" pred="{EC9C1E4C-A11D-4631-B592-677A85712F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200025</xdr:colOff>
      <xdr:row>2</xdr:row>
      <xdr:rowOff>19050</xdr:rowOff>
    </xdr:from>
    <xdr:to>
      <xdr:col>22</xdr:col>
      <xdr:colOff>685800</xdr:colOff>
      <xdr:row>11</xdr:row>
      <xdr:rowOff>371475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31F8A2-36EB-5C9F-C63D-B7E37D8EC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47625</xdr:colOff>
      <xdr:row>2</xdr:row>
      <xdr:rowOff>0</xdr:rowOff>
    </xdr:from>
    <xdr:to>
      <xdr:col>29</xdr:col>
      <xdr:colOff>723900</xdr:colOff>
      <xdr:row>11</xdr:row>
      <xdr:rowOff>390525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0B548E-267C-F16C-74FA-ABD4D168D0D8}"/>
            </a:ext>
            <a:ext uri="{147F2762-F138-4A5C-976F-8EAC2B608ADB}">
              <a16:predDERef xmlns:a16="http://schemas.microsoft.com/office/drawing/2014/main" pred="{8731F8A2-36EB-5C9F-C63D-B7E37D8EC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5</xdr:row>
      <xdr:rowOff>83820</xdr:rowOff>
    </xdr:from>
    <xdr:to>
      <xdr:col>19</xdr:col>
      <xdr:colOff>0</xdr:colOff>
      <xdr:row>22</xdr:row>
      <xdr:rowOff>200025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EFBC0FE9-14CC-4E85-A3BB-41CA15E56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80010</xdr:colOff>
      <xdr:row>6</xdr:row>
      <xdr:rowOff>207645</xdr:rowOff>
    </xdr:from>
    <xdr:to>
      <xdr:col>18</xdr:col>
      <xdr:colOff>428625</xdr:colOff>
      <xdr:row>21</xdr:row>
      <xdr:rowOff>62865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4C37C9-AC9B-40B0-BB4E-E5331654D5D4}"/>
            </a:ext>
            <a:ext uri="{147F2762-F138-4A5C-976F-8EAC2B608ADB}">
              <a16:predDERef xmlns:a16="http://schemas.microsoft.com/office/drawing/2014/main" pred="{EFBC0FE9-14CC-4E85-A3BB-41CA15E56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</xdr:colOff>
      <xdr:row>1</xdr:row>
      <xdr:rowOff>38100</xdr:rowOff>
    </xdr:from>
    <xdr:to>
      <xdr:col>13</xdr:col>
      <xdr:colOff>487680</xdr:colOff>
      <xdr:row>32</xdr:row>
      <xdr:rowOff>160020</xdr:rowOff>
    </xdr:to>
    <xdr:graphicFrame macro="">
      <xdr:nvGraphicFramePr>
        <xdr:cNvPr id="4640" name="Chart 2">
          <a:extLst>
            <a:ext uri="{FF2B5EF4-FFF2-40B4-BE49-F238E27FC236}">
              <a16:creationId xmlns:a16="http://schemas.microsoft.com/office/drawing/2014/main" id="{3A0B247F-4CB0-4C3D-A7E4-309B789BF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160020</xdr:colOff>
      <xdr:row>137</xdr:row>
      <xdr:rowOff>0</xdr:rowOff>
    </xdr:from>
    <xdr:to>
      <xdr:col>15</xdr:col>
      <xdr:colOff>502920</xdr:colOff>
      <xdr:row>137</xdr:row>
      <xdr:rowOff>0</xdr:rowOff>
    </xdr:to>
    <xdr:graphicFrame macro="">
      <xdr:nvGraphicFramePr>
        <xdr:cNvPr id="1719902" name="Chart 1">
          <a:extLst>
            <a:ext uri="{FF2B5EF4-FFF2-40B4-BE49-F238E27FC236}">
              <a16:creationId xmlns:a16="http://schemas.microsoft.com/office/drawing/2014/main" id="{0E88A048-A750-4AE7-B76E-BF58CA8A0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106680</xdr:colOff>
      <xdr:row>137</xdr:row>
      <xdr:rowOff>0</xdr:rowOff>
    </xdr:from>
    <xdr:to>
      <xdr:col>2</xdr:col>
      <xdr:colOff>381000</xdr:colOff>
      <xdr:row>137</xdr:row>
      <xdr:rowOff>0</xdr:rowOff>
    </xdr:to>
    <xdr:sp macro="" textlink="">
      <xdr:nvSpPr>
        <xdr:cNvPr id="1719903" name="AutoShape 2">
          <a:extLst>
            <a:ext uri="{FF2B5EF4-FFF2-40B4-BE49-F238E27FC236}">
              <a16:creationId xmlns:a16="http://schemas.microsoft.com/office/drawing/2014/main" id="{CC6C93E2-213F-47B9-B8D7-009AD200CFF0}"/>
            </a:ext>
          </a:extLst>
        </xdr:cNvPr>
        <xdr:cNvSpPr>
          <a:spLocks noChangeArrowheads="1"/>
        </xdr:cNvSpPr>
      </xdr:nvSpPr>
      <xdr:spPr bwMode="auto">
        <a:xfrm>
          <a:off x="1234440" y="29405580"/>
          <a:ext cx="1196340" cy="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0 h 21600"/>
            <a:gd name="T4" fmla="*/ 2147483647 w 21600"/>
            <a:gd name="T5" fmla="*/ 0 h 21600"/>
            <a:gd name="T6" fmla="*/ 2147483647 w 21600"/>
            <a:gd name="T7" fmla="*/ 0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0 h 21600"/>
            <a:gd name="T14" fmla="*/ 18227 w 21600"/>
            <a:gd name="T15" fmla="*/ 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45720</xdr:colOff>
      <xdr:row>159</xdr:row>
      <xdr:rowOff>137160</xdr:rowOff>
    </xdr:from>
    <xdr:to>
      <xdr:col>28</xdr:col>
      <xdr:colOff>563880</xdr:colOff>
      <xdr:row>183</xdr:row>
      <xdr:rowOff>106680</xdr:rowOff>
    </xdr:to>
    <xdr:graphicFrame macro="">
      <xdr:nvGraphicFramePr>
        <xdr:cNvPr id="1719904" name="Chart 3">
          <a:extLst>
            <a:ext uri="{FF2B5EF4-FFF2-40B4-BE49-F238E27FC236}">
              <a16:creationId xmlns:a16="http://schemas.microsoft.com/office/drawing/2014/main" id="{C1BEFC13-3D63-4E64-BAB4-86A2698A86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MASTERMARK%20SHEETS/MMS%202026/ASSESSMENT%202/YEAR%207%20ASSESSMENT%202%202026/MMS%20Y%207H.xlsx" TargetMode="External"/><Relationship Id="rId2" Type="http://schemas.openxmlformats.org/officeDocument/2006/relationships/externalLinkPath" Target="https://edumoebn-my.sharepoint.com/personal/exam_section_smpapmasna_edu_moe_bn/Documents/EXAM%20SECTION%20SMPAPHM/MASTERMARK%20SHEETS/MMS%202026/ASSESSMENT%202/YEAR%207%20ASSESSMENT%202%202026/MMS%20Y%207H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7%20ASSESSMENT%202%202026/MMS%20Y%207H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MASTERMARK%20SHEETS/MMS%202026/ASSESSMENT%202/YEAR%207%20ASSESSMENT%202%202026/MMS%20Y%207A.xlsx" TargetMode="External"/><Relationship Id="rId2" Type="http://schemas.openxmlformats.org/officeDocument/2006/relationships/externalLinkPath" Target="https://edumoebn-my.sharepoint.com/personal/exam_section_smpapmasna_edu_moe_bn/Documents/EXAM%20SECTION%20SMPAPHM/MASTERMARK%20SHEETS/MMS%202026/ASSESSMENT%202/YEAR%207%20ASSESSMENT%202%202026/MMS%20Y%207A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7%20ASSESSMENT%202%202026/MMS%20Y%207A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MASTERMARK%20SHEETS/MMS%202026/ASSESSMENT%202/YEAR%207%20ASSESSMENT%202%202026/MMS%20Y%207R.xlsx" TargetMode="External"/><Relationship Id="rId2" Type="http://schemas.openxmlformats.org/officeDocument/2006/relationships/externalLinkPath" Target="https://edumoebn-my.sharepoint.com/personal/exam_section_smpapmasna_edu_moe_bn/Documents/EXAM%20SECTION%20SMPAPHM/MASTERMARK%20SHEETS/MMS%202026/ASSESSMENT%202/YEAR%207%20ASSESSMENT%202%202026/MMS%20Y%207R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7%20ASSESSMENT%202%202026/MMS%20Y%207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ASTERMARK%20SHEETS/MMS%202026/ASSESSMENT%202/YEAR%207%20ASSESSMENT%202%202026/MMS%20Y%207M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7%20ASSESSMENT%202%202026/MMS%20Y%207M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ASTERMARK%20SHEETS/MMS%202026/ASSESSMENT%202/YEAR%207%20ASSESSMENT%202%202026/MMS%20Y%207O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7%20ASSESSMENT%202%202026/MMS%20Y%207O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MASTERMARK%20SHEETS/MMS%202026/ASSESSMENT%202/YEAR%207%20ASSESSMENT%202%202026/MMS%20Y%207N.xlsx" TargetMode="External"/><Relationship Id="rId2" Type="http://schemas.openxmlformats.org/officeDocument/2006/relationships/externalLinkPath" Target="https://edumoebn-my.sharepoint.com/personal/exam_section_smpapmasna_edu_moe_bn/Documents/EXAM%20SECTION%20SMPAPHM/MASTERMARK%20SHEETS/MMS%202026/ASSESSMENT%202/YEAR%207%20ASSESSMENT%202%202026/MMS%20Y%207N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7%20ASSESSMENT%202%202026/MMS%20Y%207N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MASTERMARK%20SHEETS/MMS%202026/ASSESSMENT%202/YEAR%207%20ASSESSMENT%202%202026/MMS%20Y%207Y.xlsx" TargetMode="External"/><Relationship Id="rId2" Type="http://schemas.openxmlformats.org/officeDocument/2006/relationships/externalLinkPath" Target="https://edumoebn-my.sharepoint.com/personal/exam_section_smpapmasna_edu_moe_bn/Documents/EXAM%20SECTION%20SMPAPHM/MASTERMARK%20SHEETS/MMS%202026/ASSESSMENT%202/YEAR%207%20ASSESSMENT%202%202026/MMS%20Y%207Y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7%20ASSESSMENT%202%202026/MMS%20Y%207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MTOGWDUICM7JFICIVMUOQQPALM">
      <xxl21:absoluteUrl r:id="rId2"/>
      <xxl21:relativeUrl r:id="rId3"/>
    </xxl21:alternateUrls>
    <sheetNames>
      <sheetName val="TEACHER LIST"/>
      <sheetName val="MASTER 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/>
      <sheetData sheetId="1">
        <row r="38">
          <cell r="J38">
            <v>0</v>
          </cell>
          <cell r="T38">
            <v>6</v>
          </cell>
          <cell r="AE38">
            <v>1</v>
          </cell>
          <cell r="AO38">
            <v>15</v>
          </cell>
          <cell r="AY38">
            <v>0</v>
          </cell>
          <cell r="BI38">
            <v>18</v>
          </cell>
          <cell r="BS38">
            <v>6</v>
          </cell>
          <cell r="CW38">
            <v>15</v>
          </cell>
          <cell r="DQ38">
            <v>0</v>
          </cell>
        </row>
        <row r="39">
          <cell r="J39">
            <v>2</v>
          </cell>
          <cell r="T39">
            <v>11</v>
          </cell>
          <cell r="AE39">
            <v>1</v>
          </cell>
          <cell r="AO39">
            <v>4</v>
          </cell>
          <cell r="AY39">
            <v>1</v>
          </cell>
          <cell r="BI39">
            <v>4</v>
          </cell>
          <cell r="BS39">
            <v>16</v>
          </cell>
          <cell r="CW39">
            <v>6</v>
          </cell>
          <cell r="DQ39">
            <v>7</v>
          </cell>
        </row>
        <row r="40">
          <cell r="J40">
            <v>4</v>
          </cell>
          <cell r="T40">
            <v>5</v>
          </cell>
          <cell r="AE40">
            <v>1</v>
          </cell>
          <cell r="AO40">
            <v>3</v>
          </cell>
          <cell r="AY40">
            <v>2</v>
          </cell>
          <cell r="BI40">
            <v>0</v>
          </cell>
          <cell r="BS40">
            <v>0</v>
          </cell>
          <cell r="CW40">
            <v>0</v>
          </cell>
          <cell r="DQ40">
            <v>10</v>
          </cell>
        </row>
        <row r="41">
          <cell r="J41">
            <v>4</v>
          </cell>
          <cell r="T41">
            <v>0</v>
          </cell>
          <cell r="AE41">
            <v>1</v>
          </cell>
          <cell r="AO41">
            <v>1</v>
          </cell>
          <cell r="AY41">
            <v>9</v>
          </cell>
          <cell r="BI41">
            <v>1</v>
          </cell>
          <cell r="BS41">
            <v>0</v>
          </cell>
          <cell r="CW41">
            <v>0</v>
          </cell>
          <cell r="DQ41">
            <v>5</v>
          </cell>
        </row>
        <row r="42">
          <cell r="J42">
            <v>2</v>
          </cell>
          <cell r="T42">
            <v>0</v>
          </cell>
          <cell r="AE42">
            <v>5</v>
          </cell>
          <cell r="AO42">
            <v>0</v>
          </cell>
          <cell r="AY42">
            <v>1</v>
          </cell>
          <cell r="BI42">
            <v>0</v>
          </cell>
          <cell r="BS42">
            <v>0</v>
          </cell>
          <cell r="CW42">
            <v>1</v>
          </cell>
          <cell r="DQ42">
            <v>1</v>
          </cell>
        </row>
        <row r="43">
          <cell r="J43">
            <v>6</v>
          </cell>
          <cell r="T43">
            <v>1</v>
          </cell>
          <cell r="AE43">
            <v>2</v>
          </cell>
          <cell r="AO43">
            <v>0</v>
          </cell>
          <cell r="AY43">
            <v>5</v>
          </cell>
          <cell r="BI43">
            <v>0</v>
          </cell>
          <cell r="BS43">
            <v>1</v>
          </cell>
          <cell r="CW43">
            <v>0</v>
          </cell>
          <cell r="DQ43">
            <v>0</v>
          </cell>
        </row>
        <row r="44">
          <cell r="J44">
            <v>5</v>
          </cell>
          <cell r="T44">
            <v>0</v>
          </cell>
          <cell r="AE44">
            <v>8</v>
          </cell>
          <cell r="AO44">
            <v>0</v>
          </cell>
          <cell r="AY44">
            <v>3</v>
          </cell>
          <cell r="BI44">
            <v>0</v>
          </cell>
          <cell r="BS44">
            <v>0</v>
          </cell>
          <cell r="CW44">
            <v>1</v>
          </cell>
          <cell r="DQ44">
            <v>0</v>
          </cell>
        </row>
        <row r="45">
          <cell r="J45">
            <v>0</v>
          </cell>
          <cell r="T45">
            <v>0</v>
          </cell>
          <cell r="AE45">
            <v>2</v>
          </cell>
          <cell r="AO45">
            <v>0</v>
          </cell>
          <cell r="AY45">
            <v>2</v>
          </cell>
          <cell r="BI45">
            <v>0</v>
          </cell>
          <cell r="CW45">
            <v>0</v>
          </cell>
          <cell r="DQ45">
            <v>0</v>
          </cell>
        </row>
        <row r="46">
          <cell r="J46">
            <v>0</v>
          </cell>
          <cell r="T46">
            <v>0</v>
          </cell>
          <cell r="AE46">
            <v>2</v>
          </cell>
          <cell r="AO46">
            <v>0</v>
          </cell>
          <cell r="AY46">
            <v>0</v>
          </cell>
          <cell r="BI46">
            <v>0</v>
          </cell>
          <cell r="BS46">
            <v>0</v>
          </cell>
          <cell r="CW46">
            <v>0</v>
          </cell>
          <cell r="DQ46">
            <v>0</v>
          </cell>
        </row>
        <row r="47">
          <cell r="DQ47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KVEVJWAHG4ZNFZUEEIU3IJEA2L">
      <xxl21:absoluteUrl r:id="rId2"/>
      <xxl21:relativeUrl r:id="rId3"/>
    </xxl21:alternateUrls>
    <sheetNames>
      <sheetName val="TEACHER LIST"/>
      <sheetName val="MASTER 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/>
      <sheetData sheetId="1">
        <row r="38">
          <cell r="J38">
            <v>0</v>
          </cell>
          <cell r="T38">
            <v>11</v>
          </cell>
          <cell r="AE38">
            <v>4</v>
          </cell>
          <cell r="AO38">
            <v>5</v>
          </cell>
          <cell r="AY38">
            <v>0</v>
          </cell>
          <cell r="BI38">
            <v>0</v>
          </cell>
          <cell r="BS38">
            <v>3</v>
          </cell>
          <cell r="CW38">
            <v>2</v>
          </cell>
        </row>
        <row r="39">
          <cell r="T39">
            <v>6</v>
          </cell>
          <cell r="AE39">
            <v>2</v>
          </cell>
          <cell r="AO39">
            <v>5</v>
          </cell>
          <cell r="AY39">
            <v>1</v>
          </cell>
          <cell r="BI39">
            <v>3</v>
          </cell>
          <cell r="BS39">
            <v>6</v>
          </cell>
          <cell r="CW39">
            <v>6</v>
          </cell>
          <cell r="DQ39">
            <v>0</v>
          </cell>
        </row>
        <row r="40">
          <cell r="T40">
            <v>2</v>
          </cell>
          <cell r="AE40">
            <v>3</v>
          </cell>
          <cell r="AO40">
            <v>3</v>
          </cell>
          <cell r="AY40">
            <v>0</v>
          </cell>
          <cell r="BI40">
            <v>0</v>
          </cell>
          <cell r="BS40">
            <v>5</v>
          </cell>
          <cell r="CW40">
            <v>1</v>
          </cell>
          <cell r="DQ40">
            <v>7</v>
          </cell>
        </row>
        <row r="41">
          <cell r="T41">
            <v>1</v>
          </cell>
          <cell r="AE41">
            <v>1</v>
          </cell>
          <cell r="AO41">
            <v>3</v>
          </cell>
          <cell r="AY41">
            <v>1</v>
          </cell>
          <cell r="BI41">
            <v>0</v>
          </cell>
          <cell r="BS41">
            <v>2</v>
          </cell>
          <cell r="CW41">
            <v>2</v>
          </cell>
          <cell r="DQ41">
            <v>6</v>
          </cell>
        </row>
        <row r="42">
          <cell r="T42">
            <v>0</v>
          </cell>
          <cell r="AE42">
            <v>3</v>
          </cell>
          <cell r="AO42">
            <v>2</v>
          </cell>
          <cell r="AY42">
            <v>0</v>
          </cell>
          <cell r="BI42">
            <v>3</v>
          </cell>
          <cell r="BS42">
            <v>0</v>
          </cell>
          <cell r="CW42">
            <v>3</v>
          </cell>
          <cell r="DQ42">
            <v>4</v>
          </cell>
        </row>
        <row r="43">
          <cell r="T43">
            <v>0</v>
          </cell>
          <cell r="AE43">
            <v>1</v>
          </cell>
          <cell r="AO43">
            <v>1</v>
          </cell>
          <cell r="AY43">
            <v>4</v>
          </cell>
          <cell r="BI43">
            <v>8</v>
          </cell>
          <cell r="BS43">
            <v>3</v>
          </cell>
          <cell r="CW43">
            <v>3</v>
          </cell>
          <cell r="DQ43">
            <v>3</v>
          </cell>
        </row>
        <row r="44">
          <cell r="T44">
            <v>1</v>
          </cell>
          <cell r="AE44">
            <v>1</v>
          </cell>
          <cell r="AO44">
            <v>1</v>
          </cell>
          <cell r="AY44">
            <v>5</v>
          </cell>
          <cell r="BI44">
            <v>6</v>
          </cell>
          <cell r="BS44">
            <v>2</v>
          </cell>
          <cell r="CW44">
            <v>2</v>
          </cell>
        </row>
        <row r="45">
          <cell r="T45">
            <v>0</v>
          </cell>
          <cell r="AE45">
            <v>1</v>
          </cell>
          <cell r="AO45">
            <v>1</v>
          </cell>
          <cell r="AY45">
            <v>8</v>
          </cell>
          <cell r="BI45">
            <v>1</v>
          </cell>
          <cell r="CW45">
            <v>1</v>
          </cell>
          <cell r="DQ45">
            <v>0</v>
          </cell>
        </row>
        <row r="46">
          <cell r="T46">
            <v>0</v>
          </cell>
          <cell r="AE46">
            <v>4</v>
          </cell>
          <cell r="AY46">
            <v>2</v>
          </cell>
          <cell r="BI46">
            <v>0</v>
          </cell>
          <cell r="BS46">
            <v>0</v>
          </cell>
          <cell r="CW46">
            <v>1</v>
          </cell>
          <cell r="DQ46">
            <v>0</v>
          </cell>
        </row>
        <row r="47">
          <cell r="DQ47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IZ77YC56RCGBA226MDCV6GNMCD">
      <xxl21:absoluteUrl r:id="rId2"/>
      <xxl21:relativeUrl r:id="rId3"/>
    </xxl21:alternateUrls>
    <sheetNames>
      <sheetName val="TEACHER LIST"/>
      <sheetName val="MASTER 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/>
      <sheetData sheetId="1">
        <row r="38">
          <cell r="J38">
            <v>0</v>
          </cell>
          <cell r="T38">
            <v>16</v>
          </cell>
          <cell r="AE38">
            <v>4</v>
          </cell>
          <cell r="AO38">
            <v>4</v>
          </cell>
          <cell r="AY38">
            <v>0</v>
          </cell>
          <cell r="BI38">
            <v>2</v>
          </cell>
          <cell r="BS38">
            <v>2</v>
          </cell>
          <cell r="CW38">
            <v>1</v>
          </cell>
        </row>
        <row r="39">
          <cell r="J39">
            <v>0</v>
          </cell>
          <cell r="T39">
            <v>8</v>
          </cell>
          <cell r="AE39">
            <v>6</v>
          </cell>
          <cell r="AO39">
            <v>6</v>
          </cell>
          <cell r="AY39">
            <v>0</v>
          </cell>
          <cell r="BI39">
            <v>9</v>
          </cell>
          <cell r="BS39">
            <v>10</v>
          </cell>
          <cell r="CW39">
            <v>2</v>
          </cell>
          <cell r="DQ39">
            <v>2</v>
          </cell>
        </row>
        <row r="40">
          <cell r="J40">
            <v>0</v>
          </cell>
          <cell r="T40">
            <v>0</v>
          </cell>
          <cell r="AE40">
            <v>2</v>
          </cell>
          <cell r="AO40">
            <v>1</v>
          </cell>
          <cell r="AY40">
            <v>1</v>
          </cell>
          <cell r="BI40">
            <v>6</v>
          </cell>
          <cell r="BS40">
            <v>5</v>
          </cell>
          <cell r="CW40">
            <v>1</v>
          </cell>
          <cell r="DQ40">
            <v>6</v>
          </cell>
        </row>
        <row r="41">
          <cell r="J41">
            <v>1</v>
          </cell>
          <cell r="T41">
            <v>2</v>
          </cell>
          <cell r="AE41">
            <v>3</v>
          </cell>
          <cell r="AO41">
            <v>3</v>
          </cell>
          <cell r="AY41">
            <v>0</v>
          </cell>
          <cell r="BI41">
            <v>2</v>
          </cell>
          <cell r="BS41">
            <v>4</v>
          </cell>
          <cell r="CW41">
            <v>4</v>
          </cell>
          <cell r="DQ41">
            <v>6</v>
          </cell>
        </row>
        <row r="42">
          <cell r="J42">
            <v>9</v>
          </cell>
          <cell r="T42">
            <v>1</v>
          </cell>
          <cell r="AE42">
            <v>5</v>
          </cell>
          <cell r="AO42">
            <v>4</v>
          </cell>
          <cell r="AY42">
            <v>0</v>
          </cell>
          <cell r="BI42">
            <v>3</v>
          </cell>
          <cell r="BS42">
            <v>5</v>
          </cell>
          <cell r="CW42">
            <v>2</v>
          </cell>
          <cell r="DQ42">
            <v>4</v>
          </cell>
        </row>
        <row r="43">
          <cell r="J43">
            <v>6</v>
          </cell>
          <cell r="T43">
            <v>0</v>
          </cell>
          <cell r="AE43">
            <v>2</v>
          </cell>
          <cell r="AO43">
            <v>1</v>
          </cell>
          <cell r="AY43">
            <v>2</v>
          </cell>
          <cell r="BI43">
            <v>2</v>
          </cell>
          <cell r="BS43">
            <v>0</v>
          </cell>
          <cell r="CW43">
            <v>2</v>
          </cell>
          <cell r="DQ43">
            <v>8</v>
          </cell>
        </row>
        <row r="44">
          <cell r="J44">
            <v>10</v>
          </cell>
          <cell r="T44">
            <v>0</v>
          </cell>
          <cell r="AE44">
            <v>3</v>
          </cell>
          <cell r="AO44">
            <v>6</v>
          </cell>
          <cell r="AY44">
            <v>8</v>
          </cell>
          <cell r="BI44">
            <v>2</v>
          </cell>
          <cell r="BS44">
            <v>0</v>
          </cell>
          <cell r="CW44">
            <v>7</v>
          </cell>
          <cell r="DQ44">
            <v>1</v>
          </cell>
        </row>
        <row r="45">
          <cell r="J45">
            <v>1</v>
          </cell>
          <cell r="T45">
            <v>0</v>
          </cell>
          <cell r="AE45">
            <v>2</v>
          </cell>
          <cell r="AO45">
            <v>1</v>
          </cell>
          <cell r="AY45">
            <v>10</v>
          </cell>
          <cell r="BI45">
            <v>1</v>
          </cell>
          <cell r="CW45">
            <v>2</v>
          </cell>
          <cell r="DQ45">
            <v>0</v>
          </cell>
        </row>
        <row r="46">
          <cell r="J46">
            <v>0</v>
          </cell>
          <cell r="T46">
            <v>0</v>
          </cell>
          <cell r="AE46">
            <v>0</v>
          </cell>
          <cell r="AO46">
            <v>1</v>
          </cell>
          <cell r="AY46">
            <v>6</v>
          </cell>
          <cell r="BI46">
            <v>0</v>
          </cell>
          <cell r="BS46">
            <v>0</v>
          </cell>
          <cell r="CW46">
            <v>6</v>
          </cell>
          <cell r="DQ46">
            <v>0</v>
          </cell>
        </row>
        <row r="47">
          <cell r="DQ47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 "/>
      <sheetName val="TEACHER LIST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>
        <row r="38">
          <cell r="J38">
            <v>0</v>
          </cell>
          <cell r="T38">
            <v>14</v>
          </cell>
          <cell r="AE38">
            <v>1</v>
          </cell>
          <cell r="AO38">
            <v>11</v>
          </cell>
          <cell r="AY38">
            <v>0</v>
          </cell>
          <cell r="BI38">
            <v>0</v>
          </cell>
          <cell r="BS38">
            <v>1</v>
          </cell>
          <cell r="CW38">
            <v>0</v>
          </cell>
        </row>
        <row r="39">
          <cell r="J39">
            <v>1</v>
          </cell>
          <cell r="T39">
            <v>6</v>
          </cell>
          <cell r="AE39">
            <v>0</v>
          </cell>
          <cell r="AO39">
            <v>7</v>
          </cell>
          <cell r="AY39">
            <v>0</v>
          </cell>
          <cell r="BI39">
            <v>3</v>
          </cell>
          <cell r="BS39">
            <v>4</v>
          </cell>
          <cell r="CW39">
            <v>4</v>
          </cell>
          <cell r="DQ39">
            <v>0</v>
          </cell>
        </row>
        <row r="40">
          <cell r="J40">
            <v>2</v>
          </cell>
          <cell r="T40">
            <v>4</v>
          </cell>
          <cell r="AE40">
            <v>2</v>
          </cell>
          <cell r="AO40">
            <v>0</v>
          </cell>
          <cell r="AY40">
            <v>0</v>
          </cell>
          <cell r="BI40">
            <v>1</v>
          </cell>
          <cell r="BS40">
            <v>3</v>
          </cell>
          <cell r="CW40">
            <v>0</v>
          </cell>
          <cell r="DQ40">
            <v>3</v>
          </cell>
        </row>
        <row r="41">
          <cell r="J41">
            <v>6</v>
          </cell>
          <cell r="T41">
            <v>1</v>
          </cell>
          <cell r="AE41">
            <v>1</v>
          </cell>
          <cell r="AO41">
            <v>5</v>
          </cell>
          <cell r="AY41">
            <v>0</v>
          </cell>
          <cell r="BI41">
            <v>2</v>
          </cell>
          <cell r="BS41">
            <v>6</v>
          </cell>
          <cell r="CW41">
            <v>3</v>
          </cell>
          <cell r="DQ41">
            <v>9</v>
          </cell>
        </row>
        <row r="42">
          <cell r="J42">
            <v>6</v>
          </cell>
          <cell r="T42">
            <v>0</v>
          </cell>
          <cell r="AE42">
            <v>2</v>
          </cell>
          <cell r="AO42">
            <v>1</v>
          </cell>
          <cell r="AY42">
            <v>1</v>
          </cell>
          <cell r="BI42">
            <v>4</v>
          </cell>
          <cell r="BS42">
            <v>5</v>
          </cell>
          <cell r="CW42">
            <v>3</v>
          </cell>
          <cell r="DQ42">
            <v>8</v>
          </cell>
        </row>
        <row r="43">
          <cell r="J43">
            <v>6</v>
          </cell>
          <cell r="T43">
            <v>1</v>
          </cell>
          <cell r="AE43">
            <v>2</v>
          </cell>
          <cell r="AO43">
            <v>0</v>
          </cell>
          <cell r="AY43">
            <v>3</v>
          </cell>
          <cell r="BI43">
            <v>3</v>
          </cell>
          <cell r="BS43">
            <v>2</v>
          </cell>
          <cell r="CW43">
            <v>5</v>
          </cell>
          <cell r="DQ43">
            <v>2</v>
          </cell>
        </row>
        <row r="44">
          <cell r="J44">
            <v>3</v>
          </cell>
          <cell r="T44">
            <v>0</v>
          </cell>
          <cell r="AE44">
            <v>4</v>
          </cell>
          <cell r="AO44">
            <v>2</v>
          </cell>
          <cell r="AY44">
            <v>9</v>
          </cell>
          <cell r="BI44">
            <v>11</v>
          </cell>
          <cell r="BS44">
            <v>4</v>
          </cell>
          <cell r="CW44">
            <v>4</v>
          </cell>
          <cell r="DQ44">
            <v>2</v>
          </cell>
        </row>
        <row r="45">
          <cell r="J45">
            <v>1</v>
          </cell>
          <cell r="T45">
            <v>0</v>
          </cell>
          <cell r="AE45">
            <v>10</v>
          </cell>
          <cell r="AO45">
            <v>0</v>
          </cell>
          <cell r="AY45">
            <v>9</v>
          </cell>
          <cell r="BI45">
            <v>2</v>
          </cell>
          <cell r="CW45">
            <v>5</v>
          </cell>
          <cell r="DQ45">
            <v>1</v>
          </cell>
        </row>
        <row r="46">
          <cell r="J46">
            <v>1</v>
          </cell>
          <cell r="T46">
            <v>0</v>
          </cell>
          <cell r="AE46">
            <v>4</v>
          </cell>
          <cell r="AO46">
            <v>0</v>
          </cell>
          <cell r="AY46">
            <v>4</v>
          </cell>
          <cell r="BI46">
            <v>0</v>
          </cell>
          <cell r="BS46">
            <v>0</v>
          </cell>
          <cell r="CW46">
            <v>2</v>
          </cell>
          <cell r="DQ46">
            <v>1</v>
          </cell>
        </row>
        <row r="47">
          <cell r="DQ4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 "/>
      <sheetName val="TEACHER LIST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>
        <row r="38">
          <cell r="J38">
            <v>0</v>
          </cell>
          <cell r="T38">
            <v>0</v>
          </cell>
          <cell r="AE38">
            <v>0</v>
          </cell>
          <cell r="AO38">
            <v>5</v>
          </cell>
          <cell r="AY38">
            <v>0</v>
          </cell>
          <cell r="BI38">
            <v>2</v>
          </cell>
          <cell r="BS38">
            <v>0</v>
          </cell>
          <cell r="CW38">
            <v>0</v>
          </cell>
        </row>
        <row r="39">
          <cell r="J39">
            <v>0</v>
          </cell>
          <cell r="T39">
            <v>9</v>
          </cell>
          <cell r="AE39">
            <v>1</v>
          </cell>
          <cell r="AO39">
            <v>3</v>
          </cell>
          <cell r="AY39">
            <v>0</v>
          </cell>
          <cell r="BI39">
            <v>8</v>
          </cell>
          <cell r="BS39">
            <v>9</v>
          </cell>
          <cell r="CW39">
            <v>0</v>
          </cell>
          <cell r="DQ39">
            <v>0</v>
          </cell>
        </row>
        <row r="40">
          <cell r="J40">
            <v>5</v>
          </cell>
          <cell r="T40">
            <v>4</v>
          </cell>
          <cell r="AE40">
            <v>0</v>
          </cell>
          <cell r="AO40">
            <v>0</v>
          </cell>
          <cell r="AY40">
            <v>0</v>
          </cell>
          <cell r="BI40">
            <v>2</v>
          </cell>
          <cell r="BS40">
            <v>1</v>
          </cell>
          <cell r="CW40">
            <v>0</v>
          </cell>
          <cell r="DQ40">
            <v>1</v>
          </cell>
        </row>
        <row r="41">
          <cell r="J41">
            <v>4</v>
          </cell>
          <cell r="T41">
            <v>5</v>
          </cell>
          <cell r="AE41">
            <v>0</v>
          </cell>
          <cell r="AO41">
            <v>3</v>
          </cell>
          <cell r="AY41">
            <v>0</v>
          </cell>
          <cell r="BI41">
            <v>4</v>
          </cell>
          <cell r="BS41">
            <v>5</v>
          </cell>
          <cell r="CW41">
            <v>0</v>
          </cell>
          <cell r="DQ41">
            <v>2</v>
          </cell>
        </row>
        <row r="42">
          <cell r="J42">
            <v>3</v>
          </cell>
          <cell r="T42">
            <v>1</v>
          </cell>
          <cell r="AE42">
            <v>1</v>
          </cell>
          <cell r="AO42">
            <v>3</v>
          </cell>
          <cell r="AY42">
            <v>0</v>
          </cell>
          <cell r="BI42">
            <v>3</v>
          </cell>
          <cell r="BS42">
            <v>2</v>
          </cell>
          <cell r="CW42">
            <v>2</v>
          </cell>
          <cell r="DQ42">
            <v>11</v>
          </cell>
        </row>
        <row r="43">
          <cell r="J43">
            <v>6</v>
          </cell>
          <cell r="T43">
            <v>4</v>
          </cell>
          <cell r="AE43">
            <v>3</v>
          </cell>
          <cell r="AO43">
            <v>2</v>
          </cell>
          <cell r="AY43">
            <v>0</v>
          </cell>
          <cell r="BI43">
            <v>0</v>
          </cell>
          <cell r="BS43">
            <v>6</v>
          </cell>
          <cell r="CW43">
            <v>0</v>
          </cell>
          <cell r="DQ43">
            <v>6</v>
          </cell>
        </row>
        <row r="44">
          <cell r="J44">
            <v>6</v>
          </cell>
          <cell r="T44">
            <v>1</v>
          </cell>
          <cell r="AE44">
            <v>7</v>
          </cell>
          <cell r="AO44">
            <v>2</v>
          </cell>
          <cell r="AY44">
            <v>7</v>
          </cell>
          <cell r="BI44">
            <v>5</v>
          </cell>
          <cell r="BS44">
            <v>0</v>
          </cell>
          <cell r="CW44">
            <v>3</v>
          </cell>
          <cell r="DQ44">
            <v>2</v>
          </cell>
        </row>
        <row r="45">
          <cell r="J45">
            <v>0</v>
          </cell>
          <cell r="T45">
            <v>0</v>
          </cell>
          <cell r="AE45">
            <v>3</v>
          </cell>
          <cell r="AO45">
            <v>1</v>
          </cell>
          <cell r="AY45">
            <v>7</v>
          </cell>
          <cell r="BI45">
            <v>0</v>
          </cell>
          <cell r="CW45">
            <v>8</v>
          </cell>
          <cell r="DQ45">
            <v>1</v>
          </cell>
        </row>
        <row r="46">
          <cell r="J46">
            <v>0</v>
          </cell>
          <cell r="T46">
            <v>0</v>
          </cell>
          <cell r="AE46">
            <v>9</v>
          </cell>
          <cell r="AO46">
            <v>5</v>
          </cell>
          <cell r="AY46">
            <v>10</v>
          </cell>
          <cell r="BI46">
            <v>0</v>
          </cell>
          <cell r="BS46">
            <v>0</v>
          </cell>
          <cell r="CW46">
            <v>11</v>
          </cell>
          <cell r="DQ46">
            <v>0</v>
          </cell>
        </row>
        <row r="47">
          <cell r="DQ47">
            <v>1</v>
          </cell>
        </row>
        <row r="48">
          <cell r="J48">
            <v>18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KZXOFSFWMASRCZHLX2DAUWKQOJ">
      <xxl21:absoluteUrl r:id="rId2"/>
      <xxl21:relativeUrl r:id="rId3"/>
    </xxl21:alternateUrls>
    <sheetNames>
      <sheetName val="TEACHER LIST"/>
      <sheetName val="MASTER "/>
      <sheetName val="S1"/>
      <sheetName val="S2"/>
      <sheetName val="S3"/>
      <sheetName val="S4"/>
      <sheetName val="S5"/>
      <sheetName val="S6"/>
      <sheetName val="S7"/>
      <sheetName val="S9"/>
      <sheetName val="S10"/>
      <sheetName val="S11"/>
      <sheetName val="S12"/>
      <sheetName val="S13"/>
      <sheetName val="S8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/>
      <sheetData sheetId="1">
        <row r="38">
          <cell r="J38">
            <v>0</v>
          </cell>
          <cell r="T38">
            <v>2</v>
          </cell>
          <cell r="AE38">
            <v>1</v>
          </cell>
          <cell r="AO38">
            <v>3</v>
          </cell>
          <cell r="AY38">
            <v>0</v>
          </cell>
          <cell r="BI38">
            <v>0</v>
          </cell>
          <cell r="BS38">
            <v>3</v>
          </cell>
        </row>
        <row r="39">
          <cell r="J39">
            <v>0</v>
          </cell>
          <cell r="T39">
            <v>6</v>
          </cell>
          <cell r="AE39">
            <v>1</v>
          </cell>
          <cell r="AO39">
            <v>11</v>
          </cell>
          <cell r="AY39">
            <v>0</v>
          </cell>
          <cell r="BI39">
            <v>6</v>
          </cell>
          <cell r="BS39">
            <v>4</v>
          </cell>
          <cell r="DQ39">
            <v>0</v>
          </cell>
        </row>
        <row r="40">
          <cell r="J40">
            <v>0</v>
          </cell>
          <cell r="T40">
            <v>3</v>
          </cell>
          <cell r="AE40">
            <v>2</v>
          </cell>
          <cell r="AO40">
            <v>1</v>
          </cell>
          <cell r="AY40">
            <v>0</v>
          </cell>
          <cell r="BI40">
            <v>1</v>
          </cell>
          <cell r="BS40">
            <v>5</v>
          </cell>
          <cell r="DQ40">
            <v>0</v>
          </cell>
        </row>
        <row r="41">
          <cell r="J41">
            <v>0</v>
          </cell>
          <cell r="T41">
            <v>1</v>
          </cell>
          <cell r="AE41">
            <v>3</v>
          </cell>
          <cell r="AO41">
            <v>2</v>
          </cell>
          <cell r="AY41">
            <v>0</v>
          </cell>
          <cell r="BI41">
            <v>2</v>
          </cell>
          <cell r="BS41">
            <v>1</v>
          </cell>
          <cell r="DQ41">
            <v>0</v>
          </cell>
        </row>
        <row r="42">
          <cell r="J42">
            <v>0</v>
          </cell>
          <cell r="T42">
            <v>1</v>
          </cell>
          <cell r="AE42">
            <v>3</v>
          </cell>
          <cell r="AO42">
            <v>1</v>
          </cell>
          <cell r="AY42">
            <v>0</v>
          </cell>
          <cell r="BI42">
            <v>3</v>
          </cell>
          <cell r="BS42">
            <v>3</v>
          </cell>
          <cell r="DQ42">
            <v>6</v>
          </cell>
        </row>
        <row r="43">
          <cell r="J43">
            <v>3</v>
          </cell>
          <cell r="T43">
            <v>2</v>
          </cell>
          <cell r="AE43">
            <v>4</v>
          </cell>
          <cell r="AO43">
            <v>1</v>
          </cell>
          <cell r="AY43">
            <v>0</v>
          </cell>
          <cell r="BI43">
            <v>4</v>
          </cell>
          <cell r="BS43">
            <v>2</v>
          </cell>
          <cell r="DQ43">
            <v>10</v>
          </cell>
        </row>
        <row r="44">
          <cell r="J44">
            <v>12</v>
          </cell>
          <cell r="T44">
            <v>6</v>
          </cell>
          <cell r="AE44">
            <v>3</v>
          </cell>
          <cell r="AO44">
            <v>1</v>
          </cell>
          <cell r="AY44">
            <v>1</v>
          </cell>
          <cell r="BI44">
            <v>5</v>
          </cell>
          <cell r="BS44">
            <v>2</v>
          </cell>
          <cell r="DQ44">
            <v>3</v>
          </cell>
        </row>
        <row r="45">
          <cell r="J45">
            <v>4</v>
          </cell>
          <cell r="T45">
            <v>0</v>
          </cell>
          <cell r="AE45">
            <v>2</v>
          </cell>
          <cell r="AO45">
            <v>2</v>
          </cell>
          <cell r="AY45">
            <v>8</v>
          </cell>
          <cell r="BI45">
            <v>0</v>
          </cell>
          <cell r="DQ45">
            <v>2</v>
          </cell>
        </row>
        <row r="46">
          <cell r="J46">
            <v>2</v>
          </cell>
          <cell r="T46">
            <v>1</v>
          </cell>
          <cell r="AE46">
            <v>2</v>
          </cell>
          <cell r="AO46">
            <v>1</v>
          </cell>
          <cell r="AY46">
            <v>12</v>
          </cell>
          <cell r="BI46">
            <v>0</v>
          </cell>
          <cell r="BS46">
            <v>2</v>
          </cell>
          <cell r="DQ46">
            <v>2</v>
          </cell>
        </row>
        <row r="47">
          <cell r="DQ47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JYKMWO5ZYP5ZAZQIOTCII5LB3X">
      <xxl21:absoluteUrl r:id="rId2"/>
      <xxl21:relativeUrl r:id="rId3"/>
    </xxl21:alternateUrls>
    <sheetNames>
      <sheetName val="TEACHER LIST"/>
      <sheetName val="MASTER 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/>
      <sheetData sheetId="1">
        <row r="4">
          <cell r="J4"/>
        </row>
        <row r="5">
          <cell r="J5" t="str">
            <v>TOPICAL TEST</v>
          </cell>
        </row>
        <row r="6">
          <cell r="J6">
            <v>1</v>
          </cell>
        </row>
        <row r="7">
          <cell r="J7">
            <v>80</v>
          </cell>
        </row>
        <row r="8">
          <cell r="J8">
            <v>60</v>
          </cell>
        </row>
        <row r="9">
          <cell r="J9">
            <v>65</v>
          </cell>
        </row>
        <row r="10">
          <cell r="J10">
            <v>50</v>
          </cell>
        </row>
        <row r="11">
          <cell r="J11">
            <v>45</v>
          </cell>
        </row>
        <row r="12">
          <cell r="J12">
            <v>80</v>
          </cell>
        </row>
        <row r="13">
          <cell r="J13">
            <v>50</v>
          </cell>
        </row>
        <row r="14">
          <cell r="J14">
            <v>90</v>
          </cell>
        </row>
        <row r="15">
          <cell r="J15">
            <v>55</v>
          </cell>
        </row>
        <row r="16">
          <cell r="J16">
            <v>70</v>
          </cell>
        </row>
        <row r="17">
          <cell r="J17">
            <v>80</v>
          </cell>
        </row>
        <row r="18">
          <cell r="J18">
            <v>50</v>
          </cell>
        </row>
        <row r="19">
          <cell r="J19">
            <v>25</v>
          </cell>
        </row>
        <row r="20">
          <cell r="J20">
            <v>55</v>
          </cell>
        </row>
        <row r="21">
          <cell r="J21">
            <v>40</v>
          </cell>
        </row>
        <row r="22">
          <cell r="J22">
            <v>70</v>
          </cell>
        </row>
        <row r="23">
          <cell r="J23">
            <v>15</v>
          </cell>
        </row>
        <row r="24">
          <cell r="J24">
            <v>55</v>
          </cell>
        </row>
        <row r="25">
          <cell r="J25">
            <v>25</v>
          </cell>
        </row>
        <row r="26">
          <cell r="J26"/>
        </row>
        <row r="27">
          <cell r="J27"/>
        </row>
        <row r="28">
          <cell r="J28"/>
        </row>
        <row r="29">
          <cell r="J29"/>
        </row>
        <row r="30">
          <cell r="J30"/>
        </row>
        <row r="31">
          <cell r="J31"/>
        </row>
        <row r="32">
          <cell r="J32"/>
        </row>
        <row r="33">
          <cell r="J33"/>
        </row>
        <row r="34">
          <cell r="J34"/>
        </row>
        <row r="35">
          <cell r="J35"/>
        </row>
        <row r="37">
          <cell r="J37"/>
        </row>
        <row r="38">
          <cell r="J38">
            <v>0</v>
          </cell>
          <cell r="T38">
            <v>4</v>
          </cell>
          <cell r="AE38">
            <v>0</v>
          </cell>
          <cell r="AO38">
            <v>0</v>
          </cell>
          <cell r="AY38">
            <v>0</v>
          </cell>
          <cell r="BI38">
            <v>0</v>
          </cell>
          <cell r="BS38">
            <v>1</v>
          </cell>
        </row>
        <row r="39">
          <cell r="J39">
            <v>0</v>
          </cell>
          <cell r="T39">
            <v>2</v>
          </cell>
          <cell r="AE39">
            <v>0</v>
          </cell>
          <cell r="AO39">
            <v>1</v>
          </cell>
          <cell r="AY39">
            <v>0</v>
          </cell>
          <cell r="BI39">
            <v>0</v>
          </cell>
          <cell r="BS39">
            <v>2</v>
          </cell>
          <cell r="DQ39">
            <v>0</v>
          </cell>
        </row>
        <row r="40">
          <cell r="J40">
            <v>0</v>
          </cell>
          <cell r="T40">
            <v>1</v>
          </cell>
          <cell r="AE40">
            <v>0</v>
          </cell>
          <cell r="AO40">
            <v>1</v>
          </cell>
          <cell r="AY40">
            <v>1</v>
          </cell>
          <cell r="BI40">
            <v>2</v>
          </cell>
          <cell r="BS40">
            <v>0</v>
          </cell>
          <cell r="DQ40">
            <v>0</v>
          </cell>
        </row>
        <row r="41">
          <cell r="J41">
            <v>2</v>
          </cell>
          <cell r="T41">
            <v>1</v>
          </cell>
          <cell r="AE41">
            <v>0</v>
          </cell>
          <cell r="AO41">
            <v>1</v>
          </cell>
          <cell r="AY41">
            <v>0</v>
          </cell>
          <cell r="BI41">
            <v>0</v>
          </cell>
          <cell r="BS41">
            <v>1</v>
          </cell>
          <cell r="DQ41">
            <v>0</v>
          </cell>
        </row>
        <row r="42">
          <cell r="J42">
            <v>1</v>
          </cell>
          <cell r="T42">
            <v>2</v>
          </cell>
          <cell r="AE42">
            <v>1</v>
          </cell>
          <cell r="AO42">
            <v>0</v>
          </cell>
          <cell r="AY42">
            <v>0</v>
          </cell>
          <cell r="BI42">
            <v>0</v>
          </cell>
          <cell r="BS42">
            <v>3</v>
          </cell>
          <cell r="DQ42">
            <v>0</v>
          </cell>
        </row>
        <row r="43">
          <cell r="J43">
            <v>0</v>
          </cell>
          <cell r="T43">
            <v>3</v>
          </cell>
          <cell r="AE43">
            <v>0</v>
          </cell>
          <cell r="AO43">
            <v>0</v>
          </cell>
          <cell r="AY43">
            <v>0</v>
          </cell>
          <cell r="BI43">
            <v>0</v>
          </cell>
          <cell r="BS43">
            <v>2</v>
          </cell>
          <cell r="DQ43">
            <v>3</v>
          </cell>
        </row>
        <row r="44">
          <cell r="J44">
            <v>5</v>
          </cell>
          <cell r="T44">
            <v>1</v>
          </cell>
          <cell r="AE44">
            <v>1</v>
          </cell>
          <cell r="AO44">
            <v>4</v>
          </cell>
          <cell r="AY44">
            <v>0</v>
          </cell>
          <cell r="BI44">
            <v>5</v>
          </cell>
          <cell r="BS44">
            <v>3</v>
          </cell>
          <cell r="DQ44">
            <v>0</v>
          </cell>
        </row>
        <row r="45">
          <cell r="J45">
            <v>8</v>
          </cell>
          <cell r="T45">
            <v>3</v>
          </cell>
          <cell r="AE45">
            <v>0</v>
          </cell>
          <cell r="AO45">
            <v>3</v>
          </cell>
          <cell r="AY45">
            <v>1</v>
          </cell>
          <cell r="BI45">
            <v>3</v>
          </cell>
          <cell r="DQ45">
            <v>7</v>
          </cell>
        </row>
        <row r="46">
          <cell r="J46">
            <v>3</v>
          </cell>
          <cell r="T46">
            <v>2</v>
          </cell>
          <cell r="AE46">
            <v>17</v>
          </cell>
          <cell r="AO46">
            <v>9</v>
          </cell>
          <cell r="AY46">
            <v>17</v>
          </cell>
          <cell r="BI46">
            <v>9</v>
          </cell>
          <cell r="BS46">
            <v>6</v>
          </cell>
          <cell r="DQ46">
            <v>6</v>
          </cell>
        </row>
        <row r="47">
          <cell r="DQ47">
            <v>3</v>
          </cell>
        </row>
        <row r="48">
          <cell r="J4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3"/>
  <sheetViews>
    <sheetView view="pageLayout" topLeftCell="A87" zoomScale="60" zoomScaleNormal="100" zoomScaleSheetLayoutView="100" zoomScalePageLayoutView="60" workbookViewId="0">
      <selection activeCell="D105" sqref="D105"/>
    </sheetView>
  </sheetViews>
  <sheetFormatPr defaultColWidth="8.42578125" defaultRowHeight="12.95"/>
  <cols>
    <col min="1" max="1" width="8.7109375" style="46" customWidth="1"/>
    <col min="2" max="2" width="25.42578125" style="46" customWidth="1"/>
    <col min="3" max="3" width="9.42578125" style="46" customWidth="1"/>
    <col min="4" max="5" width="6.42578125" style="46" customWidth="1"/>
    <col min="6" max="6" width="6.85546875" style="46" customWidth="1"/>
    <col min="7" max="7" width="6.42578125" style="46" customWidth="1"/>
    <col min="8" max="12" width="6.85546875" style="46" customWidth="1"/>
    <col min="13" max="13" width="7.85546875" style="46" customWidth="1"/>
    <col min="14" max="14" width="8.7109375" style="46" customWidth="1"/>
    <col min="15" max="15" width="7.85546875" style="46" customWidth="1"/>
    <col min="16" max="16" width="11.140625" style="46" bestFit="1" customWidth="1"/>
    <col min="17" max="16384" width="8.42578125" style="46"/>
  </cols>
  <sheetData>
    <row r="1" spans="1:16" ht="15">
      <c r="A1" s="45" t="s">
        <v>0</v>
      </c>
    </row>
    <row r="2" spans="1:16" s="48" customFormat="1" ht="14.25" customHeight="1">
      <c r="A2" s="46"/>
      <c r="B2" s="46"/>
      <c r="C2" s="46"/>
      <c r="D2" s="157" t="s">
        <v>1</v>
      </c>
      <c r="E2" s="158"/>
      <c r="F2" s="157" t="s">
        <v>2</v>
      </c>
      <c r="G2" s="162"/>
      <c r="H2" s="162"/>
      <c r="I2" s="158"/>
      <c r="J2" s="160" t="s">
        <v>3</v>
      </c>
      <c r="K2" s="161"/>
      <c r="L2" s="83" t="s">
        <v>4</v>
      </c>
      <c r="M2" s="46"/>
      <c r="N2" s="46"/>
      <c r="O2" s="46"/>
      <c r="P2" s="46"/>
    </row>
    <row r="3" spans="1:16" ht="27.95">
      <c r="A3" s="81" t="s">
        <v>5</v>
      </c>
      <c r="B3" s="81" t="s">
        <v>6</v>
      </c>
      <c r="C3" s="81" t="s">
        <v>7</v>
      </c>
      <c r="D3" s="81" t="s">
        <v>8</v>
      </c>
      <c r="E3" s="81" t="s">
        <v>9</v>
      </c>
      <c r="F3" s="81" t="s">
        <v>10</v>
      </c>
      <c r="G3" s="81" t="s">
        <v>11</v>
      </c>
      <c r="H3" s="81" t="s">
        <v>12</v>
      </c>
      <c r="I3" s="81" t="s">
        <v>13</v>
      </c>
      <c r="J3" s="81" t="s">
        <v>14</v>
      </c>
      <c r="K3" s="81" t="s">
        <v>15</v>
      </c>
      <c r="L3" s="81" t="s">
        <v>16</v>
      </c>
      <c r="M3" s="82" t="s">
        <v>17</v>
      </c>
      <c r="N3" s="82" t="s">
        <v>18</v>
      </c>
      <c r="O3" s="82" t="s">
        <v>19</v>
      </c>
      <c r="P3" s="82" t="s">
        <v>20</v>
      </c>
    </row>
    <row r="4" spans="1:16">
      <c r="A4" s="47" t="s">
        <v>21</v>
      </c>
      <c r="B4" s="49" t="s">
        <v>22</v>
      </c>
      <c r="C4" s="49">
        <f>SUM(D4:L4)</f>
        <v>23</v>
      </c>
      <c r="D4" s="49">
        <f>'[1]MASTER '!$J$38</f>
        <v>0</v>
      </c>
      <c r="E4" s="49">
        <f>'[1]MASTER '!$J$39</f>
        <v>2</v>
      </c>
      <c r="F4" s="49">
        <f>'[1]MASTER '!$J$40</f>
        <v>4</v>
      </c>
      <c r="G4" s="49">
        <f>'[1]MASTER '!$J$41</f>
        <v>4</v>
      </c>
      <c r="H4" s="49">
        <f>'[1]MASTER '!$J$42</f>
        <v>2</v>
      </c>
      <c r="I4" s="49">
        <f>'[1]MASTER '!$J$43</f>
        <v>6</v>
      </c>
      <c r="J4" s="49">
        <f>'[1]MASTER '!$J$44</f>
        <v>5</v>
      </c>
      <c r="K4" s="49">
        <f>'[1]MASTER '!$J$45</f>
        <v>0</v>
      </c>
      <c r="L4" s="49">
        <f>'[1]MASTER '!$J$46</f>
        <v>0</v>
      </c>
      <c r="M4" s="49">
        <f>SUM(D4:I4)</f>
        <v>18</v>
      </c>
      <c r="N4" s="50">
        <f t="shared" ref="N4:N10" si="0">((M4/C4)*100)</f>
        <v>78.260869565217391</v>
      </c>
      <c r="O4" s="49">
        <f t="shared" ref="O4:O10" si="1">SUM(D4:K4)</f>
        <v>23</v>
      </c>
      <c r="P4" s="50">
        <f t="shared" ref="P4:P10" si="2">((O4/C4)*100)</f>
        <v>100</v>
      </c>
    </row>
    <row r="5" spans="1:16">
      <c r="A5" s="47" t="s">
        <v>23</v>
      </c>
      <c r="B5" s="49" t="s">
        <v>24</v>
      </c>
      <c r="C5" s="49">
        <f t="shared" ref="C5:C10" si="3">SUM(D5:L5)</f>
        <v>19</v>
      </c>
      <c r="D5" s="49">
        <f>'[2]MASTER '!$J$38</f>
        <v>0</v>
      </c>
      <c r="E5" s="49">
        <f>'[2]MASTER '!$CW$39</f>
        <v>6</v>
      </c>
      <c r="F5" s="49">
        <f>'[2]MASTER '!$CW$40</f>
        <v>1</v>
      </c>
      <c r="G5" s="49">
        <f>'[2]MASTER '!$CW$41</f>
        <v>2</v>
      </c>
      <c r="H5" s="49">
        <f>'[2]MASTER '!$CW$42</f>
        <v>3</v>
      </c>
      <c r="I5" s="49">
        <f>'[2]MASTER '!$CW$43</f>
        <v>3</v>
      </c>
      <c r="J5" s="49">
        <f>'[2]MASTER '!$CW$44</f>
        <v>2</v>
      </c>
      <c r="K5" s="49">
        <f>'[2]MASTER '!$CW$45</f>
        <v>1</v>
      </c>
      <c r="L5" s="49">
        <f>'[2]MASTER '!$CW$46</f>
        <v>1</v>
      </c>
      <c r="M5" s="49">
        <f t="shared" ref="M5:M10" si="4">SUM(D5:I5)</f>
        <v>15</v>
      </c>
      <c r="N5" s="50">
        <f t="shared" si="0"/>
        <v>78.94736842105263</v>
      </c>
      <c r="O5" s="49">
        <f t="shared" si="1"/>
        <v>18</v>
      </c>
      <c r="P5" s="50">
        <f t="shared" si="2"/>
        <v>94.73684210526315</v>
      </c>
    </row>
    <row r="6" spans="1:16">
      <c r="A6" s="47" t="s">
        <v>25</v>
      </c>
      <c r="B6" s="49" t="s">
        <v>26</v>
      </c>
      <c r="C6" s="49">
        <f t="shared" si="3"/>
        <v>27</v>
      </c>
      <c r="D6" s="49">
        <f>'[3]MASTER '!$J$38</f>
        <v>0</v>
      </c>
      <c r="E6" s="49">
        <f>'[3]MASTER '!$J$39</f>
        <v>0</v>
      </c>
      <c r="F6" s="49">
        <f>'[3]MASTER '!$J$40</f>
        <v>0</v>
      </c>
      <c r="G6" s="49">
        <f>'[3]MASTER '!$J$41</f>
        <v>1</v>
      </c>
      <c r="H6" s="49">
        <f>'[3]MASTER '!$J$42</f>
        <v>9</v>
      </c>
      <c r="I6" s="49">
        <f>'[3]MASTER '!$J$43</f>
        <v>6</v>
      </c>
      <c r="J6" s="49">
        <f>'[3]MASTER '!$J$44</f>
        <v>10</v>
      </c>
      <c r="K6" s="49">
        <f>'[3]MASTER '!$J$45</f>
        <v>1</v>
      </c>
      <c r="L6" s="49">
        <f>'[3]MASTER '!$J$46</f>
        <v>0</v>
      </c>
      <c r="M6" s="49">
        <f t="shared" si="4"/>
        <v>16</v>
      </c>
      <c r="N6" s="50">
        <f t="shared" si="0"/>
        <v>59.259259259259252</v>
      </c>
      <c r="O6" s="49">
        <f t="shared" si="1"/>
        <v>27</v>
      </c>
      <c r="P6" s="50">
        <f t="shared" si="2"/>
        <v>100</v>
      </c>
    </row>
    <row r="7" spans="1:16">
      <c r="A7" s="47" t="s">
        <v>27</v>
      </c>
      <c r="B7" s="49" t="s">
        <v>26</v>
      </c>
      <c r="C7" s="49">
        <f t="shared" si="3"/>
        <v>26</v>
      </c>
      <c r="D7" s="49" cm="1">
        <f t="array" ref="D7:L7">TRANSPOSE('[4]MASTER '!$J$38:$J$46)</f>
        <v>0</v>
      </c>
      <c r="E7" s="49">
        <v>1</v>
      </c>
      <c r="F7" s="49">
        <v>2</v>
      </c>
      <c r="G7" s="49">
        <v>6</v>
      </c>
      <c r="H7" s="49">
        <v>6</v>
      </c>
      <c r="I7" s="49">
        <v>6</v>
      </c>
      <c r="J7" s="49">
        <v>3</v>
      </c>
      <c r="K7" s="49">
        <v>1</v>
      </c>
      <c r="L7" s="49">
        <v>1</v>
      </c>
      <c r="M7" s="49">
        <f t="shared" si="4"/>
        <v>21</v>
      </c>
      <c r="N7" s="50">
        <f t="shared" si="0"/>
        <v>80.769230769230774</v>
      </c>
      <c r="O7" s="49">
        <f t="shared" si="1"/>
        <v>25</v>
      </c>
      <c r="P7" s="50">
        <f t="shared" si="2"/>
        <v>96.15384615384616</v>
      </c>
    </row>
    <row r="8" spans="1:16">
      <c r="A8" s="47" t="s">
        <v>28</v>
      </c>
      <c r="B8" s="49" t="s">
        <v>26</v>
      </c>
      <c r="C8" s="49">
        <f t="shared" si="3"/>
        <v>24</v>
      </c>
      <c r="D8" s="49" cm="1">
        <f t="array" ref="D8:L8">TRANSPOSE('[5]MASTER '!$J$38:J46)</f>
        <v>0</v>
      </c>
      <c r="E8" s="49">
        <v>0</v>
      </c>
      <c r="F8" s="49">
        <v>5</v>
      </c>
      <c r="G8" s="49">
        <v>4</v>
      </c>
      <c r="H8" s="49">
        <v>3</v>
      </c>
      <c r="I8" s="49">
        <v>6</v>
      </c>
      <c r="J8" s="49">
        <v>6</v>
      </c>
      <c r="K8" s="49">
        <v>0</v>
      </c>
      <c r="L8" s="49">
        <v>0</v>
      </c>
      <c r="M8" s="49">
        <f t="shared" si="4"/>
        <v>18</v>
      </c>
      <c r="N8" s="50">
        <f t="shared" si="0"/>
        <v>75</v>
      </c>
      <c r="O8" s="49">
        <f t="shared" si="1"/>
        <v>24</v>
      </c>
      <c r="P8" s="50">
        <f t="shared" si="2"/>
        <v>100</v>
      </c>
    </row>
    <row r="9" spans="1:16">
      <c r="A9" s="47" t="s">
        <v>29</v>
      </c>
      <c r="B9" s="49" t="s">
        <v>24</v>
      </c>
      <c r="C9" s="49">
        <f t="shared" si="3"/>
        <v>21</v>
      </c>
      <c r="D9" s="49" cm="1">
        <f t="array" ref="D9:L9">TRANSPOSE('[6]MASTER '!$J$38:J46)</f>
        <v>0</v>
      </c>
      <c r="E9" s="49">
        <v>0</v>
      </c>
      <c r="F9" s="49">
        <v>0</v>
      </c>
      <c r="G9" s="49">
        <v>0</v>
      </c>
      <c r="H9" s="49">
        <v>0</v>
      </c>
      <c r="I9" s="49">
        <v>3</v>
      </c>
      <c r="J9" s="49">
        <v>12</v>
      </c>
      <c r="K9" s="49">
        <v>4</v>
      </c>
      <c r="L9" s="49">
        <v>2</v>
      </c>
      <c r="M9" s="49">
        <f t="shared" si="4"/>
        <v>3</v>
      </c>
      <c r="N9" s="50">
        <f t="shared" si="0"/>
        <v>14.285714285714285</v>
      </c>
      <c r="O9" s="49">
        <f t="shared" si="1"/>
        <v>19</v>
      </c>
      <c r="P9" s="50">
        <f t="shared" si="2"/>
        <v>90.476190476190482</v>
      </c>
    </row>
    <row r="10" spans="1:16">
      <c r="A10" s="47" t="s">
        <v>30</v>
      </c>
      <c r="B10" s="49" t="s">
        <v>31</v>
      </c>
      <c r="C10" s="49">
        <f t="shared" si="3"/>
        <v>19</v>
      </c>
      <c r="D10" s="49">
        <f>'[7]MASTER '!$J$38</f>
        <v>0</v>
      </c>
      <c r="E10" s="49">
        <f>'[7]MASTER '!$J$39</f>
        <v>0</v>
      </c>
      <c r="F10" s="49">
        <f>'[7]MASTER '!$J$40</f>
        <v>0</v>
      </c>
      <c r="G10" s="49">
        <f>'[7]MASTER '!$J$41</f>
        <v>2</v>
      </c>
      <c r="H10" s="49">
        <f>'[7]MASTER '!$J$42</f>
        <v>1</v>
      </c>
      <c r="I10" s="49">
        <f>'[7]MASTER '!$J$43</f>
        <v>0</v>
      </c>
      <c r="J10" s="49">
        <f>'[7]MASTER '!$J$44</f>
        <v>5</v>
      </c>
      <c r="K10" s="49">
        <f>'[7]MASTER '!$J$45</f>
        <v>8</v>
      </c>
      <c r="L10" s="49">
        <f>'[7]MASTER '!$J$46</f>
        <v>3</v>
      </c>
      <c r="M10" s="49">
        <f t="shared" si="4"/>
        <v>3</v>
      </c>
      <c r="N10" s="50">
        <f t="shared" si="0"/>
        <v>15.789473684210526</v>
      </c>
      <c r="O10" s="49">
        <f t="shared" si="1"/>
        <v>16</v>
      </c>
      <c r="P10" s="50">
        <f t="shared" si="2"/>
        <v>84.210526315789465</v>
      </c>
    </row>
    <row r="11" spans="1:16" ht="11.25" customHeight="1">
      <c r="A11" s="164" t="s">
        <v>32</v>
      </c>
      <c r="B11" s="165"/>
      <c r="C11" s="47">
        <f t="shared" ref="C11:L11" si="5">SUM(C4:C10)</f>
        <v>159</v>
      </c>
      <c r="D11" s="47">
        <f t="shared" si="5"/>
        <v>0</v>
      </c>
      <c r="E11" s="47">
        <f t="shared" si="5"/>
        <v>9</v>
      </c>
      <c r="F11" s="47">
        <f t="shared" si="5"/>
        <v>12</v>
      </c>
      <c r="G11" s="47">
        <f t="shared" si="5"/>
        <v>19</v>
      </c>
      <c r="H11" s="47">
        <f t="shared" si="5"/>
        <v>24</v>
      </c>
      <c r="I11" s="47">
        <f t="shared" si="5"/>
        <v>30</v>
      </c>
      <c r="J11" s="47">
        <f t="shared" si="5"/>
        <v>43</v>
      </c>
      <c r="K11" s="47">
        <f t="shared" si="5"/>
        <v>15</v>
      </c>
      <c r="L11" s="47">
        <f t="shared" si="5"/>
        <v>7</v>
      </c>
      <c r="M11" s="47">
        <f>SUM(D11:I11)</f>
        <v>94</v>
      </c>
      <c r="N11" s="53">
        <f>((M11/C11)*100)</f>
        <v>59.119496855345908</v>
      </c>
      <c r="O11" s="47">
        <f>SUM(D11:K11)</f>
        <v>152</v>
      </c>
      <c r="P11" s="53">
        <f>((O11/C11)*100)</f>
        <v>95.59748427672956</v>
      </c>
    </row>
    <row r="12" spans="1:16" ht="15">
      <c r="A12" s="45" t="s">
        <v>33</v>
      </c>
    </row>
    <row r="13" spans="1:16" s="48" customFormat="1" ht="14.25" customHeight="1">
      <c r="A13" s="46"/>
      <c r="B13" s="46"/>
      <c r="C13" s="46"/>
      <c r="D13" s="157" t="s">
        <v>1</v>
      </c>
      <c r="E13" s="158"/>
      <c r="F13" s="157" t="s">
        <v>2</v>
      </c>
      <c r="G13" s="162"/>
      <c r="H13" s="162"/>
      <c r="I13" s="158"/>
      <c r="J13" s="160" t="s">
        <v>3</v>
      </c>
      <c r="K13" s="161"/>
      <c r="L13" s="83" t="s">
        <v>4</v>
      </c>
      <c r="M13" s="46"/>
      <c r="N13" s="46"/>
      <c r="O13" s="46"/>
      <c r="P13" s="46"/>
    </row>
    <row r="14" spans="1:16" ht="27.95">
      <c r="A14" s="81" t="s">
        <v>5</v>
      </c>
      <c r="B14" s="81" t="s">
        <v>6</v>
      </c>
      <c r="C14" s="81" t="s">
        <v>7</v>
      </c>
      <c r="D14" s="81" t="s">
        <v>8</v>
      </c>
      <c r="E14" s="81" t="s">
        <v>9</v>
      </c>
      <c r="F14" s="81" t="s">
        <v>10</v>
      </c>
      <c r="G14" s="81" t="s">
        <v>11</v>
      </c>
      <c r="H14" s="81" t="s">
        <v>12</v>
      </c>
      <c r="I14" s="81" t="s">
        <v>13</v>
      </c>
      <c r="J14" s="81" t="s">
        <v>14</v>
      </c>
      <c r="K14" s="81" t="s">
        <v>15</v>
      </c>
      <c r="L14" s="81" t="s">
        <v>16</v>
      </c>
      <c r="M14" s="82" t="s">
        <v>17</v>
      </c>
      <c r="N14" s="82" t="s">
        <v>18</v>
      </c>
      <c r="O14" s="82" t="s">
        <v>19</v>
      </c>
      <c r="P14" s="82" t="s">
        <v>20</v>
      </c>
    </row>
    <row r="15" spans="1:16">
      <c r="A15" s="47" t="s">
        <v>21</v>
      </c>
      <c r="B15" s="49" t="s">
        <v>34</v>
      </c>
      <c r="C15" s="56">
        <f>SUM(D15:L15)</f>
        <v>23</v>
      </c>
      <c r="D15" s="56">
        <f>'[1]MASTER '!$T$38</f>
        <v>6</v>
      </c>
      <c r="E15" s="56">
        <f>'[1]MASTER '!$T$39</f>
        <v>11</v>
      </c>
      <c r="F15" s="56">
        <f>'[1]MASTER '!$T$40</f>
        <v>5</v>
      </c>
      <c r="G15" s="56">
        <f>'[1]MASTER '!$T$41</f>
        <v>0</v>
      </c>
      <c r="H15" s="56">
        <f>'[1]MASTER '!$T$42</f>
        <v>0</v>
      </c>
      <c r="I15" s="56">
        <f>'[1]MASTER '!$T$43</f>
        <v>1</v>
      </c>
      <c r="J15" s="56">
        <f>'[1]MASTER '!$T$44</f>
        <v>0</v>
      </c>
      <c r="K15" s="56">
        <f>'[1]MASTER '!$T$45</f>
        <v>0</v>
      </c>
      <c r="L15" s="56">
        <f>'[1]MASTER '!$T$46</f>
        <v>0</v>
      </c>
      <c r="M15" s="49">
        <f>SUM(D15:I15)</f>
        <v>23</v>
      </c>
      <c r="N15" s="50">
        <f t="shared" ref="N15" si="6">((M15/C15)*100)</f>
        <v>100</v>
      </c>
      <c r="O15" s="49">
        <f t="shared" ref="O15:O21" si="7">SUM(D15:K15)</f>
        <v>23</v>
      </c>
      <c r="P15" s="50">
        <f t="shared" ref="P15:P21" si="8">((O15/C15)*100)</f>
        <v>100</v>
      </c>
    </row>
    <row r="16" spans="1:16">
      <c r="A16" s="47" t="s">
        <v>23</v>
      </c>
      <c r="B16" s="57" t="s">
        <v>35</v>
      </c>
      <c r="C16" s="56">
        <f t="shared" ref="C16:C21" si="9">SUM(D16:L16)</f>
        <v>21</v>
      </c>
      <c r="D16" s="56">
        <f>'[2]MASTER '!$T$38</f>
        <v>11</v>
      </c>
      <c r="E16" s="56">
        <f>'[2]MASTER '!$T$39</f>
        <v>6</v>
      </c>
      <c r="F16" s="56">
        <f>'[2]MASTER '!$T$40</f>
        <v>2</v>
      </c>
      <c r="G16" s="56">
        <f>'[2]MASTER '!$T$41</f>
        <v>1</v>
      </c>
      <c r="H16" s="56">
        <f>'[2]MASTER '!$T$42</f>
        <v>0</v>
      </c>
      <c r="I16" s="56">
        <f>'[2]MASTER '!$T$43</f>
        <v>0</v>
      </c>
      <c r="J16" s="56">
        <f>'[2]MASTER '!$T$44</f>
        <v>1</v>
      </c>
      <c r="K16" s="56">
        <f>'[2]MASTER '!$T$45</f>
        <v>0</v>
      </c>
      <c r="L16" s="56">
        <f>'[2]MASTER '!$T$46</f>
        <v>0</v>
      </c>
      <c r="M16" s="49">
        <f t="shared" ref="M16:M21" si="10">SUM(D16:I16)</f>
        <v>20</v>
      </c>
      <c r="N16" s="50">
        <f t="shared" ref="N16:N21" si="11">((M16/C16)*100)</f>
        <v>95.238095238095227</v>
      </c>
      <c r="O16" s="49">
        <f t="shared" si="7"/>
        <v>21</v>
      </c>
      <c r="P16" s="50">
        <f t="shared" si="8"/>
        <v>100</v>
      </c>
    </row>
    <row r="17" spans="1:16">
      <c r="A17" s="47" t="s">
        <v>25</v>
      </c>
      <c r="B17" s="49" t="s">
        <v>34</v>
      </c>
      <c r="C17" s="56">
        <f t="shared" si="9"/>
        <v>27</v>
      </c>
      <c r="D17" s="56">
        <f>'[3]MASTER '!$T$38</f>
        <v>16</v>
      </c>
      <c r="E17" s="56">
        <f>'[3]MASTER '!$T$39</f>
        <v>8</v>
      </c>
      <c r="F17" s="56">
        <f>'[3]MASTER '!$T$40</f>
        <v>0</v>
      </c>
      <c r="G17" s="56">
        <f>'[3]MASTER '!$T$41</f>
        <v>2</v>
      </c>
      <c r="H17" s="56">
        <f>'[3]MASTER '!$T$42</f>
        <v>1</v>
      </c>
      <c r="I17" s="56">
        <f>'[3]MASTER '!$T$43</f>
        <v>0</v>
      </c>
      <c r="J17" s="56">
        <f>'[3]MASTER '!$T$44</f>
        <v>0</v>
      </c>
      <c r="K17" s="56">
        <f>'[3]MASTER '!$T$45</f>
        <v>0</v>
      </c>
      <c r="L17" s="56">
        <f>'[3]MASTER '!$T$46</f>
        <v>0</v>
      </c>
      <c r="M17" s="49">
        <f t="shared" si="10"/>
        <v>27</v>
      </c>
      <c r="N17" s="50">
        <f t="shared" si="11"/>
        <v>100</v>
      </c>
      <c r="O17" s="49">
        <f t="shared" si="7"/>
        <v>27</v>
      </c>
      <c r="P17" s="50">
        <f t="shared" si="8"/>
        <v>100</v>
      </c>
    </row>
    <row r="18" spans="1:16">
      <c r="A18" s="47" t="s">
        <v>27</v>
      </c>
      <c r="B18" s="57" t="s">
        <v>35</v>
      </c>
      <c r="C18" s="56">
        <f t="shared" si="9"/>
        <v>26</v>
      </c>
      <c r="D18" s="56">
        <f>'[4]MASTER '!$T$38</f>
        <v>14</v>
      </c>
      <c r="E18" s="56">
        <f>'[4]MASTER '!$T$39</f>
        <v>6</v>
      </c>
      <c r="F18" s="56">
        <f>'[4]MASTER '!$T$40</f>
        <v>4</v>
      </c>
      <c r="G18" s="56">
        <f>'[4]MASTER '!$T$41</f>
        <v>1</v>
      </c>
      <c r="H18" s="56">
        <f>'[1]MASTER '!$T$42</f>
        <v>0</v>
      </c>
      <c r="I18" s="56">
        <f>'[1]MASTER '!$T$43</f>
        <v>1</v>
      </c>
      <c r="J18" s="56">
        <f>'[1]MASTER '!$T$44</f>
        <v>0</v>
      </c>
      <c r="K18" s="56">
        <f>'[1]MASTER '!$T$45</f>
        <v>0</v>
      </c>
      <c r="L18" s="56">
        <f>'[1]MASTER '!$T$46</f>
        <v>0</v>
      </c>
      <c r="M18" s="49">
        <f t="shared" si="10"/>
        <v>26</v>
      </c>
      <c r="N18" s="50">
        <f t="shared" si="11"/>
        <v>100</v>
      </c>
      <c r="O18" s="49">
        <f t="shared" si="7"/>
        <v>26</v>
      </c>
      <c r="P18" s="50">
        <f t="shared" si="8"/>
        <v>100</v>
      </c>
    </row>
    <row r="19" spans="1:16">
      <c r="A19" s="47" t="s">
        <v>28</v>
      </c>
      <c r="B19" s="57" t="s">
        <v>34</v>
      </c>
      <c r="C19" s="56">
        <f t="shared" si="9"/>
        <v>24</v>
      </c>
      <c r="D19" s="56">
        <f>'[5]MASTER '!$T$38</f>
        <v>0</v>
      </c>
      <c r="E19" s="56">
        <f>'[5]MASTER '!$T$39</f>
        <v>9</v>
      </c>
      <c r="F19" s="56">
        <f>'[5]MASTER '!$T$40</f>
        <v>4</v>
      </c>
      <c r="G19" s="56">
        <f>'[5]MASTER '!$T$41</f>
        <v>5</v>
      </c>
      <c r="H19" s="56">
        <f>'[5]MASTER '!$T$42</f>
        <v>1</v>
      </c>
      <c r="I19" s="56">
        <f>'[5]MASTER '!$T$43</f>
        <v>4</v>
      </c>
      <c r="J19" s="56">
        <f>'[5]MASTER '!$T$44</f>
        <v>1</v>
      </c>
      <c r="K19" s="56">
        <f>'[5]MASTER '!$T$45</f>
        <v>0</v>
      </c>
      <c r="L19" s="56">
        <f>'[5]MASTER '!$T$46</f>
        <v>0</v>
      </c>
      <c r="M19" s="49">
        <f t="shared" si="10"/>
        <v>23</v>
      </c>
      <c r="N19" s="50">
        <f t="shared" si="11"/>
        <v>95.833333333333343</v>
      </c>
      <c r="O19" s="49">
        <f>SUM(D19:K19)</f>
        <v>24</v>
      </c>
      <c r="P19" s="50">
        <f>((O19/C19)*100)</f>
        <v>100</v>
      </c>
    </row>
    <row r="20" spans="1:16">
      <c r="A20" s="47" t="s">
        <v>29</v>
      </c>
      <c r="B20" s="49" t="s">
        <v>35</v>
      </c>
      <c r="C20" s="56">
        <f t="shared" si="9"/>
        <v>22</v>
      </c>
      <c r="D20" s="56">
        <f>'[6]MASTER '!$T$38</f>
        <v>2</v>
      </c>
      <c r="E20" s="56">
        <f>'[6]MASTER '!$T$39</f>
        <v>6</v>
      </c>
      <c r="F20" s="56">
        <f>'[6]MASTER '!$T$40</f>
        <v>3</v>
      </c>
      <c r="G20" s="56">
        <f>'[6]MASTER '!$T$41</f>
        <v>1</v>
      </c>
      <c r="H20" s="56">
        <f>'[6]MASTER '!$T$42</f>
        <v>1</v>
      </c>
      <c r="I20" s="56">
        <f>'[6]MASTER '!$T$43</f>
        <v>2</v>
      </c>
      <c r="J20" s="56">
        <f>'[6]MASTER '!$T$44</f>
        <v>6</v>
      </c>
      <c r="K20" s="56">
        <f>'[6]MASTER '!$T$45</f>
        <v>0</v>
      </c>
      <c r="L20" s="56">
        <f>'[6]MASTER '!$T$46</f>
        <v>1</v>
      </c>
      <c r="M20" s="49">
        <f t="shared" si="10"/>
        <v>15</v>
      </c>
      <c r="N20" s="50">
        <f t="shared" si="11"/>
        <v>68.181818181818173</v>
      </c>
      <c r="O20" s="49">
        <f t="shared" si="7"/>
        <v>21</v>
      </c>
      <c r="P20" s="50">
        <f t="shared" si="8"/>
        <v>95.454545454545453</v>
      </c>
    </row>
    <row r="21" spans="1:16">
      <c r="A21" s="47" t="s">
        <v>30</v>
      </c>
      <c r="B21" s="57" t="s">
        <v>34</v>
      </c>
      <c r="C21" s="56">
        <f t="shared" si="9"/>
        <v>19</v>
      </c>
      <c r="D21" s="56">
        <f>'[7]MASTER '!$T$38</f>
        <v>4</v>
      </c>
      <c r="E21" s="56">
        <f>'[7]MASTER '!$T$39</f>
        <v>2</v>
      </c>
      <c r="F21" s="56">
        <f>'[7]MASTER '!$T$40</f>
        <v>1</v>
      </c>
      <c r="G21" s="56">
        <f>'[7]MASTER '!$T$41</f>
        <v>1</v>
      </c>
      <c r="H21" s="56">
        <f>'[7]MASTER '!$T$42</f>
        <v>2</v>
      </c>
      <c r="I21" s="56">
        <f>'[7]MASTER '!$T$43</f>
        <v>3</v>
      </c>
      <c r="J21" s="56">
        <f>'[7]MASTER '!$T$44</f>
        <v>1</v>
      </c>
      <c r="K21" s="56">
        <f>'[7]MASTER '!$T$45</f>
        <v>3</v>
      </c>
      <c r="L21" s="56">
        <f>'[7]MASTER '!$T$46</f>
        <v>2</v>
      </c>
      <c r="M21" s="49">
        <f t="shared" si="10"/>
        <v>13</v>
      </c>
      <c r="N21" s="50">
        <f t="shared" si="11"/>
        <v>68.421052631578945</v>
      </c>
      <c r="O21" s="49">
        <f t="shared" si="7"/>
        <v>17</v>
      </c>
      <c r="P21" s="50">
        <f t="shared" si="8"/>
        <v>89.473684210526315</v>
      </c>
    </row>
    <row r="22" spans="1:16">
      <c r="A22" s="51"/>
      <c r="B22" s="52" t="s">
        <v>32</v>
      </c>
      <c r="C22" s="47">
        <f t="shared" ref="C22:L22" si="12">SUM(C15:C21)</f>
        <v>162</v>
      </c>
      <c r="D22" s="47">
        <f t="shared" si="12"/>
        <v>53</v>
      </c>
      <c r="E22" s="47">
        <f t="shared" si="12"/>
        <v>48</v>
      </c>
      <c r="F22" s="47">
        <f t="shared" si="12"/>
        <v>19</v>
      </c>
      <c r="G22" s="47">
        <f t="shared" si="12"/>
        <v>11</v>
      </c>
      <c r="H22" s="47">
        <f t="shared" si="12"/>
        <v>5</v>
      </c>
      <c r="I22" s="47">
        <f t="shared" si="12"/>
        <v>11</v>
      </c>
      <c r="J22" s="47">
        <f t="shared" si="12"/>
        <v>9</v>
      </c>
      <c r="K22" s="47">
        <f t="shared" si="12"/>
        <v>3</v>
      </c>
      <c r="L22" s="47">
        <f t="shared" si="12"/>
        <v>3</v>
      </c>
      <c r="M22" s="47">
        <f>SUM(D22:I22)</f>
        <v>147</v>
      </c>
      <c r="N22" s="53">
        <f>((M22/C22)*100)</f>
        <v>90.740740740740748</v>
      </c>
      <c r="O22" s="47">
        <f>SUM(D22:K22)</f>
        <v>159</v>
      </c>
      <c r="P22" s="53">
        <f>((O22/C22)*100)</f>
        <v>98.148148148148152</v>
      </c>
    </row>
    <row r="23" spans="1:16" ht="15">
      <c r="A23" s="45" t="s">
        <v>36</v>
      </c>
    </row>
    <row r="24" spans="1:16" s="48" customFormat="1" ht="14.25" customHeight="1">
      <c r="A24" s="46"/>
      <c r="B24" s="46"/>
      <c r="C24" s="46"/>
      <c r="D24" s="157" t="s">
        <v>1</v>
      </c>
      <c r="E24" s="158"/>
      <c r="F24" s="157" t="s">
        <v>2</v>
      </c>
      <c r="G24" s="162"/>
      <c r="H24" s="162"/>
      <c r="I24" s="158"/>
      <c r="J24" s="160" t="s">
        <v>3</v>
      </c>
      <c r="K24" s="161"/>
      <c r="L24" s="83" t="s">
        <v>4</v>
      </c>
      <c r="M24" s="46"/>
      <c r="N24" s="46"/>
      <c r="O24" s="46"/>
      <c r="P24" s="46"/>
    </row>
    <row r="25" spans="1:16" ht="27.95">
      <c r="A25" s="81" t="s">
        <v>5</v>
      </c>
      <c r="B25" s="81" t="s">
        <v>6</v>
      </c>
      <c r="C25" s="81" t="s">
        <v>7</v>
      </c>
      <c r="D25" s="81" t="s">
        <v>8</v>
      </c>
      <c r="E25" s="81" t="s">
        <v>9</v>
      </c>
      <c r="F25" s="81" t="s">
        <v>10</v>
      </c>
      <c r="G25" s="81" t="s">
        <v>11</v>
      </c>
      <c r="H25" s="81" t="s">
        <v>12</v>
      </c>
      <c r="I25" s="81" t="s">
        <v>13</v>
      </c>
      <c r="J25" s="81" t="s">
        <v>14</v>
      </c>
      <c r="K25" s="81" t="s">
        <v>15</v>
      </c>
      <c r="L25" s="81" t="s">
        <v>16</v>
      </c>
      <c r="M25" s="82" t="s">
        <v>17</v>
      </c>
      <c r="N25" s="82" t="s">
        <v>18</v>
      </c>
      <c r="O25" s="82" t="s">
        <v>19</v>
      </c>
      <c r="P25" s="82" t="s">
        <v>20</v>
      </c>
    </row>
    <row r="26" spans="1:16">
      <c r="A26" s="47" t="s">
        <v>21</v>
      </c>
      <c r="B26" s="49" t="s">
        <v>37</v>
      </c>
      <c r="C26" s="49">
        <f>SUM(D26:L26)</f>
        <v>23</v>
      </c>
      <c r="D26" s="56">
        <f>'[1]MASTER '!$AO$38</f>
        <v>15</v>
      </c>
      <c r="E26" s="56">
        <f>'[1]MASTER '!$AO$39</f>
        <v>4</v>
      </c>
      <c r="F26" s="56">
        <f>'[1]MASTER '!$AO$40</f>
        <v>3</v>
      </c>
      <c r="G26" s="56">
        <f>'[1]MASTER '!$AO$41</f>
        <v>1</v>
      </c>
      <c r="H26" s="56">
        <f>'[1]MASTER '!$AO$42</f>
        <v>0</v>
      </c>
      <c r="I26" s="56">
        <f>'[1]MASTER '!$AO$43</f>
        <v>0</v>
      </c>
      <c r="J26" s="56">
        <f>'[1]MASTER '!$AO$44</f>
        <v>0</v>
      </c>
      <c r="K26" s="56">
        <f>'[1]MASTER '!$AO$45</f>
        <v>0</v>
      </c>
      <c r="L26" s="56">
        <f>'[1]MASTER '!$AO$46</f>
        <v>0</v>
      </c>
      <c r="M26" s="49">
        <f>SUM(D26:I26)</f>
        <v>23</v>
      </c>
      <c r="N26" s="50">
        <f t="shared" ref="N26:N32" si="13">((M26/C26)*100)</f>
        <v>100</v>
      </c>
      <c r="O26" s="49">
        <f t="shared" ref="O26:O32" si="14">SUM(D26:K26)</f>
        <v>23</v>
      </c>
      <c r="P26" s="50">
        <f t="shared" ref="P26:P32" si="15">((O26/C26)*100)</f>
        <v>100</v>
      </c>
    </row>
    <row r="27" spans="1:16">
      <c r="A27" s="47" t="s">
        <v>23</v>
      </c>
      <c r="B27" s="49" t="s">
        <v>38</v>
      </c>
      <c r="C27" s="49">
        <f t="shared" ref="C27:C32" si="16">SUM(D27:L27)</f>
        <v>21</v>
      </c>
      <c r="D27" s="56">
        <f>'[2]MASTER '!$AO$38</f>
        <v>5</v>
      </c>
      <c r="E27" s="56">
        <f>'[2]MASTER '!$AO$39</f>
        <v>5</v>
      </c>
      <c r="F27" s="56">
        <f>'[2]MASTER '!$AO$40</f>
        <v>3</v>
      </c>
      <c r="G27" s="56">
        <f>'[2]MASTER '!$AO$41</f>
        <v>3</v>
      </c>
      <c r="H27" s="56">
        <f>'[2]MASTER '!$AO$42</f>
        <v>2</v>
      </c>
      <c r="I27" s="56">
        <f>'[2]MASTER '!$AO$43</f>
        <v>1</v>
      </c>
      <c r="J27" s="56">
        <f>'[2]MASTER '!$AO$44</f>
        <v>1</v>
      </c>
      <c r="K27" s="56">
        <f>'[2]MASTER '!$AO$45</f>
        <v>1</v>
      </c>
      <c r="L27" s="56">
        <f>'[2]MASTER '!$AO$465</f>
        <v>0</v>
      </c>
      <c r="M27" s="49">
        <f t="shared" ref="M27:M32" si="17">SUM(D27:I27)</f>
        <v>19</v>
      </c>
      <c r="N27" s="50">
        <f t="shared" si="13"/>
        <v>90.476190476190482</v>
      </c>
      <c r="O27" s="49">
        <f t="shared" si="14"/>
        <v>21</v>
      </c>
      <c r="P27" s="50">
        <f t="shared" si="15"/>
        <v>100</v>
      </c>
    </row>
    <row r="28" spans="1:16">
      <c r="A28" s="47" t="s">
        <v>25</v>
      </c>
      <c r="B28" s="49" t="s">
        <v>37</v>
      </c>
      <c r="C28" s="49">
        <f t="shared" si="16"/>
        <v>27</v>
      </c>
      <c r="D28" s="56">
        <f>'[3]MASTER '!$AO$38</f>
        <v>4</v>
      </c>
      <c r="E28" s="56">
        <f>'[3]MASTER '!$AO$39</f>
        <v>6</v>
      </c>
      <c r="F28" s="56">
        <f>'[3]MASTER '!$AO$40</f>
        <v>1</v>
      </c>
      <c r="G28" s="56">
        <f>'[3]MASTER '!$AO$41</f>
        <v>3</v>
      </c>
      <c r="H28" s="56">
        <f>'[3]MASTER '!$AO$42</f>
        <v>4</v>
      </c>
      <c r="I28" s="56">
        <f>'[3]MASTER '!$AO$43</f>
        <v>1</v>
      </c>
      <c r="J28" s="56">
        <f>'[3]MASTER '!$AO$44</f>
        <v>6</v>
      </c>
      <c r="K28" s="56">
        <f>'[3]MASTER '!$AO$45</f>
        <v>1</v>
      </c>
      <c r="L28" s="56">
        <f>'[3]MASTER '!$AO$46</f>
        <v>1</v>
      </c>
      <c r="M28" s="49">
        <f t="shared" si="17"/>
        <v>19</v>
      </c>
      <c r="N28" s="50">
        <f t="shared" si="13"/>
        <v>70.370370370370367</v>
      </c>
      <c r="O28" s="49">
        <f t="shared" si="14"/>
        <v>26</v>
      </c>
      <c r="P28" s="50">
        <f t="shared" si="15"/>
        <v>96.296296296296291</v>
      </c>
    </row>
    <row r="29" spans="1:16">
      <c r="A29" s="47" t="s">
        <v>27</v>
      </c>
      <c r="B29" s="49" t="s">
        <v>38</v>
      </c>
      <c r="C29" s="49">
        <f t="shared" si="16"/>
        <v>26</v>
      </c>
      <c r="D29" s="56">
        <f>'[4]MASTER '!$AO$38</f>
        <v>11</v>
      </c>
      <c r="E29" s="56">
        <f>'[4]MASTER '!$AO$39</f>
        <v>7</v>
      </c>
      <c r="F29" s="56">
        <f>'[4]MASTER '!$AO$40</f>
        <v>0</v>
      </c>
      <c r="G29" s="56">
        <f>'[4]MASTER '!$AO$41</f>
        <v>5</v>
      </c>
      <c r="H29" s="56">
        <f>'[4]MASTER '!$AO$42</f>
        <v>1</v>
      </c>
      <c r="I29" s="56">
        <f>'[4]MASTER '!$AO$43</f>
        <v>0</v>
      </c>
      <c r="J29" s="56">
        <f>'[4]MASTER '!$AO$44</f>
        <v>2</v>
      </c>
      <c r="K29" s="56">
        <f>'[4]MASTER '!$AO$45</f>
        <v>0</v>
      </c>
      <c r="L29" s="56">
        <f>'[4]MASTER '!$AO$46</f>
        <v>0</v>
      </c>
      <c r="M29" s="49">
        <f t="shared" si="17"/>
        <v>24</v>
      </c>
      <c r="N29" s="50">
        <f t="shared" si="13"/>
        <v>92.307692307692307</v>
      </c>
      <c r="O29" s="49">
        <f t="shared" si="14"/>
        <v>26</v>
      </c>
      <c r="P29" s="50">
        <f t="shared" si="15"/>
        <v>100</v>
      </c>
    </row>
    <row r="30" spans="1:16">
      <c r="A30" s="47" t="s">
        <v>28</v>
      </c>
      <c r="B30" s="49" t="s">
        <v>38</v>
      </c>
      <c r="C30" s="49">
        <f t="shared" si="16"/>
        <v>24</v>
      </c>
      <c r="D30" s="56">
        <f>'[5]MASTER '!$AO$38</f>
        <v>5</v>
      </c>
      <c r="E30" s="56">
        <f>'[5]MASTER '!$AO$39</f>
        <v>3</v>
      </c>
      <c r="F30" s="56">
        <f>'[5]MASTER '!$AO$40</f>
        <v>0</v>
      </c>
      <c r="G30" s="56">
        <f>'[5]MASTER '!$AO$41</f>
        <v>3</v>
      </c>
      <c r="H30" s="56">
        <f>'[5]MASTER '!$AO$42</f>
        <v>3</v>
      </c>
      <c r="I30" s="56">
        <f>'[5]MASTER '!$AO$43</f>
        <v>2</v>
      </c>
      <c r="J30" s="56">
        <f>'[5]MASTER '!$AO$44</f>
        <v>2</v>
      </c>
      <c r="K30" s="56">
        <f>'[5]MASTER '!$AO$45</f>
        <v>1</v>
      </c>
      <c r="L30" s="56">
        <f>'[5]MASTER '!$AO$46</f>
        <v>5</v>
      </c>
      <c r="M30" s="49">
        <f t="shared" si="17"/>
        <v>16</v>
      </c>
      <c r="N30" s="50">
        <f t="shared" si="13"/>
        <v>66.666666666666657</v>
      </c>
      <c r="O30" s="49">
        <f t="shared" si="14"/>
        <v>19</v>
      </c>
      <c r="P30" s="50">
        <f t="shared" si="15"/>
        <v>79.166666666666657</v>
      </c>
    </row>
    <row r="31" spans="1:16">
      <c r="A31" s="47" t="s">
        <v>29</v>
      </c>
      <c r="B31" s="49" t="s">
        <v>37</v>
      </c>
      <c r="C31" s="49">
        <f t="shared" si="16"/>
        <v>23</v>
      </c>
      <c r="D31" s="56">
        <f>'[6]MASTER '!$AO$38</f>
        <v>3</v>
      </c>
      <c r="E31" s="56">
        <f>'[6]MASTER '!$AO$39</f>
        <v>11</v>
      </c>
      <c r="F31" s="56">
        <f>'[6]MASTER '!$AO$40</f>
        <v>1</v>
      </c>
      <c r="G31" s="56">
        <f>'[6]MASTER '!$AO$41</f>
        <v>2</v>
      </c>
      <c r="H31" s="56">
        <f>'[6]MASTER '!$AO$42</f>
        <v>1</v>
      </c>
      <c r="I31" s="56">
        <f>'[6]MASTER '!$AO$43</f>
        <v>1</v>
      </c>
      <c r="J31" s="56">
        <f>'[6]MASTER '!$AO$44</f>
        <v>1</v>
      </c>
      <c r="K31" s="56">
        <f>'[6]MASTER '!$AO$45</f>
        <v>2</v>
      </c>
      <c r="L31" s="56">
        <f>'[6]MASTER '!$AO$46</f>
        <v>1</v>
      </c>
      <c r="M31" s="49">
        <f t="shared" si="17"/>
        <v>19</v>
      </c>
      <c r="N31" s="50">
        <f t="shared" si="13"/>
        <v>82.608695652173907</v>
      </c>
      <c r="O31" s="49">
        <f t="shared" si="14"/>
        <v>22</v>
      </c>
      <c r="P31" s="50">
        <f t="shared" si="15"/>
        <v>95.652173913043484</v>
      </c>
    </row>
    <row r="32" spans="1:16">
      <c r="A32" s="47" t="s">
        <v>30</v>
      </c>
      <c r="B32" s="49" t="s">
        <v>37</v>
      </c>
      <c r="C32" s="49">
        <f t="shared" si="16"/>
        <v>19</v>
      </c>
      <c r="D32" s="56">
        <f>'[7]MASTER '!$AO$38</f>
        <v>0</v>
      </c>
      <c r="E32" s="56">
        <f>'[7]MASTER '!$AO$39</f>
        <v>1</v>
      </c>
      <c r="F32" s="56">
        <f>'[7]MASTER '!$AO$40</f>
        <v>1</v>
      </c>
      <c r="G32" s="56">
        <f>'[7]MASTER '!$AO$41</f>
        <v>1</v>
      </c>
      <c r="H32" s="56">
        <f>'[7]MASTER '!$AO$42</f>
        <v>0</v>
      </c>
      <c r="I32" s="56">
        <f>'[7]MASTER '!$AO$43</f>
        <v>0</v>
      </c>
      <c r="J32" s="56">
        <f>'[7]MASTER '!$AO$44</f>
        <v>4</v>
      </c>
      <c r="K32" s="56">
        <f>'[7]MASTER '!$AO$45</f>
        <v>3</v>
      </c>
      <c r="L32" s="56">
        <f>'[7]MASTER '!$AO$46</f>
        <v>9</v>
      </c>
      <c r="M32" s="49">
        <f t="shared" si="17"/>
        <v>3</v>
      </c>
      <c r="N32" s="50">
        <f t="shared" si="13"/>
        <v>15.789473684210526</v>
      </c>
      <c r="O32" s="49">
        <f t="shared" si="14"/>
        <v>10</v>
      </c>
      <c r="P32" s="50">
        <f t="shared" si="15"/>
        <v>52.631578947368418</v>
      </c>
    </row>
    <row r="33" spans="1:16">
      <c r="A33" s="51"/>
      <c r="B33" s="52" t="s">
        <v>32</v>
      </c>
      <c r="C33" s="47">
        <f t="shared" ref="C33:L33" si="18">SUM(C26:C32)</f>
        <v>163</v>
      </c>
      <c r="D33" s="47">
        <f t="shared" si="18"/>
        <v>43</v>
      </c>
      <c r="E33" s="47">
        <f t="shared" si="18"/>
        <v>37</v>
      </c>
      <c r="F33" s="47">
        <f t="shared" si="18"/>
        <v>9</v>
      </c>
      <c r="G33" s="47">
        <f t="shared" si="18"/>
        <v>18</v>
      </c>
      <c r="H33" s="47">
        <f t="shared" si="18"/>
        <v>11</v>
      </c>
      <c r="I33" s="47">
        <f t="shared" si="18"/>
        <v>5</v>
      </c>
      <c r="J33" s="47">
        <f t="shared" si="18"/>
        <v>16</v>
      </c>
      <c r="K33" s="47">
        <f t="shared" si="18"/>
        <v>8</v>
      </c>
      <c r="L33" s="47">
        <f t="shared" si="18"/>
        <v>16</v>
      </c>
      <c r="M33" s="47">
        <f>SUM(D33:I33)</f>
        <v>123</v>
      </c>
      <c r="N33" s="53">
        <f>((M33/C33)*100)</f>
        <v>75.460122699386503</v>
      </c>
      <c r="O33" s="47">
        <f t="shared" ref="O33" si="19">SUM(D33:K33)</f>
        <v>147</v>
      </c>
      <c r="P33" s="53">
        <f>((O33/C33)*100)</f>
        <v>90.184049079754601</v>
      </c>
    </row>
    <row r="34" spans="1:16" ht="15">
      <c r="A34" s="45" t="s">
        <v>39</v>
      </c>
    </row>
    <row r="35" spans="1:16" s="48" customFormat="1" ht="14.25" customHeight="1">
      <c r="A35" s="46"/>
      <c r="B35" s="46"/>
      <c r="C35" s="46"/>
      <c r="D35" s="157" t="s">
        <v>1</v>
      </c>
      <c r="E35" s="158"/>
      <c r="F35" s="157" t="s">
        <v>2</v>
      </c>
      <c r="G35" s="162"/>
      <c r="H35" s="162"/>
      <c r="I35" s="158"/>
      <c r="J35" s="160" t="s">
        <v>3</v>
      </c>
      <c r="K35" s="161"/>
      <c r="L35" s="83" t="s">
        <v>4</v>
      </c>
      <c r="M35" s="46"/>
      <c r="N35" s="46"/>
      <c r="O35" s="46"/>
      <c r="P35" s="46"/>
    </row>
    <row r="36" spans="1:16" ht="27.95">
      <c r="A36" s="81" t="s">
        <v>5</v>
      </c>
      <c r="B36" s="81" t="s">
        <v>6</v>
      </c>
      <c r="C36" s="81" t="s">
        <v>7</v>
      </c>
      <c r="D36" s="81" t="s">
        <v>8</v>
      </c>
      <c r="E36" s="81" t="s">
        <v>9</v>
      </c>
      <c r="F36" s="81" t="s">
        <v>10</v>
      </c>
      <c r="G36" s="81" t="s">
        <v>11</v>
      </c>
      <c r="H36" s="81" t="s">
        <v>12</v>
      </c>
      <c r="I36" s="81" t="s">
        <v>13</v>
      </c>
      <c r="J36" s="81" t="s">
        <v>14</v>
      </c>
      <c r="K36" s="81" t="s">
        <v>15</v>
      </c>
      <c r="L36" s="81" t="s">
        <v>16</v>
      </c>
      <c r="M36" s="82" t="s">
        <v>17</v>
      </c>
      <c r="N36" s="82" t="s">
        <v>18</v>
      </c>
      <c r="O36" s="82" t="s">
        <v>19</v>
      </c>
      <c r="P36" s="82" t="s">
        <v>20</v>
      </c>
    </row>
    <row r="37" spans="1:16" ht="14.25">
      <c r="A37" s="47" t="s">
        <v>21</v>
      </c>
      <c r="B37" s="58" t="s">
        <v>40</v>
      </c>
      <c r="C37" s="59">
        <f>SUM(D37:L37)</f>
        <v>23</v>
      </c>
      <c r="D37" s="59">
        <f>'[1]MASTER '!$BI$38</f>
        <v>18</v>
      </c>
      <c r="E37" s="59">
        <f>'[1]MASTER '!$BI$39</f>
        <v>4</v>
      </c>
      <c r="F37" s="59">
        <f>'[1]MASTER '!$BI$40</f>
        <v>0</v>
      </c>
      <c r="G37" s="59">
        <f>'[1]MASTER '!$BI$41</f>
        <v>1</v>
      </c>
      <c r="H37" s="59">
        <f>'[1]MASTER '!$BI$42</f>
        <v>0</v>
      </c>
      <c r="I37" s="59">
        <f>'[1]MASTER '!$BI$43</f>
        <v>0</v>
      </c>
      <c r="J37" s="59">
        <f>'[1]MASTER '!$BI$44</f>
        <v>0</v>
      </c>
      <c r="K37" s="59">
        <f>'[1]MASTER '!$BI$45</f>
        <v>0</v>
      </c>
      <c r="L37" s="59">
        <f>'[1]MASTER '!$BI$46</f>
        <v>0</v>
      </c>
      <c r="M37" s="59">
        <f>SUM(D37:I37)</f>
        <v>23</v>
      </c>
      <c r="N37" s="60">
        <f t="shared" ref="N37:N43" si="20">((M37/C37)*100)</f>
        <v>100</v>
      </c>
      <c r="O37" s="59">
        <f t="shared" ref="O37:O43" si="21">SUM(D37:K37)</f>
        <v>23</v>
      </c>
      <c r="P37" s="60">
        <f t="shared" ref="P37:P43" si="22">((O37/C37)*100)</f>
        <v>100</v>
      </c>
    </row>
    <row r="38" spans="1:16" ht="14.25">
      <c r="A38" s="47" t="s">
        <v>23</v>
      </c>
      <c r="B38" s="58" t="s">
        <v>41</v>
      </c>
      <c r="C38" s="59">
        <f t="shared" ref="C38:C43" si="23">SUM(D38:L38)</f>
        <v>21</v>
      </c>
      <c r="D38" s="59">
        <f>'[2]MASTER '!$BI$38</f>
        <v>0</v>
      </c>
      <c r="E38" s="59">
        <f>'[2]MASTER '!$BI$39</f>
        <v>3</v>
      </c>
      <c r="F38" s="59">
        <f>'[2]MASTER '!$BI$40</f>
        <v>0</v>
      </c>
      <c r="G38" s="59">
        <f>'[2]MASTER '!$BI$41</f>
        <v>0</v>
      </c>
      <c r="H38" s="59">
        <f>'[2]MASTER '!$BI$42</f>
        <v>3</v>
      </c>
      <c r="I38" s="59">
        <f>'[2]MASTER '!$BI$43</f>
        <v>8</v>
      </c>
      <c r="J38" s="59">
        <f>'[2]MASTER '!$BI$44</f>
        <v>6</v>
      </c>
      <c r="K38" s="59">
        <f>'[2]MASTER '!$BI$45</f>
        <v>1</v>
      </c>
      <c r="L38" s="59">
        <f>'[2]MASTER '!$BI$46</f>
        <v>0</v>
      </c>
      <c r="M38" s="59">
        <f t="shared" ref="M38:M43" si="24">SUM(D38:I38)</f>
        <v>14</v>
      </c>
      <c r="N38" s="60">
        <f>((M38/C38)*100)</f>
        <v>66.666666666666657</v>
      </c>
      <c r="O38" s="59">
        <f t="shared" si="21"/>
        <v>21</v>
      </c>
      <c r="P38" s="60">
        <f t="shared" si="22"/>
        <v>100</v>
      </c>
    </row>
    <row r="39" spans="1:16" ht="14.25">
      <c r="A39" s="47" t="s">
        <v>25</v>
      </c>
      <c r="B39" s="58" t="s">
        <v>40</v>
      </c>
      <c r="C39" s="59">
        <f t="shared" si="23"/>
        <v>27</v>
      </c>
      <c r="D39" s="59">
        <f>'[3]MASTER '!$BI$38</f>
        <v>2</v>
      </c>
      <c r="E39" s="59">
        <f>'[3]MASTER '!$BI$39</f>
        <v>9</v>
      </c>
      <c r="F39" s="59">
        <f>'[3]MASTER '!$BI$40</f>
        <v>6</v>
      </c>
      <c r="G39" s="59">
        <f>'[3]MASTER '!$BI$41</f>
        <v>2</v>
      </c>
      <c r="H39" s="59">
        <f>'[3]MASTER '!$BI$42</f>
        <v>3</v>
      </c>
      <c r="I39" s="59">
        <f>'[3]MASTER '!$BI$43</f>
        <v>2</v>
      </c>
      <c r="J39" s="59">
        <f>'[3]MASTER '!$BI$44</f>
        <v>2</v>
      </c>
      <c r="K39" s="59">
        <f>'[3]MASTER '!$BI$45</f>
        <v>1</v>
      </c>
      <c r="L39" s="59">
        <f>'[3]MASTER '!$BI$46</f>
        <v>0</v>
      </c>
      <c r="M39" s="59">
        <f t="shared" si="24"/>
        <v>24</v>
      </c>
      <c r="N39" s="60">
        <f t="shared" si="20"/>
        <v>88.888888888888886</v>
      </c>
      <c r="O39" s="59">
        <f t="shared" si="21"/>
        <v>27</v>
      </c>
      <c r="P39" s="60">
        <f t="shared" si="22"/>
        <v>100</v>
      </c>
    </row>
    <row r="40" spans="1:16" ht="14.25">
      <c r="A40" s="47" t="s">
        <v>27</v>
      </c>
      <c r="B40" s="58" t="s">
        <v>41</v>
      </c>
      <c r="C40" s="59">
        <f t="shared" si="23"/>
        <v>26</v>
      </c>
      <c r="D40" s="59">
        <f>'[4]MASTER '!$BI$38</f>
        <v>0</v>
      </c>
      <c r="E40" s="59">
        <f>'[4]MASTER '!$BI$39</f>
        <v>3</v>
      </c>
      <c r="F40" s="59">
        <f>'[4]MASTER '!$BI$40</f>
        <v>1</v>
      </c>
      <c r="G40" s="59">
        <f>'[4]MASTER '!$BI$41</f>
        <v>2</v>
      </c>
      <c r="H40" s="59">
        <f>'[4]MASTER '!$BI$42</f>
        <v>4</v>
      </c>
      <c r="I40" s="59">
        <f>'[4]MASTER '!$BI$43</f>
        <v>3</v>
      </c>
      <c r="J40" s="59">
        <f>'[4]MASTER '!$BI$44</f>
        <v>11</v>
      </c>
      <c r="K40" s="59">
        <f>'[4]MASTER '!$BI$45</f>
        <v>2</v>
      </c>
      <c r="L40" s="59">
        <f>'[4]MASTER '!$BI$46</f>
        <v>0</v>
      </c>
      <c r="M40" s="59">
        <f t="shared" si="24"/>
        <v>13</v>
      </c>
      <c r="N40" s="60">
        <f>((M40/C40)*100)</f>
        <v>50</v>
      </c>
      <c r="O40" s="59">
        <f>SUM(D40:K40)</f>
        <v>26</v>
      </c>
      <c r="P40" s="60">
        <f>((O40/C40)*100)</f>
        <v>100</v>
      </c>
    </row>
    <row r="41" spans="1:16" ht="14.25">
      <c r="A41" s="47" t="s">
        <v>28</v>
      </c>
      <c r="B41" s="58" t="s">
        <v>40</v>
      </c>
      <c r="C41" s="59">
        <f t="shared" si="23"/>
        <v>24</v>
      </c>
      <c r="D41" s="59">
        <f>'[5]MASTER '!$BI$38</f>
        <v>2</v>
      </c>
      <c r="E41" s="59">
        <f>'[5]MASTER '!$BI$39</f>
        <v>8</v>
      </c>
      <c r="F41" s="59">
        <f>'[5]MASTER '!$BI$40</f>
        <v>2</v>
      </c>
      <c r="G41" s="59">
        <f>'[5]MASTER '!$BI$41</f>
        <v>4</v>
      </c>
      <c r="H41" s="59">
        <f>'[5]MASTER '!$BI$42</f>
        <v>3</v>
      </c>
      <c r="I41" s="59">
        <f>'[5]MASTER '!$BI$43</f>
        <v>0</v>
      </c>
      <c r="J41" s="59">
        <f>'[5]MASTER '!$BI$44</f>
        <v>5</v>
      </c>
      <c r="K41" s="59">
        <f>'[5]MASTER '!$BI$45</f>
        <v>0</v>
      </c>
      <c r="L41" s="59">
        <f>'[5]MASTER '!$BI$46</f>
        <v>0</v>
      </c>
      <c r="M41" s="59">
        <f t="shared" si="24"/>
        <v>19</v>
      </c>
      <c r="N41" s="60">
        <f t="shared" si="20"/>
        <v>79.166666666666657</v>
      </c>
      <c r="O41" s="59">
        <f t="shared" si="21"/>
        <v>24</v>
      </c>
      <c r="P41" s="60">
        <f t="shared" si="22"/>
        <v>100</v>
      </c>
    </row>
    <row r="42" spans="1:16" ht="14.25">
      <c r="A42" s="47" t="s">
        <v>29</v>
      </c>
      <c r="B42" s="58" t="s">
        <v>42</v>
      </c>
      <c r="C42" s="59">
        <f t="shared" si="23"/>
        <v>21</v>
      </c>
      <c r="D42" s="59">
        <f>'[6]MASTER '!$BI$38</f>
        <v>0</v>
      </c>
      <c r="E42" s="59">
        <f>'[6]MASTER '!$BI$39</f>
        <v>6</v>
      </c>
      <c r="F42" s="59">
        <f>'[6]MASTER '!$BI$40</f>
        <v>1</v>
      </c>
      <c r="G42" s="59">
        <f>'[6]MASTER '!$BI$41</f>
        <v>2</v>
      </c>
      <c r="H42" s="59">
        <f>'[6]MASTER '!$BI$42</f>
        <v>3</v>
      </c>
      <c r="I42" s="59">
        <f>'[6]MASTER '!$BI$43</f>
        <v>4</v>
      </c>
      <c r="J42" s="59">
        <f>'[6]MASTER '!$BI$44</f>
        <v>5</v>
      </c>
      <c r="K42" s="59">
        <f>'[6]MASTER '!$BI$45</f>
        <v>0</v>
      </c>
      <c r="L42" s="59">
        <f>'[6]MASTER '!$BI$46</f>
        <v>0</v>
      </c>
      <c r="M42" s="59">
        <f t="shared" si="24"/>
        <v>16</v>
      </c>
      <c r="N42" s="60">
        <f t="shared" si="20"/>
        <v>76.19047619047619</v>
      </c>
      <c r="O42" s="59">
        <f t="shared" si="21"/>
        <v>21</v>
      </c>
      <c r="P42" s="60">
        <f t="shared" si="22"/>
        <v>100</v>
      </c>
    </row>
    <row r="43" spans="1:16" ht="14.25">
      <c r="A43" s="47" t="s">
        <v>30</v>
      </c>
      <c r="B43" s="58" t="s">
        <v>41</v>
      </c>
      <c r="C43" s="59">
        <f t="shared" si="23"/>
        <v>19</v>
      </c>
      <c r="D43" s="59">
        <f>'[7]MASTER '!$BI$38</f>
        <v>0</v>
      </c>
      <c r="E43" s="59">
        <f>'[7]MASTER '!$BI$39</f>
        <v>0</v>
      </c>
      <c r="F43" s="59">
        <f>'[7]MASTER '!$BI$40</f>
        <v>2</v>
      </c>
      <c r="G43" s="59">
        <f>'[7]MASTER '!$BI$41</f>
        <v>0</v>
      </c>
      <c r="H43" s="59">
        <f>'[7]MASTER '!$BI$42</f>
        <v>0</v>
      </c>
      <c r="I43" s="59">
        <f>'[7]MASTER '!$BI$43</f>
        <v>0</v>
      </c>
      <c r="J43" s="59">
        <f>'[7]MASTER '!$BI$44</f>
        <v>5</v>
      </c>
      <c r="K43" s="59">
        <f>'[7]MASTER '!$BI$45</f>
        <v>3</v>
      </c>
      <c r="L43" s="59">
        <f>'[7]MASTER '!$BI$46</f>
        <v>9</v>
      </c>
      <c r="M43" s="59">
        <f t="shared" si="24"/>
        <v>2</v>
      </c>
      <c r="N43" s="60">
        <f t="shared" si="20"/>
        <v>10.526315789473683</v>
      </c>
      <c r="O43" s="59">
        <f t="shared" si="21"/>
        <v>10</v>
      </c>
      <c r="P43" s="60">
        <f t="shared" si="22"/>
        <v>52.631578947368418</v>
      </c>
    </row>
    <row r="44" spans="1:16">
      <c r="A44" s="51"/>
      <c r="B44" s="52" t="s">
        <v>32</v>
      </c>
      <c r="C44" s="47">
        <f t="shared" ref="C44:L44" si="25">SUM(C37:C43)</f>
        <v>161</v>
      </c>
      <c r="D44" s="47">
        <f t="shared" si="25"/>
        <v>22</v>
      </c>
      <c r="E44" s="47">
        <f t="shared" si="25"/>
        <v>33</v>
      </c>
      <c r="F44" s="47">
        <f t="shared" si="25"/>
        <v>12</v>
      </c>
      <c r="G44" s="47">
        <f t="shared" si="25"/>
        <v>11</v>
      </c>
      <c r="H44" s="47">
        <f t="shared" si="25"/>
        <v>16</v>
      </c>
      <c r="I44" s="47">
        <f t="shared" si="25"/>
        <v>17</v>
      </c>
      <c r="J44" s="47">
        <f t="shared" si="25"/>
        <v>34</v>
      </c>
      <c r="K44" s="47">
        <f t="shared" si="25"/>
        <v>7</v>
      </c>
      <c r="L44" s="47">
        <f t="shared" si="25"/>
        <v>9</v>
      </c>
      <c r="M44" s="47">
        <f>SUM(D44:I44)</f>
        <v>111</v>
      </c>
      <c r="N44" s="53">
        <f>((M44/C44)*100)</f>
        <v>68.944099378881987</v>
      </c>
      <c r="O44" s="47">
        <f t="shared" ref="O44" si="26">SUM(D44:K44)</f>
        <v>152</v>
      </c>
      <c r="P44" s="53">
        <f>((O44/C44)*100)</f>
        <v>94.409937888198755</v>
      </c>
    </row>
    <row r="45" spans="1:16" ht="15">
      <c r="A45" s="45" t="s">
        <v>43</v>
      </c>
    </row>
    <row r="46" spans="1:16" s="48" customFormat="1" ht="14.25" customHeight="1">
      <c r="A46" s="46"/>
      <c r="B46" s="46"/>
      <c r="C46" s="46"/>
      <c r="D46" s="157" t="s">
        <v>1</v>
      </c>
      <c r="E46" s="158"/>
      <c r="F46" s="157" t="s">
        <v>2</v>
      </c>
      <c r="G46" s="162"/>
      <c r="H46" s="162"/>
      <c r="I46" s="158"/>
      <c r="J46" s="160" t="s">
        <v>3</v>
      </c>
      <c r="K46" s="161"/>
      <c r="L46" s="83" t="s">
        <v>4</v>
      </c>
      <c r="M46" s="46"/>
      <c r="N46" s="46"/>
      <c r="O46" s="46"/>
      <c r="P46" s="46"/>
    </row>
    <row r="47" spans="1:16" ht="27.95">
      <c r="A47" s="81" t="s">
        <v>5</v>
      </c>
      <c r="B47" s="81" t="s">
        <v>6</v>
      </c>
      <c r="C47" s="81" t="s">
        <v>7</v>
      </c>
      <c r="D47" s="81" t="s">
        <v>8</v>
      </c>
      <c r="E47" s="81" t="s">
        <v>9</v>
      </c>
      <c r="F47" s="81" t="s">
        <v>10</v>
      </c>
      <c r="G47" s="81" t="s">
        <v>11</v>
      </c>
      <c r="H47" s="81" t="s">
        <v>12</v>
      </c>
      <c r="I47" s="81" t="s">
        <v>13</v>
      </c>
      <c r="J47" s="81" t="s">
        <v>14</v>
      </c>
      <c r="K47" s="81" t="s">
        <v>15</v>
      </c>
      <c r="L47" s="81" t="s">
        <v>16</v>
      </c>
      <c r="M47" s="82" t="s">
        <v>17</v>
      </c>
      <c r="N47" s="82" t="s">
        <v>18</v>
      </c>
      <c r="O47" s="82" t="s">
        <v>19</v>
      </c>
      <c r="P47" s="82" t="s">
        <v>20</v>
      </c>
    </row>
    <row r="48" spans="1:16">
      <c r="A48" s="47" t="s">
        <v>21</v>
      </c>
      <c r="B48" s="61" t="s">
        <v>44</v>
      </c>
      <c r="C48" s="62">
        <f>SUM(D48:L48)</f>
        <v>23</v>
      </c>
      <c r="D48" s="64">
        <f>'[1]MASTER '!$AE$38</f>
        <v>1</v>
      </c>
      <c r="E48" s="64">
        <f>'[1]MASTER '!$AE$39</f>
        <v>1</v>
      </c>
      <c r="F48" s="64">
        <f>'[1]MASTER '!$AE$40</f>
        <v>1</v>
      </c>
      <c r="G48" s="64">
        <f>'[1]MASTER '!$AE$41</f>
        <v>1</v>
      </c>
      <c r="H48" s="64">
        <f>'[1]MASTER '!$AE$42</f>
        <v>5</v>
      </c>
      <c r="I48" s="64">
        <f>'[1]MASTER '!$AE$43</f>
        <v>2</v>
      </c>
      <c r="J48" s="64">
        <f>'[1]MASTER '!$AE$44</f>
        <v>8</v>
      </c>
      <c r="K48" s="64">
        <f>'[1]MASTER '!$AE$45</f>
        <v>2</v>
      </c>
      <c r="L48" s="64">
        <f>'[1]MASTER '!$AE$46</f>
        <v>2</v>
      </c>
      <c r="M48" s="49">
        <f>SUM(D48:I48)</f>
        <v>11</v>
      </c>
      <c r="N48" s="50">
        <f t="shared" ref="N48:N54" si="27">((M48/C48)*100)</f>
        <v>47.826086956521742</v>
      </c>
      <c r="O48" s="49">
        <f t="shared" ref="O48:O54" si="28">SUM(D48:K48)</f>
        <v>21</v>
      </c>
      <c r="P48" s="50">
        <f t="shared" ref="P48:P54" si="29">((O48/C48)*100)</f>
        <v>91.304347826086953</v>
      </c>
    </row>
    <row r="49" spans="1:16">
      <c r="A49" s="47" t="s">
        <v>23</v>
      </c>
      <c r="B49" s="63" t="s">
        <v>45</v>
      </c>
      <c r="C49" s="62">
        <f t="shared" ref="C49:C54" si="30">SUM(D49:L49)</f>
        <v>20</v>
      </c>
      <c r="D49" s="64">
        <f>'[2]MASTER '!$AE$38</f>
        <v>4</v>
      </c>
      <c r="E49" s="64">
        <f>'[2]MASTER '!$AE$39</f>
        <v>2</v>
      </c>
      <c r="F49" s="64">
        <f>'[2]MASTER '!$AE$40</f>
        <v>3</v>
      </c>
      <c r="G49" s="64">
        <f>'[2]MASTER '!$AE$41</f>
        <v>1</v>
      </c>
      <c r="H49" s="64">
        <f>'[2]MASTER '!$AE$42</f>
        <v>3</v>
      </c>
      <c r="I49" s="64">
        <f>'[2]MASTER '!$AE$43</f>
        <v>1</v>
      </c>
      <c r="J49" s="64">
        <f>'[2]MASTER '!$AE$44</f>
        <v>1</v>
      </c>
      <c r="K49" s="64">
        <f>'[2]MASTER '!$AE$45</f>
        <v>1</v>
      </c>
      <c r="L49" s="64">
        <f>'[2]MASTER '!$AE$46</f>
        <v>4</v>
      </c>
      <c r="M49" s="49">
        <f t="shared" ref="M49:M54" si="31">SUM(D49:I49)</f>
        <v>14</v>
      </c>
      <c r="N49" s="50">
        <f t="shared" si="27"/>
        <v>70</v>
      </c>
      <c r="O49" s="49">
        <f t="shared" si="28"/>
        <v>16</v>
      </c>
      <c r="P49" s="50">
        <f t="shared" si="29"/>
        <v>80</v>
      </c>
    </row>
    <row r="50" spans="1:16">
      <c r="A50" s="47" t="s">
        <v>25</v>
      </c>
      <c r="B50" s="63" t="s">
        <v>46</v>
      </c>
      <c r="C50" s="62">
        <f t="shared" si="30"/>
        <v>27</v>
      </c>
      <c r="D50" s="64">
        <f>'[3]MASTER '!$AE$38</f>
        <v>4</v>
      </c>
      <c r="E50" s="64">
        <f>'[3]MASTER '!$AE$39</f>
        <v>6</v>
      </c>
      <c r="F50" s="64">
        <f>'[3]MASTER '!$AE$40</f>
        <v>2</v>
      </c>
      <c r="G50" s="64">
        <f>'[3]MASTER '!$AE$41</f>
        <v>3</v>
      </c>
      <c r="H50" s="64">
        <f>'[3]MASTER '!$AE$42</f>
        <v>5</v>
      </c>
      <c r="I50" s="64">
        <f>'[3]MASTER '!$AE$43</f>
        <v>2</v>
      </c>
      <c r="J50" s="64">
        <f>'[3]MASTER '!$AE$44</f>
        <v>3</v>
      </c>
      <c r="K50" s="64">
        <f>'[3]MASTER '!$AE$45</f>
        <v>2</v>
      </c>
      <c r="L50" s="64">
        <f>'[3]MASTER '!$AE$46</f>
        <v>0</v>
      </c>
      <c r="M50" s="49">
        <f t="shared" si="31"/>
        <v>22</v>
      </c>
      <c r="N50" s="50">
        <f t="shared" si="27"/>
        <v>81.481481481481481</v>
      </c>
      <c r="O50" s="49">
        <f t="shared" si="28"/>
        <v>27</v>
      </c>
      <c r="P50" s="50">
        <f t="shared" si="29"/>
        <v>100</v>
      </c>
    </row>
    <row r="51" spans="1:16">
      <c r="A51" s="47" t="s">
        <v>27</v>
      </c>
      <c r="B51" s="63" t="s">
        <v>47</v>
      </c>
      <c r="C51" s="62">
        <f t="shared" si="30"/>
        <v>26</v>
      </c>
      <c r="D51" s="64">
        <f>'[4]MASTER '!$AE$38</f>
        <v>1</v>
      </c>
      <c r="E51" s="64">
        <f>'[4]MASTER '!$AE$39</f>
        <v>0</v>
      </c>
      <c r="F51" s="64">
        <f>'[4]MASTER '!$AE$40</f>
        <v>2</v>
      </c>
      <c r="G51" s="64">
        <f>'[4]MASTER '!$AE$41</f>
        <v>1</v>
      </c>
      <c r="H51" s="64">
        <f>'[4]MASTER '!$AE$42</f>
        <v>2</v>
      </c>
      <c r="I51" s="64">
        <f>'[4]MASTER '!$AE$43</f>
        <v>2</v>
      </c>
      <c r="J51" s="64">
        <f>'[4]MASTER '!$AE$44</f>
        <v>4</v>
      </c>
      <c r="K51" s="64">
        <f>'[4]MASTER '!$AE$45</f>
        <v>10</v>
      </c>
      <c r="L51" s="64">
        <f>'[4]MASTER '!$AE$46</f>
        <v>4</v>
      </c>
      <c r="M51" s="49">
        <f>SUM(D51:I51)</f>
        <v>8</v>
      </c>
      <c r="N51" s="50">
        <f>((M51/C51)*100)</f>
        <v>30.76923076923077</v>
      </c>
      <c r="O51" s="49">
        <f>SUM(D51:K51)</f>
        <v>22</v>
      </c>
      <c r="P51" s="50">
        <f>((O51/C51)*100)</f>
        <v>84.615384615384613</v>
      </c>
    </row>
    <row r="52" spans="1:16">
      <c r="A52" s="47" t="s">
        <v>28</v>
      </c>
      <c r="B52" s="63" t="s">
        <v>46</v>
      </c>
      <c r="C52" s="62">
        <f t="shared" si="30"/>
        <v>24</v>
      </c>
      <c r="D52" s="64">
        <f>'[5]MASTER '!$AE$38</f>
        <v>0</v>
      </c>
      <c r="E52" s="64">
        <f>'[5]MASTER '!$AE$39</f>
        <v>1</v>
      </c>
      <c r="F52" s="64">
        <f>'[5]MASTER '!$AE$40</f>
        <v>0</v>
      </c>
      <c r="G52" s="64">
        <f>'[5]MASTER '!$AE$41</f>
        <v>0</v>
      </c>
      <c r="H52" s="64">
        <f>'[5]MASTER '!$AE$42</f>
        <v>1</v>
      </c>
      <c r="I52" s="64">
        <f>'[5]MASTER '!$AE$43</f>
        <v>3</v>
      </c>
      <c r="J52" s="64">
        <f>'[5]MASTER '!$AE$44</f>
        <v>7</v>
      </c>
      <c r="K52" s="64">
        <f>'[5]MASTER '!$AE$45</f>
        <v>3</v>
      </c>
      <c r="L52" s="64">
        <f>'[5]MASTER '!$AE$46</f>
        <v>9</v>
      </c>
      <c r="M52" s="49">
        <f t="shared" si="31"/>
        <v>5</v>
      </c>
      <c r="N52" s="50">
        <f t="shared" si="27"/>
        <v>20.833333333333336</v>
      </c>
      <c r="O52" s="49">
        <f t="shared" si="28"/>
        <v>15</v>
      </c>
      <c r="P52" s="50">
        <f t="shared" si="29"/>
        <v>62.5</v>
      </c>
    </row>
    <row r="53" spans="1:16">
      <c r="A53" s="47" t="s">
        <v>29</v>
      </c>
      <c r="B53" s="63" t="s">
        <v>46</v>
      </c>
      <c r="C53" s="62">
        <f t="shared" si="30"/>
        <v>21</v>
      </c>
      <c r="D53" s="64">
        <f>'[6]MASTER '!$AE$38</f>
        <v>1</v>
      </c>
      <c r="E53" s="64">
        <f>'[6]MASTER '!$AE$39</f>
        <v>1</v>
      </c>
      <c r="F53" s="64">
        <f>'[6]MASTER '!$AE$40</f>
        <v>2</v>
      </c>
      <c r="G53" s="64">
        <f>'[6]MASTER '!$AE$41</f>
        <v>3</v>
      </c>
      <c r="H53" s="64">
        <f>'[6]MASTER '!$AE$42</f>
        <v>3</v>
      </c>
      <c r="I53" s="64">
        <f>'[6]MASTER '!$AE$43</f>
        <v>4</v>
      </c>
      <c r="J53" s="64">
        <f>'[6]MASTER '!$AE$44</f>
        <v>3</v>
      </c>
      <c r="K53" s="64">
        <f>'[6]MASTER '!$AE$45</f>
        <v>2</v>
      </c>
      <c r="L53" s="64">
        <f>'[6]MASTER '!$AE$46</f>
        <v>2</v>
      </c>
      <c r="M53" s="49">
        <f t="shared" si="31"/>
        <v>14</v>
      </c>
      <c r="N53" s="50">
        <f t="shared" si="27"/>
        <v>66.666666666666657</v>
      </c>
      <c r="O53" s="49">
        <f>SUM(D53:K53)</f>
        <v>19</v>
      </c>
      <c r="P53" s="50">
        <f t="shared" si="29"/>
        <v>90.476190476190482</v>
      </c>
    </row>
    <row r="54" spans="1:16">
      <c r="A54" s="47" t="s">
        <v>30</v>
      </c>
      <c r="B54" s="61" t="s">
        <v>44</v>
      </c>
      <c r="C54" s="62">
        <f t="shared" si="30"/>
        <v>21</v>
      </c>
      <c r="D54" s="64">
        <f>'[6]MASTER '!$AE$38</f>
        <v>1</v>
      </c>
      <c r="E54" s="64">
        <f>'[6]MASTER '!$AE$39</f>
        <v>1</v>
      </c>
      <c r="F54" s="64">
        <f>'[6]MASTER '!$AE$40</f>
        <v>2</v>
      </c>
      <c r="G54" s="64">
        <f>'[6]MASTER '!$AE$41</f>
        <v>3</v>
      </c>
      <c r="H54" s="64">
        <f>'[6]MASTER '!$AE$42</f>
        <v>3</v>
      </c>
      <c r="I54" s="64">
        <f>'[6]MASTER '!$AE$43</f>
        <v>4</v>
      </c>
      <c r="J54" s="64">
        <f>'[6]MASTER '!$AE$44</f>
        <v>3</v>
      </c>
      <c r="K54" s="64">
        <f>'[6]MASTER '!$AE$45</f>
        <v>2</v>
      </c>
      <c r="L54" s="64">
        <f>'[6]MASTER '!$AE$46</f>
        <v>2</v>
      </c>
      <c r="M54" s="49">
        <f t="shared" si="31"/>
        <v>14</v>
      </c>
      <c r="N54" s="50">
        <f t="shared" si="27"/>
        <v>66.666666666666657</v>
      </c>
      <c r="O54" s="49">
        <f t="shared" si="28"/>
        <v>19</v>
      </c>
      <c r="P54" s="50">
        <f t="shared" si="29"/>
        <v>90.476190476190482</v>
      </c>
    </row>
    <row r="55" spans="1:16">
      <c r="A55" s="51"/>
      <c r="B55" s="52" t="s">
        <v>32</v>
      </c>
      <c r="C55" s="47">
        <f t="shared" ref="C55:L55" si="32">SUM(C48:C54)</f>
        <v>162</v>
      </c>
      <c r="D55" s="47">
        <f t="shared" si="32"/>
        <v>12</v>
      </c>
      <c r="E55" s="47">
        <f t="shared" si="32"/>
        <v>12</v>
      </c>
      <c r="F55" s="47">
        <f t="shared" si="32"/>
        <v>12</v>
      </c>
      <c r="G55" s="47">
        <f t="shared" si="32"/>
        <v>12</v>
      </c>
      <c r="H55" s="47">
        <f t="shared" si="32"/>
        <v>22</v>
      </c>
      <c r="I55" s="47">
        <f t="shared" si="32"/>
        <v>18</v>
      </c>
      <c r="J55" s="47">
        <f t="shared" si="32"/>
        <v>29</v>
      </c>
      <c r="K55" s="47">
        <f t="shared" si="32"/>
        <v>22</v>
      </c>
      <c r="L55" s="47">
        <f t="shared" si="32"/>
        <v>23</v>
      </c>
      <c r="M55" s="47">
        <f t="shared" ref="M55" si="33">SUM(D55:I55)</f>
        <v>88</v>
      </c>
      <c r="N55" s="53">
        <f>((M55/C55)*100)</f>
        <v>54.320987654320987</v>
      </c>
      <c r="O55" s="47">
        <f t="shared" ref="O55" si="34">SUM(D55:K55)</f>
        <v>139</v>
      </c>
      <c r="P55" s="53">
        <f>((O55/C55)*100)</f>
        <v>85.802469135802468</v>
      </c>
    </row>
    <row r="56" spans="1:16" ht="15">
      <c r="A56" s="45" t="s">
        <v>48</v>
      </c>
    </row>
    <row r="57" spans="1:16" s="48" customFormat="1" ht="14.25" customHeight="1">
      <c r="A57" s="46"/>
      <c r="B57" s="46"/>
      <c r="C57" s="46"/>
      <c r="D57" s="157" t="s">
        <v>1</v>
      </c>
      <c r="E57" s="158"/>
      <c r="F57" s="157" t="s">
        <v>2</v>
      </c>
      <c r="G57" s="162"/>
      <c r="H57" s="162"/>
      <c r="I57" s="158"/>
      <c r="J57" s="160" t="s">
        <v>3</v>
      </c>
      <c r="K57" s="161"/>
      <c r="L57" s="83" t="s">
        <v>4</v>
      </c>
      <c r="M57" s="46"/>
      <c r="N57" s="46"/>
      <c r="O57" s="46"/>
      <c r="P57" s="46"/>
    </row>
    <row r="58" spans="1:16" ht="27.95">
      <c r="A58" s="81" t="s">
        <v>5</v>
      </c>
      <c r="B58" s="81" t="s">
        <v>6</v>
      </c>
      <c r="C58" s="81" t="s">
        <v>7</v>
      </c>
      <c r="D58" s="81" t="s">
        <v>8</v>
      </c>
      <c r="E58" s="81" t="s">
        <v>9</v>
      </c>
      <c r="F58" s="81" t="s">
        <v>10</v>
      </c>
      <c r="G58" s="81" t="s">
        <v>11</v>
      </c>
      <c r="H58" s="81" t="s">
        <v>12</v>
      </c>
      <c r="I58" s="81" t="s">
        <v>13</v>
      </c>
      <c r="J58" s="81" t="s">
        <v>14</v>
      </c>
      <c r="K58" s="81" t="s">
        <v>15</v>
      </c>
      <c r="L58" s="81" t="s">
        <v>16</v>
      </c>
      <c r="M58" s="82" t="s">
        <v>17</v>
      </c>
      <c r="N58" s="82" t="s">
        <v>18</v>
      </c>
      <c r="O58" s="82" t="s">
        <v>19</v>
      </c>
      <c r="P58" s="82" t="s">
        <v>20</v>
      </c>
    </row>
    <row r="59" spans="1:16">
      <c r="A59" s="47" t="s">
        <v>21</v>
      </c>
      <c r="B59" s="49" t="s">
        <v>49</v>
      </c>
      <c r="C59" s="49">
        <f>SUM(D59:L59)</f>
        <v>23</v>
      </c>
      <c r="D59" s="49">
        <f>'[1]MASTER '!$AY$38</f>
        <v>0</v>
      </c>
      <c r="E59" s="49">
        <f>'[1]MASTER '!$AY$39</f>
        <v>1</v>
      </c>
      <c r="F59" s="49">
        <f>'[1]MASTER '!$AY$40</f>
        <v>2</v>
      </c>
      <c r="G59" s="49">
        <f>'[1]MASTER '!$AY$41</f>
        <v>9</v>
      </c>
      <c r="H59" s="49">
        <f>'[1]MASTER '!$AY$42</f>
        <v>1</v>
      </c>
      <c r="I59" s="49">
        <f>'[1]MASTER '!$AY$43</f>
        <v>5</v>
      </c>
      <c r="J59" s="49">
        <f>'[1]MASTER '!$AY$44</f>
        <v>3</v>
      </c>
      <c r="K59" s="49">
        <f>'[1]MASTER '!$AY$45</f>
        <v>2</v>
      </c>
      <c r="L59" s="49">
        <f>'[1]MASTER '!$AY$46</f>
        <v>0</v>
      </c>
      <c r="M59" s="49">
        <f>SUM(D59:I59)</f>
        <v>18</v>
      </c>
      <c r="N59" s="50">
        <f t="shared" ref="N59:N65" si="35">((M59/C59)*100)</f>
        <v>78.260869565217391</v>
      </c>
      <c r="O59" s="49">
        <f>SUM(D59:K59)</f>
        <v>23</v>
      </c>
      <c r="P59" s="50">
        <f t="shared" ref="P59:P65" si="36">((O59/C59)*100)</f>
        <v>100</v>
      </c>
    </row>
    <row r="60" spans="1:16">
      <c r="A60" s="47" t="s">
        <v>23</v>
      </c>
      <c r="B60" s="49" t="s">
        <v>50</v>
      </c>
      <c r="C60" s="49">
        <f t="shared" ref="C60:C65" si="37">SUM(D60:L60)</f>
        <v>21</v>
      </c>
      <c r="D60" s="49">
        <f>'[2]MASTER '!$AY$38</f>
        <v>0</v>
      </c>
      <c r="E60" s="49">
        <f>'[2]MASTER '!$AY$39</f>
        <v>1</v>
      </c>
      <c r="F60" s="49">
        <f>'[2]MASTER '!$AY$40</f>
        <v>0</v>
      </c>
      <c r="G60" s="49">
        <f>'[2]MASTER '!$AY$41</f>
        <v>1</v>
      </c>
      <c r="H60" s="49">
        <f>'[2]MASTER '!$AY$42</f>
        <v>0</v>
      </c>
      <c r="I60" s="49">
        <f>'[2]MASTER '!$AY$43</f>
        <v>4</v>
      </c>
      <c r="J60" s="49">
        <f>'[2]MASTER '!$AY$44</f>
        <v>5</v>
      </c>
      <c r="K60" s="49">
        <f>'[2]MASTER '!$AY$45</f>
        <v>8</v>
      </c>
      <c r="L60" s="49">
        <f>'[2]MASTER '!$AY$46</f>
        <v>2</v>
      </c>
      <c r="M60" s="49">
        <f t="shared" ref="M60:M65" si="38">SUM(D60:I60)</f>
        <v>6</v>
      </c>
      <c r="N60" s="50">
        <f t="shared" si="35"/>
        <v>28.571428571428569</v>
      </c>
      <c r="O60" s="49">
        <f t="shared" ref="O60:O65" si="39">SUM(D60:K60)</f>
        <v>19</v>
      </c>
      <c r="P60" s="50">
        <f t="shared" si="36"/>
        <v>90.476190476190482</v>
      </c>
    </row>
    <row r="61" spans="1:16">
      <c r="A61" s="47" t="s">
        <v>25</v>
      </c>
      <c r="B61" s="49" t="s">
        <v>50</v>
      </c>
      <c r="C61" s="49">
        <f t="shared" si="37"/>
        <v>27</v>
      </c>
      <c r="D61" s="49">
        <f>'[3]MASTER '!$AY$38</f>
        <v>0</v>
      </c>
      <c r="E61" s="49">
        <f>'[3]MASTER '!$AY$39</f>
        <v>0</v>
      </c>
      <c r="F61" s="49">
        <f>'[3]MASTER '!$AY$40</f>
        <v>1</v>
      </c>
      <c r="G61" s="49">
        <f>'[3]MASTER '!$AY$41</f>
        <v>0</v>
      </c>
      <c r="H61" s="49">
        <f>'[3]MASTER '!$AY$42</f>
        <v>0</v>
      </c>
      <c r="I61" s="49">
        <f>'[3]MASTER '!$AY$43</f>
        <v>2</v>
      </c>
      <c r="J61" s="49">
        <f>'[3]MASTER '!$AY$44</f>
        <v>8</v>
      </c>
      <c r="K61" s="49">
        <f>'[3]MASTER '!$AY$45</f>
        <v>10</v>
      </c>
      <c r="L61" s="49">
        <f>'[3]MASTER '!$AY$46</f>
        <v>6</v>
      </c>
      <c r="M61" s="49">
        <f t="shared" si="38"/>
        <v>3</v>
      </c>
      <c r="N61" s="50">
        <f>((M61/C61)*100)</f>
        <v>11.111111111111111</v>
      </c>
      <c r="O61" s="49">
        <f>SUM(D61:K61)</f>
        <v>21</v>
      </c>
      <c r="P61" s="50">
        <f>((O61/C61)*100)</f>
        <v>77.777777777777786</v>
      </c>
    </row>
    <row r="62" spans="1:16">
      <c r="A62" s="47" t="s">
        <v>27</v>
      </c>
      <c r="B62" s="49" t="s">
        <v>49</v>
      </c>
      <c r="C62" s="49">
        <f>SUM(D62:L62)</f>
        <v>26</v>
      </c>
      <c r="D62" s="49">
        <f>'[4]MASTER '!$AY$38</f>
        <v>0</v>
      </c>
      <c r="E62" s="49">
        <f>'[4]MASTER '!$AY$39</f>
        <v>0</v>
      </c>
      <c r="F62" s="49">
        <f>'[4]MASTER '!$AY$40</f>
        <v>0</v>
      </c>
      <c r="G62" s="49">
        <f>'[4]MASTER '!$AY$41</f>
        <v>0</v>
      </c>
      <c r="H62" s="49">
        <f>'[4]MASTER '!$AY$42</f>
        <v>1</v>
      </c>
      <c r="I62" s="49">
        <f>'[4]MASTER '!$AY$43</f>
        <v>3</v>
      </c>
      <c r="J62" s="49">
        <f>'[4]MASTER '!$AY$44</f>
        <v>9</v>
      </c>
      <c r="K62" s="49">
        <f>'[4]MASTER '!$AY$45</f>
        <v>9</v>
      </c>
      <c r="L62" s="49">
        <f>'[4]MASTER '!$AY$46</f>
        <v>4</v>
      </c>
      <c r="M62" s="49">
        <f t="shared" si="38"/>
        <v>4</v>
      </c>
      <c r="N62" s="50">
        <f t="shared" si="35"/>
        <v>15.384615384615385</v>
      </c>
      <c r="O62" s="49">
        <f t="shared" si="39"/>
        <v>22</v>
      </c>
      <c r="P62" s="50">
        <f t="shared" si="36"/>
        <v>84.615384615384613</v>
      </c>
    </row>
    <row r="63" spans="1:16">
      <c r="A63" s="47" t="s">
        <v>28</v>
      </c>
      <c r="B63" s="49" t="s">
        <v>50</v>
      </c>
      <c r="C63" s="49">
        <f t="shared" si="37"/>
        <v>24</v>
      </c>
      <c r="D63" s="49">
        <f>'[5]MASTER '!$AY$38</f>
        <v>0</v>
      </c>
      <c r="E63" s="49">
        <f>'[5]MASTER '!$AY$39</f>
        <v>0</v>
      </c>
      <c r="F63" s="49">
        <f>'[5]MASTER '!$AY$40</f>
        <v>0</v>
      </c>
      <c r="G63" s="49">
        <f>'[5]MASTER '!$AY$41</f>
        <v>0</v>
      </c>
      <c r="H63" s="49">
        <f>'[5]MASTER '!$AY$42</f>
        <v>0</v>
      </c>
      <c r="I63" s="49">
        <f>'[5]MASTER '!$AY$43</f>
        <v>0</v>
      </c>
      <c r="J63" s="49">
        <f>'[5]MASTER '!$AY$44</f>
        <v>7</v>
      </c>
      <c r="K63" s="49">
        <f>'[5]MASTER '!$AY$45</f>
        <v>7</v>
      </c>
      <c r="L63" s="49">
        <f>'[5]MASTER '!$AY$46</f>
        <v>10</v>
      </c>
      <c r="M63" s="49">
        <f t="shared" si="38"/>
        <v>0</v>
      </c>
      <c r="N63" s="50">
        <f t="shared" si="35"/>
        <v>0</v>
      </c>
      <c r="O63" s="49">
        <f>SUM(D63:K63)</f>
        <v>14</v>
      </c>
      <c r="P63" s="50">
        <f t="shared" si="36"/>
        <v>58.333333333333336</v>
      </c>
    </row>
    <row r="64" spans="1:16">
      <c r="A64" s="47" t="s">
        <v>29</v>
      </c>
      <c r="B64" s="49" t="s">
        <v>50</v>
      </c>
      <c r="C64" s="49">
        <f t="shared" si="37"/>
        <v>21</v>
      </c>
      <c r="D64" s="49">
        <f>'[6]MASTER '!$AY$38</f>
        <v>0</v>
      </c>
      <c r="E64" s="49">
        <f>'[6]MASTER '!$AY$39</f>
        <v>0</v>
      </c>
      <c r="F64" s="49">
        <f>'[6]MASTER '!$AY$40</f>
        <v>0</v>
      </c>
      <c r="G64" s="49">
        <f>'[6]MASTER '!$AY$41</f>
        <v>0</v>
      </c>
      <c r="H64" s="49">
        <f>'[6]MASTER '!$AY$42</f>
        <v>0</v>
      </c>
      <c r="I64" s="49">
        <f>'[6]MASTER '!$AY$43</f>
        <v>0</v>
      </c>
      <c r="J64" s="49">
        <f>'[6]MASTER '!$AY$44</f>
        <v>1</v>
      </c>
      <c r="K64" s="49">
        <f>'[6]MASTER '!$AY$45</f>
        <v>8</v>
      </c>
      <c r="L64" s="49">
        <f>'[6]MASTER '!$AY$46</f>
        <v>12</v>
      </c>
      <c r="M64" s="49">
        <f t="shared" si="38"/>
        <v>0</v>
      </c>
      <c r="N64" s="50">
        <f t="shared" si="35"/>
        <v>0</v>
      </c>
      <c r="O64" s="49">
        <f t="shared" si="39"/>
        <v>9</v>
      </c>
      <c r="P64" s="50">
        <f t="shared" si="36"/>
        <v>42.857142857142854</v>
      </c>
    </row>
    <row r="65" spans="1:16">
      <c r="A65" s="47" t="s">
        <v>30</v>
      </c>
      <c r="B65" s="49" t="s">
        <v>49</v>
      </c>
      <c r="C65" s="49">
        <f t="shared" si="37"/>
        <v>19</v>
      </c>
      <c r="D65" s="49">
        <f>'[7]MASTER '!$AY$38</f>
        <v>0</v>
      </c>
      <c r="E65" s="49">
        <f>'[7]MASTER '!$AY$39</f>
        <v>0</v>
      </c>
      <c r="F65" s="49">
        <f>'[7]MASTER '!$AY$40</f>
        <v>1</v>
      </c>
      <c r="G65" s="49">
        <f>'[7]MASTER '!$AY$41</f>
        <v>0</v>
      </c>
      <c r="H65" s="49">
        <f>'[7]MASTER '!$AY$42</f>
        <v>0</v>
      </c>
      <c r="I65" s="49">
        <f>'[7]MASTER '!$AY$43</f>
        <v>0</v>
      </c>
      <c r="J65" s="49">
        <f>'[7]MASTER '!$AY$44</f>
        <v>0</v>
      </c>
      <c r="K65" s="49">
        <f>'[7]MASTER '!$AY$45</f>
        <v>1</v>
      </c>
      <c r="L65" s="49">
        <f>'[7]MASTER '!$AY$46</f>
        <v>17</v>
      </c>
      <c r="M65" s="49">
        <f t="shared" si="38"/>
        <v>1</v>
      </c>
      <c r="N65" s="50">
        <f t="shared" si="35"/>
        <v>5.2631578947368416</v>
      </c>
      <c r="O65" s="49">
        <f t="shared" si="39"/>
        <v>2</v>
      </c>
      <c r="P65" s="50">
        <f t="shared" si="36"/>
        <v>10.526315789473683</v>
      </c>
    </row>
    <row r="66" spans="1:16" ht="13.5" customHeight="1">
      <c r="A66" s="51"/>
      <c r="B66" s="52" t="s">
        <v>32</v>
      </c>
      <c r="C66" s="47">
        <f t="shared" ref="C66:L66" si="40">SUM(C59:C65)</f>
        <v>161</v>
      </c>
      <c r="D66" s="47">
        <f t="shared" si="40"/>
        <v>0</v>
      </c>
      <c r="E66" s="47">
        <f t="shared" si="40"/>
        <v>2</v>
      </c>
      <c r="F66" s="47">
        <f t="shared" si="40"/>
        <v>4</v>
      </c>
      <c r="G66" s="47">
        <f t="shared" si="40"/>
        <v>10</v>
      </c>
      <c r="H66" s="47">
        <f t="shared" si="40"/>
        <v>2</v>
      </c>
      <c r="I66" s="47">
        <f t="shared" si="40"/>
        <v>14</v>
      </c>
      <c r="J66" s="47">
        <f t="shared" si="40"/>
        <v>33</v>
      </c>
      <c r="K66" s="47">
        <f t="shared" si="40"/>
        <v>45</v>
      </c>
      <c r="L66" s="47">
        <f t="shared" si="40"/>
        <v>51</v>
      </c>
      <c r="M66" s="47">
        <f>SUM(D66:I66)</f>
        <v>32</v>
      </c>
      <c r="N66" s="53">
        <f>((M66/C66)*100)</f>
        <v>19.875776397515526</v>
      </c>
      <c r="O66" s="47">
        <f t="shared" ref="O66" si="41">SUM(D66:K66)</f>
        <v>110</v>
      </c>
      <c r="P66" s="53">
        <f>((O66/C66)*100)</f>
        <v>68.322981366459629</v>
      </c>
    </row>
    <row r="67" spans="1:16" ht="15">
      <c r="A67" s="45" t="s">
        <v>51</v>
      </c>
    </row>
    <row r="68" spans="1:16" s="48" customFormat="1" ht="14.25" customHeight="1">
      <c r="A68" s="46"/>
      <c r="B68" s="46"/>
      <c r="C68" s="46"/>
      <c r="D68" s="157" t="s">
        <v>1</v>
      </c>
      <c r="E68" s="158"/>
      <c r="F68" s="157" t="s">
        <v>2</v>
      </c>
      <c r="G68" s="162"/>
      <c r="H68" s="162"/>
      <c r="I68" s="158"/>
      <c r="J68" s="160" t="s">
        <v>3</v>
      </c>
      <c r="K68" s="161"/>
      <c r="L68" s="83" t="s">
        <v>4</v>
      </c>
      <c r="M68" s="46"/>
      <c r="N68" s="46"/>
      <c r="O68" s="46"/>
      <c r="P68" s="46"/>
    </row>
    <row r="69" spans="1:16" ht="27.95">
      <c r="A69" s="81" t="s">
        <v>5</v>
      </c>
      <c r="B69" s="81" t="s">
        <v>6</v>
      </c>
      <c r="C69" s="81" t="s">
        <v>7</v>
      </c>
      <c r="D69" s="81" t="s">
        <v>8</v>
      </c>
      <c r="E69" s="81" t="s">
        <v>9</v>
      </c>
      <c r="F69" s="81" t="s">
        <v>10</v>
      </c>
      <c r="G69" s="81" t="s">
        <v>11</v>
      </c>
      <c r="H69" s="81" t="s">
        <v>12</v>
      </c>
      <c r="I69" s="81" t="s">
        <v>13</v>
      </c>
      <c r="J69" s="81" t="s">
        <v>14</v>
      </c>
      <c r="K69" s="81" t="s">
        <v>15</v>
      </c>
      <c r="L69" s="81" t="s">
        <v>16</v>
      </c>
      <c r="M69" s="82" t="s">
        <v>17</v>
      </c>
      <c r="N69" s="82" t="s">
        <v>18</v>
      </c>
      <c r="O69" s="82" t="s">
        <v>19</v>
      </c>
      <c r="P69" s="82" t="s">
        <v>20</v>
      </c>
    </row>
    <row r="70" spans="1:16">
      <c r="A70" s="47" t="s">
        <v>21</v>
      </c>
      <c r="B70" s="49" t="s">
        <v>52</v>
      </c>
      <c r="C70" s="49">
        <f>SUM(D70:L70)</f>
        <v>23</v>
      </c>
      <c r="D70" s="49">
        <f>'[1]MASTER '!$CW$38</f>
        <v>15</v>
      </c>
      <c r="E70" s="49">
        <f>'[1]MASTER '!$CW$39</f>
        <v>6</v>
      </c>
      <c r="F70" s="49">
        <f>'[1]MASTER '!$CW$40</f>
        <v>0</v>
      </c>
      <c r="G70" s="49">
        <f>'[1]MASTER '!$CW$41</f>
        <v>0</v>
      </c>
      <c r="H70" s="49">
        <f>'[1]MASTER '!$CW$42</f>
        <v>1</v>
      </c>
      <c r="I70" s="49">
        <f>'[1]MASTER '!$CW$43</f>
        <v>0</v>
      </c>
      <c r="J70" s="49">
        <f>'[1]MASTER '!$CW$44</f>
        <v>1</v>
      </c>
      <c r="K70" s="49">
        <f>'[1]MASTER '!$CW$45</f>
        <v>0</v>
      </c>
      <c r="L70" s="49">
        <f>'[1]MASTER '!$CW$46</f>
        <v>0</v>
      </c>
      <c r="M70" s="49">
        <f t="shared" ref="M70:M74" si="42">SUM(D70:I70)</f>
        <v>22</v>
      </c>
      <c r="N70" s="50">
        <f t="shared" ref="N70:N74" si="43">((M70/C70)*100)</f>
        <v>95.652173913043484</v>
      </c>
      <c r="O70" s="49">
        <f t="shared" ref="O70:O74" si="44">SUM(D70:K70)</f>
        <v>23</v>
      </c>
      <c r="P70" s="50">
        <f t="shared" ref="P70:P74" si="45">((O70/C70)*100)</f>
        <v>100</v>
      </c>
    </row>
    <row r="71" spans="1:16">
      <c r="A71" s="47" t="s">
        <v>23</v>
      </c>
      <c r="B71" s="49" t="s">
        <v>53</v>
      </c>
      <c r="C71" s="49">
        <f t="shared" ref="C71:C73" si="46">SUM(D71:L71)</f>
        <v>21</v>
      </c>
      <c r="D71" s="49">
        <f>'[2]MASTER '!$CW$38</f>
        <v>2</v>
      </c>
      <c r="E71" s="49">
        <f>'[2]MASTER '!$CW$39</f>
        <v>6</v>
      </c>
      <c r="F71" s="49">
        <f>'[2]MASTER '!$CW$40</f>
        <v>1</v>
      </c>
      <c r="G71" s="49">
        <f>'[2]MASTER '!$CW$41</f>
        <v>2</v>
      </c>
      <c r="H71" s="49">
        <f>'[2]MASTER '!$CW$42</f>
        <v>3</v>
      </c>
      <c r="I71" s="49">
        <f>'[2]MASTER '!$CW$43</f>
        <v>3</v>
      </c>
      <c r="J71" s="49">
        <f>'[2]MASTER '!$CW$44</f>
        <v>2</v>
      </c>
      <c r="K71" s="49">
        <f>'[2]MASTER '!$CW$45</f>
        <v>1</v>
      </c>
      <c r="L71" s="49">
        <f>'[2]MASTER '!$CW$46</f>
        <v>1</v>
      </c>
      <c r="M71" s="49">
        <f t="shared" si="42"/>
        <v>17</v>
      </c>
      <c r="N71" s="50">
        <f t="shared" si="43"/>
        <v>80.952380952380949</v>
      </c>
      <c r="O71" s="49">
        <f t="shared" si="44"/>
        <v>20</v>
      </c>
      <c r="P71" s="50">
        <f t="shared" si="45"/>
        <v>95.238095238095227</v>
      </c>
    </row>
    <row r="72" spans="1:16">
      <c r="A72" s="47" t="s">
        <v>25</v>
      </c>
      <c r="B72" s="49" t="s">
        <v>53</v>
      </c>
      <c r="C72" s="49">
        <f t="shared" si="46"/>
        <v>27</v>
      </c>
      <c r="D72" s="49">
        <f>'[3]MASTER '!$CW$38</f>
        <v>1</v>
      </c>
      <c r="E72" s="49">
        <f>'[3]MASTER '!$CW$39</f>
        <v>2</v>
      </c>
      <c r="F72" s="49">
        <f>'[3]MASTER '!$CW$40</f>
        <v>1</v>
      </c>
      <c r="G72" s="49">
        <f>'[3]MASTER '!$CW$41</f>
        <v>4</v>
      </c>
      <c r="H72" s="49">
        <f>'[3]MASTER '!$CW$42</f>
        <v>2</v>
      </c>
      <c r="I72" s="49">
        <f>'[3]MASTER '!$CW$43</f>
        <v>2</v>
      </c>
      <c r="J72" s="49">
        <f>'[3]MASTER '!$CW$44</f>
        <v>7</v>
      </c>
      <c r="K72" s="49">
        <f>'[3]MASTER '!$CW$45</f>
        <v>2</v>
      </c>
      <c r="L72" s="49">
        <f>'[3]MASTER '!$CW$46</f>
        <v>6</v>
      </c>
      <c r="M72" s="49">
        <f t="shared" si="42"/>
        <v>12</v>
      </c>
      <c r="N72" s="50">
        <f t="shared" si="43"/>
        <v>44.444444444444443</v>
      </c>
      <c r="O72" s="49">
        <f t="shared" si="44"/>
        <v>21</v>
      </c>
      <c r="P72" s="50">
        <f t="shared" si="45"/>
        <v>77.777777777777786</v>
      </c>
    </row>
    <row r="73" spans="1:16" ht="13.5">
      <c r="A73" s="47" t="s">
        <v>27</v>
      </c>
      <c r="B73" s="49" t="s">
        <v>53</v>
      </c>
      <c r="C73" s="49">
        <f t="shared" si="46"/>
        <v>26</v>
      </c>
      <c r="D73" s="49">
        <f>'[4]MASTER '!$CW$38</f>
        <v>0</v>
      </c>
      <c r="E73" s="49">
        <f>'[4]MASTER '!$CW$39</f>
        <v>4</v>
      </c>
      <c r="F73" s="49">
        <f>'[4]MASTER '!$CW$40</f>
        <v>0</v>
      </c>
      <c r="G73" s="49">
        <f>'[4]MASTER '!$CW$41</f>
        <v>3</v>
      </c>
      <c r="H73" s="49">
        <f>'[4]MASTER '!$CW$42</f>
        <v>3</v>
      </c>
      <c r="I73" s="49">
        <f>'[4]MASTER '!$CW$43</f>
        <v>5</v>
      </c>
      <c r="J73" s="49">
        <f>'[4]MASTER '!$CW$44</f>
        <v>4</v>
      </c>
      <c r="K73" s="49">
        <f>'[4]MASTER '!$CW$45</f>
        <v>5</v>
      </c>
      <c r="L73" s="49">
        <f>'[4]MASTER '!$CW$46</f>
        <v>2</v>
      </c>
      <c r="M73" s="49">
        <f t="shared" si="42"/>
        <v>15</v>
      </c>
      <c r="N73" s="50">
        <f t="shared" si="43"/>
        <v>57.692307692307686</v>
      </c>
      <c r="O73" s="49">
        <f t="shared" si="44"/>
        <v>24</v>
      </c>
      <c r="P73" s="50">
        <f t="shared" si="45"/>
        <v>92.307692307692307</v>
      </c>
    </row>
    <row r="74" spans="1:16">
      <c r="A74" s="47" t="s">
        <v>28</v>
      </c>
      <c r="B74" s="49" t="s">
        <v>53</v>
      </c>
      <c r="C74" s="49">
        <f t="shared" ref="C71:C74" si="47">SUM(D74:L74)</f>
        <v>24</v>
      </c>
      <c r="D74" s="49">
        <f>'[5]MASTER '!$CW$38</f>
        <v>0</v>
      </c>
      <c r="E74" s="49">
        <f>'[5]MASTER '!$CW$39</f>
        <v>0</v>
      </c>
      <c r="F74" s="49">
        <f>'[5]MASTER '!$CW$40</f>
        <v>0</v>
      </c>
      <c r="G74" s="49">
        <f>'[5]MASTER '!$CW$41</f>
        <v>0</v>
      </c>
      <c r="H74" s="49">
        <f>'[5]MASTER '!$CW$42</f>
        <v>2</v>
      </c>
      <c r="I74" s="49">
        <f>'[5]MASTER '!$CW$43</f>
        <v>0</v>
      </c>
      <c r="J74" s="49">
        <f>'[5]MASTER '!$CW$44</f>
        <v>3</v>
      </c>
      <c r="K74" s="49">
        <f>'[5]MASTER '!$CW$45</f>
        <v>8</v>
      </c>
      <c r="L74" s="49">
        <f>'[5]MASTER '!$CW$46</f>
        <v>11</v>
      </c>
      <c r="M74" s="49">
        <f t="shared" si="42"/>
        <v>2</v>
      </c>
      <c r="N74" s="50">
        <f t="shared" si="43"/>
        <v>8.3333333333333321</v>
      </c>
      <c r="O74" s="49">
        <f t="shared" si="44"/>
        <v>13</v>
      </c>
      <c r="P74" s="50">
        <f t="shared" si="45"/>
        <v>54.166666666666664</v>
      </c>
    </row>
    <row r="75" spans="1:16">
      <c r="A75" s="51"/>
      <c r="B75" s="52" t="s">
        <v>32</v>
      </c>
      <c r="C75" s="47">
        <f t="shared" ref="C75:L75" si="48">SUM(C70:C74)</f>
        <v>121</v>
      </c>
      <c r="D75" s="47">
        <f t="shared" si="48"/>
        <v>18</v>
      </c>
      <c r="E75" s="47">
        <f t="shared" si="48"/>
        <v>18</v>
      </c>
      <c r="F75" s="47">
        <f t="shared" si="48"/>
        <v>2</v>
      </c>
      <c r="G75" s="47">
        <f t="shared" si="48"/>
        <v>9</v>
      </c>
      <c r="H75" s="47">
        <f t="shared" si="48"/>
        <v>11</v>
      </c>
      <c r="I75" s="47">
        <f t="shared" si="48"/>
        <v>10</v>
      </c>
      <c r="J75" s="47">
        <f t="shared" si="48"/>
        <v>17</v>
      </c>
      <c r="K75" s="47">
        <f t="shared" si="48"/>
        <v>16</v>
      </c>
      <c r="L75" s="47">
        <f t="shared" si="48"/>
        <v>20</v>
      </c>
      <c r="M75" s="47">
        <f>SUM(D75:I75)</f>
        <v>68</v>
      </c>
      <c r="N75" s="53">
        <f t="shared" ref="N75" si="49">((M75/C75)*100)</f>
        <v>56.198347107438018</v>
      </c>
      <c r="O75" s="47">
        <f t="shared" ref="O75" si="50">SUM(D75:K75)</f>
        <v>101</v>
      </c>
      <c r="P75" s="53">
        <f t="shared" ref="P75" si="51">((O75/C75)*100)</f>
        <v>83.471074380165291</v>
      </c>
    </row>
    <row r="76" spans="1:16" hidden="1">
      <c r="A76" s="47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50"/>
      <c r="O76" s="49"/>
      <c r="P76" s="50"/>
    </row>
    <row r="77" spans="1:16" hidden="1">
      <c r="A77" s="51"/>
      <c r="B77" s="52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53"/>
      <c r="O77" s="47"/>
      <c r="P77" s="53"/>
    </row>
    <row r="78" spans="1:16" ht="28.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5"/>
      <c r="O78" s="54"/>
      <c r="P78" s="55"/>
    </row>
    <row r="79" spans="1:16" ht="15">
      <c r="A79" s="45" t="s">
        <v>54</v>
      </c>
    </row>
    <row r="80" spans="1:16" s="48" customFormat="1" ht="14.25" customHeight="1">
      <c r="A80" s="46"/>
      <c r="B80" s="46"/>
      <c r="C80" s="46"/>
      <c r="D80" s="157" t="s">
        <v>1</v>
      </c>
      <c r="E80" s="158"/>
      <c r="F80" s="157" t="s">
        <v>2</v>
      </c>
      <c r="G80" s="162"/>
      <c r="H80" s="162"/>
      <c r="I80" s="158"/>
      <c r="J80" s="160" t="s">
        <v>3</v>
      </c>
      <c r="K80" s="161"/>
      <c r="L80" s="83" t="s">
        <v>4</v>
      </c>
      <c r="M80" s="46"/>
      <c r="N80" s="46"/>
      <c r="O80" s="46"/>
      <c r="P80" s="46"/>
    </row>
    <row r="81" spans="1:16" ht="27.95">
      <c r="A81" s="81" t="s">
        <v>5</v>
      </c>
      <c r="B81" s="81" t="s">
        <v>6</v>
      </c>
      <c r="C81" s="81" t="s">
        <v>7</v>
      </c>
      <c r="D81" s="81" t="s">
        <v>8</v>
      </c>
      <c r="E81" s="81" t="s">
        <v>9</v>
      </c>
      <c r="F81" s="81" t="s">
        <v>10</v>
      </c>
      <c r="G81" s="81" t="s">
        <v>11</v>
      </c>
      <c r="H81" s="81" t="s">
        <v>12</v>
      </c>
      <c r="I81" s="81" t="s">
        <v>13</v>
      </c>
      <c r="J81" s="81" t="s">
        <v>14</v>
      </c>
      <c r="K81" s="81" t="s">
        <v>15</v>
      </c>
      <c r="L81" s="81" t="s">
        <v>16</v>
      </c>
      <c r="M81" s="82" t="s">
        <v>17</v>
      </c>
      <c r="N81" s="82" t="s">
        <v>18</v>
      </c>
      <c r="O81" s="82" t="s">
        <v>19</v>
      </c>
      <c r="P81" s="82" t="s">
        <v>20</v>
      </c>
    </row>
    <row r="82" spans="1:16">
      <c r="A82" s="47" t="s">
        <v>21</v>
      </c>
      <c r="B82" s="49" t="s">
        <v>22</v>
      </c>
      <c r="C82" s="49">
        <f>SUM(D82:L82)</f>
        <v>23</v>
      </c>
      <c r="D82" s="49">
        <f>'[1]MASTER '!$BS$38</f>
        <v>6</v>
      </c>
      <c r="E82" s="49">
        <f>'[1]MASTER '!$BS$39</f>
        <v>16</v>
      </c>
      <c r="F82" s="49">
        <f>'[1]MASTER '!$BS$40</f>
        <v>0</v>
      </c>
      <c r="G82" s="49">
        <f>'[1]MASTER '!$BS$41</f>
        <v>0</v>
      </c>
      <c r="H82" s="49">
        <f>'[1]MASTER '!$BS$42</f>
        <v>0</v>
      </c>
      <c r="I82" s="49">
        <f>'[1]MASTER '!$BS$43</f>
        <v>1</v>
      </c>
      <c r="J82" s="49">
        <f>'[1]MASTER '!$BS$44</f>
        <v>0</v>
      </c>
      <c r="K82" s="49">
        <f>'[1]MASTER '!$BS$345</f>
        <v>0</v>
      </c>
      <c r="L82" s="49">
        <f>'[1]MASTER '!$BS$46</f>
        <v>0</v>
      </c>
      <c r="M82" s="49">
        <f>SUM(D82:I82)</f>
        <v>23</v>
      </c>
      <c r="N82" s="50">
        <f t="shared" ref="N82:N88" si="52">((M82/C82)*100)</f>
        <v>100</v>
      </c>
      <c r="O82" s="49">
        <f t="shared" ref="O82:O88" si="53">SUM(D82:K82)</f>
        <v>23</v>
      </c>
      <c r="P82" s="50">
        <f t="shared" ref="P82:P88" si="54">((O82/C82)*100)</f>
        <v>100</v>
      </c>
    </row>
    <row r="83" spans="1:16">
      <c r="A83" s="47" t="s">
        <v>23</v>
      </c>
      <c r="B83" s="49" t="s">
        <v>26</v>
      </c>
      <c r="C83" s="49">
        <f t="shared" ref="C83:C88" si="55">SUM(D83:L83)</f>
        <v>21</v>
      </c>
      <c r="D83" s="49">
        <f>'[2]MASTER '!$BS$38</f>
        <v>3</v>
      </c>
      <c r="E83" s="49">
        <f>'[2]MASTER '!$BS$39</f>
        <v>6</v>
      </c>
      <c r="F83" s="49">
        <f>'[2]MASTER '!$BS$40</f>
        <v>5</v>
      </c>
      <c r="G83" s="49">
        <f>'[2]MASTER '!$BS$41</f>
        <v>2</v>
      </c>
      <c r="H83" s="49">
        <f>'[2]MASTER '!$BS$42</f>
        <v>0</v>
      </c>
      <c r="I83" s="49">
        <f>'[2]MASTER '!$BS$43</f>
        <v>3</v>
      </c>
      <c r="J83" s="49">
        <f>'[2]MASTER '!$BS$44</f>
        <v>2</v>
      </c>
      <c r="K83" s="49">
        <f>'[2]MASTER '!$BS$345</f>
        <v>0</v>
      </c>
      <c r="L83" s="49">
        <f>'[2]MASTER '!$BS$46</f>
        <v>0</v>
      </c>
      <c r="M83" s="49">
        <f t="shared" ref="M83:M88" si="56">SUM(D83:I83)</f>
        <v>19</v>
      </c>
      <c r="N83" s="50">
        <f t="shared" si="52"/>
        <v>90.476190476190482</v>
      </c>
      <c r="O83" s="49">
        <f t="shared" si="53"/>
        <v>21</v>
      </c>
      <c r="P83" s="50">
        <f t="shared" si="54"/>
        <v>100</v>
      </c>
    </row>
    <row r="84" spans="1:16">
      <c r="A84" s="47" t="s">
        <v>25</v>
      </c>
      <c r="B84" s="49" t="s">
        <v>26</v>
      </c>
      <c r="C84" s="49">
        <f t="shared" si="55"/>
        <v>26</v>
      </c>
      <c r="D84" s="49">
        <f>'[3]MASTER '!$BS$38</f>
        <v>2</v>
      </c>
      <c r="E84" s="49">
        <f>'[3]MASTER '!$BS$39</f>
        <v>10</v>
      </c>
      <c r="F84" s="49">
        <f>'[3]MASTER '!$BS$40</f>
        <v>5</v>
      </c>
      <c r="G84" s="49">
        <f>'[3]MASTER '!$BS$41</f>
        <v>4</v>
      </c>
      <c r="H84" s="49">
        <f>'[3]MASTER '!$BS$42</f>
        <v>5</v>
      </c>
      <c r="I84" s="49">
        <f>'[3]MASTER '!$BS$43</f>
        <v>0</v>
      </c>
      <c r="J84" s="49">
        <f>'[3]MASTER '!$BS$44</f>
        <v>0</v>
      </c>
      <c r="K84" s="49">
        <f>'[3]MASTER '!$BS$345</f>
        <v>0</v>
      </c>
      <c r="L84" s="49">
        <f>'[3]MASTER '!$BS$46</f>
        <v>0</v>
      </c>
      <c r="M84" s="49">
        <f t="shared" si="56"/>
        <v>26</v>
      </c>
      <c r="N84" s="50">
        <f t="shared" si="52"/>
        <v>100</v>
      </c>
      <c r="O84" s="49">
        <f t="shared" si="53"/>
        <v>26</v>
      </c>
      <c r="P84" s="50">
        <f t="shared" si="54"/>
        <v>100</v>
      </c>
    </row>
    <row r="85" spans="1:16">
      <c r="A85" s="47" t="s">
        <v>27</v>
      </c>
      <c r="B85" s="49" t="s">
        <v>55</v>
      </c>
      <c r="C85" s="49">
        <f t="shared" si="55"/>
        <v>25</v>
      </c>
      <c r="D85" s="49">
        <f>'[4]MASTER '!$BS$38</f>
        <v>1</v>
      </c>
      <c r="E85" s="49">
        <f>'[4]MASTER '!$BS$39</f>
        <v>4</v>
      </c>
      <c r="F85" s="49">
        <f>'[4]MASTER '!$BS$40</f>
        <v>3</v>
      </c>
      <c r="G85" s="49">
        <f>'[4]MASTER '!$BS$41</f>
        <v>6</v>
      </c>
      <c r="H85" s="49">
        <f>'[4]MASTER '!$BS$42</f>
        <v>5</v>
      </c>
      <c r="I85" s="49">
        <f>'[4]MASTER '!$BS$43</f>
        <v>2</v>
      </c>
      <c r="J85" s="49">
        <f>'[4]MASTER '!$BS$44</f>
        <v>4</v>
      </c>
      <c r="K85" s="49">
        <f>'[4]MASTER '!$BS$345</f>
        <v>0</v>
      </c>
      <c r="L85" s="49">
        <f>'[4]MASTER '!$BS$46</f>
        <v>0</v>
      </c>
      <c r="M85" s="49">
        <f t="shared" si="56"/>
        <v>21</v>
      </c>
      <c r="N85" s="50">
        <f>((M85/C85)*100)</f>
        <v>84</v>
      </c>
      <c r="O85" s="49">
        <f t="shared" si="53"/>
        <v>25</v>
      </c>
      <c r="P85" s="50">
        <f>((O85/C85)*100)</f>
        <v>100</v>
      </c>
    </row>
    <row r="86" spans="1:16">
      <c r="A86" s="47" t="s">
        <v>28</v>
      </c>
      <c r="B86" s="49" t="s">
        <v>55</v>
      </c>
      <c r="C86" s="49">
        <f t="shared" si="55"/>
        <v>23</v>
      </c>
      <c r="D86" s="49">
        <f>'[5]MASTER '!$BS$38</f>
        <v>0</v>
      </c>
      <c r="E86" s="49">
        <f>'[5]MASTER '!$BS$39</f>
        <v>9</v>
      </c>
      <c r="F86" s="49">
        <f>'[5]MASTER '!$BS$40</f>
        <v>1</v>
      </c>
      <c r="G86" s="49">
        <f>'[5]MASTER '!$BS$41</f>
        <v>5</v>
      </c>
      <c r="H86" s="49">
        <f>'[5]MASTER '!$BS$42</f>
        <v>2</v>
      </c>
      <c r="I86" s="49">
        <f>'[5]MASTER '!$BS$43</f>
        <v>6</v>
      </c>
      <c r="J86" s="49">
        <f>'[5]MASTER '!$BS$44</f>
        <v>0</v>
      </c>
      <c r="K86" s="49">
        <f>'[5]MASTER '!$BS$345</f>
        <v>0</v>
      </c>
      <c r="L86" s="49">
        <f>'[5]MASTER '!$BS$46</f>
        <v>0</v>
      </c>
      <c r="M86" s="49">
        <f t="shared" si="56"/>
        <v>23</v>
      </c>
      <c r="N86" s="50">
        <f t="shared" si="52"/>
        <v>100</v>
      </c>
      <c r="O86" s="49">
        <f t="shared" si="53"/>
        <v>23</v>
      </c>
      <c r="P86" s="50">
        <f t="shared" si="54"/>
        <v>100</v>
      </c>
    </row>
    <row r="87" spans="1:16">
      <c r="A87" s="47" t="s">
        <v>29</v>
      </c>
      <c r="B87" s="49" t="s">
        <v>22</v>
      </c>
      <c r="C87" s="49">
        <f t="shared" si="55"/>
        <v>22</v>
      </c>
      <c r="D87" s="49">
        <f>'[6]MASTER '!$BS$38</f>
        <v>3</v>
      </c>
      <c r="E87" s="49">
        <f>'[6]MASTER '!$BS$39</f>
        <v>4</v>
      </c>
      <c r="F87" s="49">
        <f>'[6]MASTER '!$BS$40</f>
        <v>5</v>
      </c>
      <c r="G87" s="49">
        <f>'[6]MASTER '!$BS$41</f>
        <v>1</v>
      </c>
      <c r="H87" s="49">
        <f>'[6]MASTER '!$BS$42</f>
        <v>3</v>
      </c>
      <c r="I87" s="49">
        <f>'[6]MASTER '!$BS$43</f>
        <v>2</v>
      </c>
      <c r="J87" s="49">
        <f>'[6]MASTER '!$BS$44</f>
        <v>2</v>
      </c>
      <c r="K87" s="49">
        <f>'[6]MASTER '!$BS$345</f>
        <v>0</v>
      </c>
      <c r="L87" s="49">
        <f>'[6]MASTER '!$BS$46</f>
        <v>2</v>
      </c>
      <c r="M87" s="49">
        <f t="shared" si="56"/>
        <v>18</v>
      </c>
      <c r="N87" s="50">
        <f t="shared" si="52"/>
        <v>81.818181818181827</v>
      </c>
      <c r="O87" s="49">
        <f t="shared" si="53"/>
        <v>20</v>
      </c>
      <c r="P87" s="50">
        <f t="shared" si="54"/>
        <v>90.909090909090907</v>
      </c>
    </row>
    <row r="88" spans="1:16">
      <c r="A88" s="47" t="s">
        <v>30</v>
      </c>
      <c r="B88" s="49" t="s">
        <v>22</v>
      </c>
      <c r="C88" s="49">
        <f t="shared" si="55"/>
        <v>18</v>
      </c>
      <c r="D88" s="49">
        <f>'[7]MASTER '!$BS$38</f>
        <v>1</v>
      </c>
      <c r="E88" s="49">
        <f>'[7]MASTER '!$BS$39</f>
        <v>2</v>
      </c>
      <c r="F88" s="49">
        <f>'[7]MASTER '!$BS$40</f>
        <v>0</v>
      </c>
      <c r="G88" s="49">
        <f>'[7]MASTER '!$BS$41</f>
        <v>1</v>
      </c>
      <c r="H88" s="49">
        <f>'[7]MASTER '!$BS$42</f>
        <v>3</v>
      </c>
      <c r="I88" s="49">
        <f>'[7]MASTER '!$BS$43</f>
        <v>2</v>
      </c>
      <c r="J88" s="49">
        <f>'[7]MASTER '!$BS$44</f>
        <v>3</v>
      </c>
      <c r="K88" s="49">
        <f>'[7]MASTER '!$BS$345</f>
        <v>0</v>
      </c>
      <c r="L88" s="49">
        <f>'[7]MASTER '!$BS$46</f>
        <v>6</v>
      </c>
      <c r="M88" s="49">
        <f t="shared" si="56"/>
        <v>9</v>
      </c>
      <c r="N88" s="50">
        <f t="shared" si="52"/>
        <v>50</v>
      </c>
      <c r="O88" s="49">
        <f t="shared" si="53"/>
        <v>12</v>
      </c>
      <c r="P88" s="50">
        <f t="shared" si="54"/>
        <v>66.666666666666657</v>
      </c>
    </row>
    <row r="89" spans="1:16">
      <c r="A89" s="51"/>
      <c r="B89" s="52" t="s">
        <v>32</v>
      </c>
      <c r="C89" s="47">
        <f t="shared" ref="C89:L89" si="57">SUM(C82:C88)</f>
        <v>158</v>
      </c>
      <c r="D89" s="47">
        <f t="shared" si="57"/>
        <v>16</v>
      </c>
      <c r="E89" s="47">
        <f t="shared" si="57"/>
        <v>51</v>
      </c>
      <c r="F89" s="47">
        <f t="shared" si="57"/>
        <v>19</v>
      </c>
      <c r="G89" s="47">
        <f t="shared" si="57"/>
        <v>19</v>
      </c>
      <c r="H89" s="47">
        <f t="shared" si="57"/>
        <v>18</v>
      </c>
      <c r="I89" s="47">
        <f t="shared" si="57"/>
        <v>16</v>
      </c>
      <c r="J89" s="47">
        <f t="shared" si="57"/>
        <v>11</v>
      </c>
      <c r="K89" s="47">
        <f t="shared" si="57"/>
        <v>0</v>
      </c>
      <c r="L89" s="47">
        <f t="shared" si="57"/>
        <v>8</v>
      </c>
      <c r="M89" s="47">
        <f t="shared" ref="M89" si="58">SUM(D89:I89)</f>
        <v>139</v>
      </c>
      <c r="N89" s="53">
        <f>((M89/C89)*100)</f>
        <v>87.974683544303801</v>
      </c>
      <c r="O89" s="47">
        <f t="shared" ref="O89" si="59">SUM(D89:K89)</f>
        <v>150</v>
      </c>
      <c r="P89" s="53">
        <f>((O89/C89)*100)</f>
        <v>94.936708860759495</v>
      </c>
    </row>
    <row r="90" spans="1:16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5"/>
      <c r="O90" s="54"/>
      <c r="P90" s="55"/>
    </row>
    <row r="91" spans="1:16" ht="24">
      <c r="A91" s="65" t="s">
        <v>56</v>
      </c>
      <c r="B91" s="66"/>
      <c r="C91" s="66"/>
      <c r="D91" s="66"/>
      <c r="E91" s="67"/>
      <c r="F91" s="67"/>
      <c r="G91" s="67"/>
      <c r="H91" s="67"/>
      <c r="I91" s="54"/>
      <c r="J91" s="54"/>
      <c r="K91" s="54"/>
      <c r="L91" s="54"/>
      <c r="M91" s="54"/>
      <c r="N91" s="55"/>
      <c r="O91" s="54"/>
      <c r="P91" s="55"/>
    </row>
    <row r="92" spans="1:16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5"/>
      <c r="O92" s="54"/>
      <c r="P92" s="55"/>
    </row>
    <row r="93" spans="1:16" ht="18">
      <c r="B93" s="68"/>
      <c r="C93" s="68"/>
      <c r="D93" s="159" t="s">
        <v>1</v>
      </c>
      <c r="E93" s="159"/>
      <c r="F93" s="159" t="s">
        <v>2</v>
      </c>
      <c r="G93" s="159"/>
      <c r="H93" s="159"/>
      <c r="I93" s="159"/>
      <c r="J93" s="159" t="s">
        <v>57</v>
      </c>
      <c r="K93" s="159"/>
      <c r="L93" s="86" t="s">
        <v>4</v>
      </c>
      <c r="M93" s="68"/>
      <c r="N93" s="68"/>
      <c r="O93" s="68"/>
      <c r="P93" s="68"/>
    </row>
    <row r="94" spans="1:16" ht="32.25" customHeight="1">
      <c r="A94" s="163" t="s">
        <v>58</v>
      </c>
      <c r="B94" s="163"/>
      <c r="C94" s="84" t="s">
        <v>7</v>
      </c>
      <c r="D94" s="84" t="s">
        <v>8</v>
      </c>
      <c r="E94" s="84" t="s">
        <v>9</v>
      </c>
      <c r="F94" s="84" t="s">
        <v>10</v>
      </c>
      <c r="G94" s="84" t="s">
        <v>11</v>
      </c>
      <c r="H94" s="84" t="s">
        <v>12</v>
      </c>
      <c r="I94" s="84" t="s">
        <v>13</v>
      </c>
      <c r="J94" s="84" t="s">
        <v>14</v>
      </c>
      <c r="K94" s="84" t="s">
        <v>15</v>
      </c>
      <c r="L94" s="84" t="s">
        <v>16</v>
      </c>
      <c r="M94" s="85" t="s">
        <v>17</v>
      </c>
      <c r="N94" s="85" t="s">
        <v>18</v>
      </c>
      <c r="O94" s="85" t="s">
        <v>19</v>
      </c>
      <c r="P94" s="85" t="s">
        <v>20</v>
      </c>
    </row>
    <row r="95" spans="1:16" ht="23.25" customHeight="1">
      <c r="A95" s="155" t="s">
        <v>59</v>
      </c>
      <c r="B95" s="155"/>
      <c r="C95" s="69">
        <f>C11</f>
        <v>159</v>
      </c>
      <c r="D95" s="70">
        <f>D11</f>
        <v>0</v>
      </c>
      <c r="E95" s="70">
        <f t="shared" ref="E95:L95" si="60">E11</f>
        <v>9</v>
      </c>
      <c r="F95" s="70">
        <f t="shared" si="60"/>
        <v>12</v>
      </c>
      <c r="G95" s="70">
        <f t="shared" si="60"/>
        <v>19</v>
      </c>
      <c r="H95" s="70">
        <f t="shared" si="60"/>
        <v>24</v>
      </c>
      <c r="I95" s="70">
        <f t="shared" si="60"/>
        <v>30</v>
      </c>
      <c r="J95" s="70">
        <f t="shared" si="60"/>
        <v>43</v>
      </c>
      <c r="K95" s="70">
        <f t="shared" si="60"/>
        <v>15</v>
      </c>
      <c r="L95" s="70">
        <f t="shared" si="60"/>
        <v>7</v>
      </c>
      <c r="M95" s="70">
        <f>SUM(D95:I95)</f>
        <v>94</v>
      </c>
      <c r="N95" s="71">
        <f>(M95/C95)*100</f>
        <v>59.119496855345908</v>
      </c>
      <c r="O95" s="70">
        <f>SUM(D95:K95)</f>
        <v>152</v>
      </c>
      <c r="P95" s="71">
        <f t="shared" ref="P95:P102" si="61">(O95/C95)*100</f>
        <v>95.59748427672956</v>
      </c>
    </row>
    <row r="96" spans="1:16" ht="23.25" customHeight="1">
      <c r="A96" s="155" t="s">
        <v>60</v>
      </c>
      <c r="B96" s="155"/>
      <c r="C96" s="69">
        <f>C22</f>
        <v>162</v>
      </c>
      <c r="D96" s="70">
        <f>D22</f>
        <v>53</v>
      </c>
      <c r="E96" s="70">
        <f t="shared" ref="E96:L96" si="62">E22</f>
        <v>48</v>
      </c>
      <c r="F96" s="70">
        <f t="shared" si="62"/>
        <v>19</v>
      </c>
      <c r="G96" s="70">
        <f t="shared" si="62"/>
        <v>11</v>
      </c>
      <c r="H96" s="70">
        <f t="shared" si="62"/>
        <v>5</v>
      </c>
      <c r="I96" s="70">
        <f t="shared" si="62"/>
        <v>11</v>
      </c>
      <c r="J96" s="70">
        <f t="shared" si="62"/>
        <v>9</v>
      </c>
      <c r="K96" s="70">
        <f t="shared" si="62"/>
        <v>3</v>
      </c>
      <c r="L96" s="70">
        <f t="shared" si="62"/>
        <v>3</v>
      </c>
      <c r="M96" s="70">
        <f t="shared" ref="M96:M102" si="63">SUM(D96:I96)</f>
        <v>147</v>
      </c>
      <c r="N96" s="71">
        <f t="shared" ref="N96:N102" si="64">(M96/C96)*100</f>
        <v>90.740740740740748</v>
      </c>
      <c r="O96" s="70">
        <f t="shared" ref="O96:O102" si="65">SUM(D96:K96)</f>
        <v>159</v>
      </c>
      <c r="P96" s="71">
        <f t="shared" si="61"/>
        <v>98.148148148148152</v>
      </c>
    </row>
    <row r="97" spans="1:16" ht="23.25" customHeight="1">
      <c r="A97" s="155" t="s">
        <v>61</v>
      </c>
      <c r="B97" s="155"/>
      <c r="C97" s="72">
        <f>C33</f>
        <v>163</v>
      </c>
      <c r="D97" s="73">
        <f>D33</f>
        <v>43</v>
      </c>
      <c r="E97" s="73">
        <f t="shared" ref="E97:L97" si="66">E33</f>
        <v>37</v>
      </c>
      <c r="F97" s="73">
        <f t="shared" si="66"/>
        <v>9</v>
      </c>
      <c r="G97" s="73">
        <f t="shared" si="66"/>
        <v>18</v>
      </c>
      <c r="H97" s="73">
        <f t="shared" si="66"/>
        <v>11</v>
      </c>
      <c r="I97" s="73">
        <f t="shared" si="66"/>
        <v>5</v>
      </c>
      <c r="J97" s="73">
        <f t="shared" si="66"/>
        <v>16</v>
      </c>
      <c r="K97" s="73">
        <f t="shared" si="66"/>
        <v>8</v>
      </c>
      <c r="L97" s="73">
        <f t="shared" si="66"/>
        <v>16</v>
      </c>
      <c r="M97" s="70">
        <f t="shared" si="63"/>
        <v>123</v>
      </c>
      <c r="N97" s="71">
        <f t="shared" si="64"/>
        <v>75.460122699386503</v>
      </c>
      <c r="O97" s="70">
        <f t="shared" si="65"/>
        <v>147</v>
      </c>
      <c r="P97" s="71">
        <f t="shared" si="61"/>
        <v>90.184049079754601</v>
      </c>
    </row>
    <row r="98" spans="1:16" ht="23.25" customHeight="1">
      <c r="A98" s="155" t="s">
        <v>62</v>
      </c>
      <c r="B98" s="155"/>
      <c r="C98" s="72">
        <f>C44</f>
        <v>161</v>
      </c>
      <c r="D98" s="73">
        <f>D44</f>
        <v>22</v>
      </c>
      <c r="E98" s="73">
        <f t="shared" ref="E98:L98" si="67">E44</f>
        <v>33</v>
      </c>
      <c r="F98" s="73">
        <f t="shared" si="67"/>
        <v>12</v>
      </c>
      <c r="G98" s="73">
        <f t="shared" si="67"/>
        <v>11</v>
      </c>
      <c r="H98" s="73">
        <f t="shared" si="67"/>
        <v>16</v>
      </c>
      <c r="I98" s="73">
        <f t="shared" si="67"/>
        <v>17</v>
      </c>
      <c r="J98" s="73">
        <f t="shared" si="67"/>
        <v>34</v>
      </c>
      <c r="K98" s="73">
        <f t="shared" si="67"/>
        <v>7</v>
      </c>
      <c r="L98" s="73">
        <f t="shared" si="67"/>
        <v>9</v>
      </c>
      <c r="M98" s="70">
        <f t="shared" si="63"/>
        <v>111</v>
      </c>
      <c r="N98" s="71">
        <f t="shared" si="64"/>
        <v>68.944099378881987</v>
      </c>
      <c r="O98" s="70">
        <f t="shared" si="65"/>
        <v>152</v>
      </c>
      <c r="P98" s="71">
        <f t="shared" si="61"/>
        <v>94.409937888198755</v>
      </c>
    </row>
    <row r="99" spans="1:16" ht="23.25" customHeight="1">
      <c r="A99" s="155" t="s">
        <v>63</v>
      </c>
      <c r="B99" s="155"/>
      <c r="C99" s="72">
        <f>C55</f>
        <v>162</v>
      </c>
      <c r="D99" s="73">
        <f>D55</f>
        <v>12</v>
      </c>
      <c r="E99" s="73">
        <f t="shared" ref="E99:L99" si="68">E55</f>
        <v>12</v>
      </c>
      <c r="F99" s="73">
        <f t="shared" si="68"/>
        <v>12</v>
      </c>
      <c r="G99" s="73">
        <f t="shared" si="68"/>
        <v>12</v>
      </c>
      <c r="H99" s="73">
        <f t="shared" si="68"/>
        <v>22</v>
      </c>
      <c r="I99" s="73">
        <f t="shared" si="68"/>
        <v>18</v>
      </c>
      <c r="J99" s="73">
        <f t="shared" si="68"/>
        <v>29</v>
      </c>
      <c r="K99" s="73">
        <f t="shared" si="68"/>
        <v>22</v>
      </c>
      <c r="L99" s="73">
        <f t="shared" si="68"/>
        <v>23</v>
      </c>
      <c r="M99" s="70">
        <f t="shared" si="63"/>
        <v>88</v>
      </c>
      <c r="N99" s="71">
        <f t="shared" si="64"/>
        <v>54.320987654320987</v>
      </c>
      <c r="O99" s="70">
        <f t="shared" si="65"/>
        <v>139</v>
      </c>
      <c r="P99" s="71">
        <f t="shared" si="61"/>
        <v>85.802469135802468</v>
      </c>
    </row>
    <row r="100" spans="1:16" ht="23.25" customHeight="1">
      <c r="A100" s="155" t="s">
        <v>64</v>
      </c>
      <c r="B100" s="155"/>
      <c r="C100" s="72">
        <f>C66</f>
        <v>161</v>
      </c>
      <c r="D100" s="73">
        <f>D66</f>
        <v>0</v>
      </c>
      <c r="E100" s="73">
        <f t="shared" ref="E100:L100" si="69">E66</f>
        <v>2</v>
      </c>
      <c r="F100" s="73">
        <f t="shared" si="69"/>
        <v>4</v>
      </c>
      <c r="G100" s="73">
        <f t="shared" si="69"/>
        <v>10</v>
      </c>
      <c r="H100" s="73">
        <f t="shared" si="69"/>
        <v>2</v>
      </c>
      <c r="I100" s="73">
        <f t="shared" si="69"/>
        <v>14</v>
      </c>
      <c r="J100" s="73">
        <f t="shared" si="69"/>
        <v>33</v>
      </c>
      <c r="K100" s="73">
        <f t="shared" si="69"/>
        <v>45</v>
      </c>
      <c r="L100" s="73">
        <f t="shared" si="69"/>
        <v>51</v>
      </c>
      <c r="M100" s="70">
        <f t="shared" si="63"/>
        <v>32</v>
      </c>
      <c r="N100" s="71">
        <f t="shared" si="64"/>
        <v>19.875776397515526</v>
      </c>
      <c r="O100" s="70">
        <f t="shared" si="65"/>
        <v>110</v>
      </c>
      <c r="P100" s="71">
        <f t="shared" si="61"/>
        <v>68.322981366459629</v>
      </c>
    </row>
    <row r="101" spans="1:16" ht="23.25" customHeight="1">
      <c r="A101" s="156" t="s">
        <v>65</v>
      </c>
      <c r="B101" s="156"/>
      <c r="C101" s="127">
        <f>C75</f>
        <v>121</v>
      </c>
      <c r="D101" s="128">
        <f>D75</f>
        <v>18</v>
      </c>
      <c r="E101" s="128">
        <f t="shared" ref="E101:L101" si="70">E75</f>
        <v>18</v>
      </c>
      <c r="F101" s="128">
        <f t="shared" si="70"/>
        <v>2</v>
      </c>
      <c r="G101" s="128">
        <f t="shared" si="70"/>
        <v>9</v>
      </c>
      <c r="H101" s="128">
        <f t="shared" si="70"/>
        <v>11</v>
      </c>
      <c r="I101" s="128">
        <f t="shared" si="70"/>
        <v>10</v>
      </c>
      <c r="J101" s="128">
        <f t="shared" si="70"/>
        <v>17</v>
      </c>
      <c r="K101" s="128">
        <f t="shared" si="70"/>
        <v>16</v>
      </c>
      <c r="L101" s="128">
        <f t="shared" si="70"/>
        <v>20</v>
      </c>
      <c r="M101" s="129">
        <f t="shared" si="63"/>
        <v>68</v>
      </c>
      <c r="N101" s="130">
        <f t="shared" si="64"/>
        <v>56.198347107438018</v>
      </c>
      <c r="O101" s="129">
        <f t="shared" si="65"/>
        <v>101</v>
      </c>
      <c r="P101" s="130">
        <f t="shared" si="61"/>
        <v>83.471074380165291</v>
      </c>
    </row>
    <row r="102" spans="1:16" ht="23.25" customHeight="1">
      <c r="A102" s="155" t="s">
        <v>66</v>
      </c>
      <c r="B102" s="155"/>
      <c r="C102" s="126">
        <f>C89</f>
        <v>158</v>
      </c>
      <c r="D102" s="126">
        <f>D89</f>
        <v>16</v>
      </c>
      <c r="E102" s="126">
        <f t="shared" ref="E102:L102" si="71">E89</f>
        <v>51</v>
      </c>
      <c r="F102" s="126">
        <f t="shared" si="71"/>
        <v>19</v>
      </c>
      <c r="G102" s="126">
        <f t="shared" si="71"/>
        <v>19</v>
      </c>
      <c r="H102" s="126">
        <f t="shared" si="71"/>
        <v>18</v>
      </c>
      <c r="I102" s="126">
        <f t="shared" si="71"/>
        <v>16</v>
      </c>
      <c r="J102" s="126">
        <f t="shared" si="71"/>
        <v>11</v>
      </c>
      <c r="K102" s="126">
        <f t="shared" si="71"/>
        <v>0</v>
      </c>
      <c r="L102" s="126">
        <f t="shared" si="71"/>
        <v>8</v>
      </c>
      <c r="M102" s="135">
        <f t="shared" si="63"/>
        <v>139</v>
      </c>
      <c r="N102" s="136">
        <f t="shared" si="64"/>
        <v>87.974683544303801</v>
      </c>
      <c r="O102" s="135">
        <f t="shared" si="65"/>
        <v>150</v>
      </c>
      <c r="P102" s="136">
        <f t="shared" si="61"/>
        <v>94.936708860759495</v>
      </c>
    </row>
    <row r="103" spans="1:16" ht="20.100000000000001" customHeight="1"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5"/>
      <c r="M103" s="74"/>
      <c r="N103" s="137">
        <f>AVERAGE(N95:N102)</f>
        <v>64.079281797241691</v>
      </c>
      <c r="O103" s="76"/>
      <c r="P103" s="137">
        <f>AVERAGE(P95:P102)</f>
        <v>88.859106642002246</v>
      </c>
    </row>
    <row r="104" spans="1:16" ht="9.75" customHeight="1">
      <c r="L104" s="77"/>
      <c r="N104" s="78"/>
      <c r="O104" s="78"/>
      <c r="P104" s="78"/>
    </row>
    <row r="105" spans="1:16" ht="36.75" customHeight="1"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80"/>
      <c r="O105" s="79"/>
      <c r="P105" s="80"/>
    </row>
    <row r="106" spans="1:16" ht="24" customHeight="1"/>
    <row r="107" spans="1:16" ht="24" customHeight="1"/>
    <row r="108" spans="1:16" ht="24" customHeight="1"/>
    <row r="109" spans="1:16" ht="24" customHeight="1"/>
    <row r="110" spans="1:16" ht="24" customHeight="1"/>
    <row r="111" spans="1:16" ht="24" customHeight="1"/>
    <row r="112" spans="1:16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6.25" customHeight="1"/>
  </sheetData>
  <mergeCells count="37">
    <mergeCell ref="A11:B11"/>
    <mergeCell ref="D24:E24"/>
    <mergeCell ref="J24:K24"/>
    <mergeCell ref="D13:E13"/>
    <mergeCell ref="J13:K13"/>
    <mergeCell ref="D2:E2"/>
    <mergeCell ref="J2:K2"/>
    <mergeCell ref="F2:I2"/>
    <mergeCell ref="F13:I13"/>
    <mergeCell ref="F24:I24"/>
    <mergeCell ref="D46:E46"/>
    <mergeCell ref="J46:K46"/>
    <mergeCell ref="D35:E35"/>
    <mergeCell ref="J35:K35"/>
    <mergeCell ref="F35:I35"/>
    <mergeCell ref="F46:I46"/>
    <mergeCell ref="A94:B94"/>
    <mergeCell ref="A95:B95"/>
    <mergeCell ref="D80:E80"/>
    <mergeCell ref="J80:K80"/>
    <mergeCell ref="F80:I80"/>
    <mergeCell ref="D57:E57"/>
    <mergeCell ref="J93:K93"/>
    <mergeCell ref="D93:E93"/>
    <mergeCell ref="F93:I93"/>
    <mergeCell ref="D68:E68"/>
    <mergeCell ref="J68:K68"/>
    <mergeCell ref="F68:I68"/>
    <mergeCell ref="J57:K57"/>
    <mergeCell ref="F57:I57"/>
    <mergeCell ref="A102:B102"/>
    <mergeCell ref="A96:B96"/>
    <mergeCell ref="A97:B97"/>
    <mergeCell ref="A98:B98"/>
    <mergeCell ref="A99:B99"/>
    <mergeCell ref="A100:B100"/>
    <mergeCell ref="A101:B101"/>
  </mergeCells>
  <phoneticPr fontId="0" type="noConversion"/>
  <pageMargins left="0.43447916666666703" right="0.13541666666666699" top="0.96354166666666696" bottom="0.444583333333333" header="0.45" footer="0.25"/>
  <pageSetup scale="95" firstPageNumber="17" orientation="landscape" useFirstPageNumber="1" horizontalDpi="360" verticalDpi="360" r:id="rId1"/>
  <headerFooter alignWithMargins="0">
    <oddHeader>&amp;C&amp;"Aptos Display,Bold"&amp;14SEKOLAH MENENGAH PENGIRAN ANAK PUTERI HAJAH MASNA
YEAR 7
, ASSESSMENT 2 2025</oddHeader>
  </headerFooter>
  <rowBreaks count="1" manualBreakCount="1">
    <brk id="90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C11"/>
  <sheetViews>
    <sheetView view="pageLayout" zoomScale="90" zoomScaleNormal="100" zoomScalePageLayoutView="90" workbookViewId="0">
      <selection activeCell="A10" sqref="A10"/>
    </sheetView>
  </sheetViews>
  <sheetFormatPr defaultColWidth="8.85546875" defaultRowHeight="12.95"/>
  <cols>
    <col min="1" max="1" width="16.7109375" style="46" bestFit="1" customWidth="1"/>
    <col min="2" max="2" width="8" style="46" customWidth="1"/>
    <col min="3" max="3" width="8.42578125" style="46" customWidth="1"/>
    <col min="4" max="16384" width="8.85546875" style="46"/>
  </cols>
  <sheetData>
    <row r="2" spans="1:3" ht="32.1">
      <c r="A2" s="87" t="s">
        <v>67</v>
      </c>
      <c r="B2" s="88" t="s">
        <v>18</v>
      </c>
      <c r="C2" s="88" t="s">
        <v>20</v>
      </c>
    </row>
    <row r="3" spans="1:3" ht="18">
      <c r="A3" s="131" t="s">
        <v>59</v>
      </c>
      <c r="B3" s="71">
        <f>'YEAR 8'!N95</f>
        <v>59.119496855345908</v>
      </c>
      <c r="C3" s="71">
        <f>'YEAR 8'!P95</f>
        <v>95.59748427672956</v>
      </c>
    </row>
    <row r="4" spans="1:3" ht="18">
      <c r="A4" s="131" t="s">
        <v>60</v>
      </c>
      <c r="B4" s="71">
        <f>'YEAR 8'!N96</f>
        <v>90.740740740740748</v>
      </c>
      <c r="C4" s="71">
        <f>'YEAR 8'!P96</f>
        <v>98.148148148148152</v>
      </c>
    </row>
    <row r="5" spans="1:3" ht="18">
      <c r="A5" s="131" t="s">
        <v>61</v>
      </c>
      <c r="B5" s="71">
        <f>'YEAR 8'!N97</f>
        <v>75.460122699386503</v>
      </c>
      <c r="C5" s="71">
        <f>'YEAR 8'!P97</f>
        <v>90.184049079754601</v>
      </c>
    </row>
    <row r="6" spans="1:3" ht="18">
      <c r="A6" s="131" t="s">
        <v>62</v>
      </c>
      <c r="B6" s="71">
        <f>'YEAR 8'!N98</f>
        <v>68.944099378881987</v>
      </c>
      <c r="C6" s="71">
        <f>'YEAR 8'!P98</f>
        <v>94.409937888198755</v>
      </c>
    </row>
    <row r="7" spans="1:3" ht="18">
      <c r="A7" s="131" t="s">
        <v>63</v>
      </c>
      <c r="B7" s="71">
        <f>'YEAR 8'!N99</f>
        <v>54.320987654320987</v>
      </c>
      <c r="C7" s="71">
        <f>'YEAR 8'!P99</f>
        <v>85.802469135802468</v>
      </c>
    </row>
    <row r="8" spans="1:3" ht="18">
      <c r="A8" s="131" t="s">
        <v>64</v>
      </c>
      <c r="B8" s="71">
        <f>'YEAR 8'!N100</f>
        <v>19.875776397515526</v>
      </c>
      <c r="C8" s="71">
        <f>'YEAR 8'!P100</f>
        <v>68.322981366459629</v>
      </c>
    </row>
    <row r="9" spans="1:3" ht="18">
      <c r="A9" s="134" t="s">
        <v>65</v>
      </c>
      <c r="B9" s="71">
        <f>'YEAR 8'!N101</f>
        <v>56.198347107438018</v>
      </c>
      <c r="C9" s="71">
        <f>'YEAR 8'!P101</f>
        <v>83.471074380165291</v>
      </c>
    </row>
    <row r="10" spans="1:3" ht="18">
      <c r="A10" s="138" t="s">
        <v>66</v>
      </c>
      <c r="B10" s="133">
        <f>'YEAR 8'!N102</f>
        <v>87.974683544303801</v>
      </c>
      <c r="C10" s="71">
        <f>'YEAR 8'!P102</f>
        <v>94.936708860759495</v>
      </c>
    </row>
    <row r="11" spans="1:3" ht="13.5"/>
  </sheetData>
  <phoneticPr fontId="0" type="noConversion"/>
  <pageMargins left="0.516087962962963" right="4.2592592592592592E-2" top="1" bottom="1" header="0.5" footer="0.5"/>
  <pageSetup paperSize="9" scale="89" orientation="landscape" r:id="rId1"/>
  <headerFooter alignWithMargins="0">
    <oddHeader xml:space="preserve">&amp;C&amp;"Aptos Display,Bold"&amp;14SEKOLAH MENENGAH PENGIRAN ANAK PUTERI HAJAH MASNA
YEAR 8, ASSESSMENT 1 2025
</oddHeader>
    <oddFooter>&amp;LExam Dept SMPAPHM&amp;CYEAR 7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view="pageLayout" zoomScale="90" zoomScaleNormal="100" zoomScalePageLayoutView="90" workbookViewId="0">
      <selection activeCell="F14" sqref="F14"/>
    </sheetView>
  </sheetViews>
  <sheetFormatPr defaultColWidth="11.42578125" defaultRowHeight="15"/>
  <cols>
    <col min="1" max="1" width="15.28515625" style="89" customWidth="1"/>
    <col min="2" max="2" width="11.28515625" style="89" customWidth="1"/>
    <col min="3" max="11" width="6.42578125" style="89" customWidth="1"/>
    <col min="12" max="12" width="12.28515625" style="89" customWidth="1"/>
    <col min="13" max="13" width="10.7109375" style="89" customWidth="1"/>
    <col min="14" max="14" width="12" style="89" customWidth="1"/>
    <col min="15" max="15" width="14.42578125" style="89" customWidth="1"/>
    <col min="16" max="16384" width="11.42578125" style="89"/>
  </cols>
  <sheetData>
    <row r="1" spans="1:15" ht="30">
      <c r="A1" s="147" t="s">
        <v>68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ht="15.95" thickBot="1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</row>
    <row r="3" spans="1:15" s="92" customFormat="1" ht="32.25" customHeight="1">
      <c r="A3" s="91"/>
      <c r="B3" s="148" t="s">
        <v>69</v>
      </c>
      <c r="C3" s="150" t="s">
        <v>70</v>
      </c>
      <c r="D3" s="150"/>
      <c r="E3" s="150"/>
      <c r="F3" s="150"/>
      <c r="G3" s="150"/>
      <c r="H3" s="150"/>
      <c r="I3" s="150"/>
      <c r="J3" s="150"/>
      <c r="K3" s="151"/>
      <c r="L3" s="152" t="s">
        <v>71</v>
      </c>
      <c r="M3" s="153"/>
      <c r="N3" s="152" t="s">
        <v>72</v>
      </c>
      <c r="O3" s="154"/>
    </row>
    <row r="4" spans="1:15" s="92" customFormat="1" ht="32.25" customHeight="1">
      <c r="A4" s="91"/>
      <c r="B4" s="149"/>
      <c r="C4" s="141">
        <v>8</v>
      </c>
      <c r="D4" s="141">
        <v>7</v>
      </c>
      <c r="E4" s="141">
        <v>6</v>
      </c>
      <c r="F4" s="141">
        <v>5</v>
      </c>
      <c r="G4" s="141">
        <v>4</v>
      </c>
      <c r="H4" s="141">
        <v>3</v>
      </c>
      <c r="I4" s="141">
        <v>2</v>
      </c>
      <c r="J4" s="141">
        <v>1</v>
      </c>
      <c r="K4" s="142">
        <v>0</v>
      </c>
      <c r="L4" s="93" t="s">
        <v>69</v>
      </c>
      <c r="M4" s="94" t="s">
        <v>73</v>
      </c>
      <c r="N4" s="93" t="s">
        <v>69</v>
      </c>
      <c r="O4" s="95" t="s">
        <v>73</v>
      </c>
    </row>
    <row r="5" spans="1:15" s="92" customFormat="1" ht="32.25" customHeight="1">
      <c r="A5" s="96" t="s">
        <v>74</v>
      </c>
      <c r="B5" s="139">
        <f>SUM(C5:K5)</f>
        <v>23</v>
      </c>
      <c r="C5" s="146">
        <f>'[1]MASTER '!$DQ$39</f>
        <v>7</v>
      </c>
      <c r="D5" s="146">
        <f>'[1]MASTER '!$DQ$40</f>
        <v>10</v>
      </c>
      <c r="E5" s="146">
        <f>'[1]MASTER '!$DQ$41</f>
        <v>5</v>
      </c>
      <c r="F5" s="146">
        <f>'[1]MASTER '!$DQ$42</f>
        <v>1</v>
      </c>
      <c r="G5" s="146">
        <f>'[1]MASTER '!$DQ$43</f>
        <v>0</v>
      </c>
      <c r="H5" s="146">
        <f>'[1]MASTER '!$DQ$44</f>
        <v>0</v>
      </c>
      <c r="I5" s="146">
        <f>'[1]MASTER '!$DQ$45</f>
        <v>0</v>
      </c>
      <c r="J5" s="146">
        <f>'[1]MASTER '!$DQ$46</f>
        <v>0</v>
      </c>
      <c r="K5" s="146">
        <f>'[1]MASTER '!$DQ$47</f>
        <v>0</v>
      </c>
      <c r="L5" s="140">
        <f t="shared" ref="L5:L11" si="0">SUM(C5:F5)</f>
        <v>23</v>
      </c>
      <c r="M5" s="97">
        <f t="shared" ref="M5:M11" si="1">L5/B5</f>
        <v>1</v>
      </c>
      <c r="N5" s="98">
        <f>SUM(C5:H5)</f>
        <v>23</v>
      </c>
      <c r="O5" s="99">
        <f t="shared" ref="O5:O11" si="2">N5/B5</f>
        <v>1</v>
      </c>
    </row>
    <row r="6" spans="1:15" s="92" customFormat="1" ht="32.25" customHeight="1">
      <c r="A6" s="100" t="s">
        <v>75</v>
      </c>
      <c r="B6" s="139">
        <f t="shared" ref="B6:B11" si="3">SUM(C6:K6)</f>
        <v>21</v>
      </c>
      <c r="C6" s="146">
        <f>'[2]MASTER '!$DQ$39</f>
        <v>0</v>
      </c>
      <c r="D6" s="146">
        <f>'[2]MASTER '!$DQ$40</f>
        <v>7</v>
      </c>
      <c r="E6" s="146">
        <f>'[2]MASTER '!$DQ$41</f>
        <v>6</v>
      </c>
      <c r="F6" s="146">
        <f>'[2]MASTER '!$DQ$42</f>
        <v>4</v>
      </c>
      <c r="G6" s="146">
        <f>'[2]MASTER '!$DQ$43</f>
        <v>3</v>
      </c>
      <c r="H6" s="146">
        <f>'[3]MASTER '!$DQ$44</f>
        <v>1</v>
      </c>
      <c r="I6" s="146">
        <f>'[2]MASTER '!$DQ$45</f>
        <v>0</v>
      </c>
      <c r="J6" s="146">
        <f>'[2]MASTER '!$DQ$46</f>
        <v>0</v>
      </c>
      <c r="K6" s="146">
        <f>'[2]MASTER '!$DQ$47</f>
        <v>0</v>
      </c>
      <c r="L6" s="140">
        <f t="shared" si="0"/>
        <v>17</v>
      </c>
      <c r="M6" s="101">
        <f t="shared" si="1"/>
        <v>0.80952380952380953</v>
      </c>
      <c r="N6" s="102">
        <f t="shared" ref="N6:N11" si="4">SUM(C6:H6)</f>
        <v>21</v>
      </c>
      <c r="O6" s="103">
        <f t="shared" si="2"/>
        <v>1</v>
      </c>
    </row>
    <row r="7" spans="1:15" s="92" customFormat="1" ht="32.25" customHeight="1">
      <c r="A7" s="100" t="s">
        <v>76</v>
      </c>
      <c r="B7" s="139">
        <f t="shared" si="3"/>
        <v>28</v>
      </c>
      <c r="C7" s="146">
        <f>'[3]MASTER '!$DQ$39</f>
        <v>2</v>
      </c>
      <c r="D7" s="146">
        <f>'[3]MASTER '!$DQ$40</f>
        <v>6</v>
      </c>
      <c r="E7" s="146">
        <f>'[3]MASTER '!$DQ$41</f>
        <v>6</v>
      </c>
      <c r="F7" s="146">
        <f>'[3]MASTER '!$DQ$42</f>
        <v>4</v>
      </c>
      <c r="G7" s="146">
        <f>'[3]MASTER '!$DQ$43</f>
        <v>8</v>
      </c>
      <c r="H7" s="146">
        <f>'[4]MASTER '!$DQ$44</f>
        <v>2</v>
      </c>
      <c r="I7" s="146">
        <f>'[3]MASTER '!$DQ$45</f>
        <v>0</v>
      </c>
      <c r="J7" s="146">
        <f>'[3]MASTER '!$DQ$46</f>
        <v>0</v>
      </c>
      <c r="K7" s="146">
        <f>'[3]MASTER '!$DQ$47</f>
        <v>0</v>
      </c>
      <c r="L7" s="140">
        <f t="shared" si="0"/>
        <v>18</v>
      </c>
      <c r="M7" s="101">
        <f t="shared" si="1"/>
        <v>0.6428571428571429</v>
      </c>
      <c r="N7" s="102">
        <f t="shared" si="4"/>
        <v>28</v>
      </c>
      <c r="O7" s="103">
        <f t="shared" si="2"/>
        <v>1</v>
      </c>
    </row>
    <row r="8" spans="1:15" s="92" customFormat="1" ht="32.25" customHeight="1">
      <c r="A8" s="100" t="s">
        <v>77</v>
      </c>
      <c r="B8" s="139">
        <f t="shared" si="3"/>
        <v>26</v>
      </c>
      <c r="C8" s="146">
        <f>'[4]MASTER '!$DQ$39</f>
        <v>0</v>
      </c>
      <c r="D8" s="146">
        <f>'[4]MASTER '!$DQ$40</f>
        <v>3</v>
      </c>
      <c r="E8" s="146">
        <f>'[4]MASTER '!$DQ$41</f>
        <v>9</v>
      </c>
      <c r="F8" s="146">
        <f>'[4]MASTER '!$DQ$42</f>
        <v>8</v>
      </c>
      <c r="G8" s="146">
        <f>'[4]MASTER '!$DQ$43</f>
        <v>2</v>
      </c>
      <c r="H8" s="146">
        <f>'[5]MASTER '!$DQ$44</f>
        <v>2</v>
      </c>
      <c r="I8" s="146">
        <f>'[4]MASTER '!$DQ$45</f>
        <v>1</v>
      </c>
      <c r="J8" s="146">
        <f>'[4]MASTER '!$DQ$46</f>
        <v>1</v>
      </c>
      <c r="K8" s="146">
        <f>'[4]MASTER '!$DQ$47</f>
        <v>0</v>
      </c>
      <c r="L8" s="140">
        <f t="shared" si="0"/>
        <v>20</v>
      </c>
      <c r="M8" s="101">
        <f t="shared" si="1"/>
        <v>0.76923076923076927</v>
      </c>
      <c r="N8" s="102">
        <f t="shared" si="4"/>
        <v>24</v>
      </c>
      <c r="O8" s="103">
        <f t="shared" si="2"/>
        <v>0.92307692307692313</v>
      </c>
    </row>
    <row r="9" spans="1:15" s="92" customFormat="1" ht="32.25" customHeight="1">
      <c r="A9" s="100" t="s">
        <v>78</v>
      </c>
      <c r="B9" s="139">
        <f t="shared" si="3"/>
        <v>25</v>
      </c>
      <c r="C9" s="146">
        <f>'[5]MASTER '!$DQ$39</f>
        <v>0</v>
      </c>
      <c r="D9" s="146">
        <f>'[5]MASTER '!$DQ$40</f>
        <v>1</v>
      </c>
      <c r="E9" s="146">
        <f>'[5]MASTER '!$DQ$41</f>
        <v>2</v>
      </c>
      <c r="F9" s="146">
        <f>'[5]MASTER '!$DQ$42</f>
        <v>11</v>
      </c>
      <c r="G9" s="146">
        <f>'[5]MASTER '!$DQ$43</f>
        <v>6</v>
      </c>
      <c r="H9" s="146">
        <f>'[6]MASTER '!$DQ$44</f>
        <v>3</v>
      </c>
      <c r="I9" s="146">
        <f>'[5]MASTER '!$DQ$45</f>
        <v>1</v>
      </c>
      <c r="J9" s="146">
        <f>'[5]MASTER '!$DQ$46</f>
        <v>0</v>
      </c>
      <c r="K9" s="146">
        <f>'[5]MASTER '!$DQ$47</f>
        <v>1</v>
      </c>
      <c r="L9" s="140">
        <f t="shared" si="0"/>
        <v>14</v>
      </c>
      <c r="M9" s="101">
        <f t="shared" si="1"/>
        <v>0.56000000000000005</v>
      </c>
      <c r="N9" s="102">
        <f t="shared" si="4"/>
        <v>23</v>
      </c>
      <c r="O9" s="103">
        <f t="shared" si="2"/>
        <v>0.92</v>
      </c>
    </row>
    <row r="10" spans="1:15" s="92" customFormat="1" ht="32.25" customHeight="1">
      <c r="A10" s="132" t="s">
        <v>79</v>
      </c>
      <c r="B10" s="139">
        <f t="shared" si="3"/>
        <v>20</v>
      </c>
      <c r="C10" s="146">
        <f>'[6]MASTER '!$DQ$39</f>
        <v>0</v>
      </c>
      <c r="D10" s="146">
        <f>'[6]MASTER '!$DQ$40</f>
        <v>0</v>
      </c>
      <c r="E10" s="146">
        <f>'[6]MASTER '!$DQ$41</f>
        <v>0</v>
      </c>
      <c r="F10" s="146">
        <f>'[6]MASTER '!$DQ$42</f>
        <v>6</v>
      </c>
      <c r="G10" s="146">
        <f>'[6]MASTER '!$DQ$43</f>
        <v>10</v>
      </c>
      <c r="H10" s="146">
        <f>'[7]MASTER '!$DQ$44</f>
        <v>0</v>
      </c>
      <c r="I10" s="146">
        <f>'[6]MASTER '!$DQ$45</f>
        <v>2</v>
      </c>
      <c r="J10" s="146">
        <f>'[6]MASTER '!$DQ$46</f>
        <v>2</v>
      </c>
      <c r="K10" s="146">
        <f>'[6]MASTER '!$DQ$47</f>
        <v>0</v>
      </c>
      <c r="L10" s="140">
        <f t="shared" si="0"/>
        <v>6</v>
      </c>
      <c r="M10" s="101">
        <f t="shared" si="1"/>
        <v>0.3</v>
      </c>
      <c r="N10" s="102">
        <f>SUM(C10:H10)</f>
        <v>16</v>
      </c>
      <c r="O10" s="103">
        <f t="shared" si="2"/>
        <v>0.8</v>
      </c>
    </row>
    <row r="11" spans="1:15" s="92" customFormat="1" ht="32.25" customHeight="1">
      <c r="A11" s="100" t="s">
        <v>80</v>
      </c>
      <c r="B11" s="139">
        <f t="shared" si="3"/>
        <v>19</v>
      </c>
      <c r="C11" s="146">
        <f>'[7]MASTER '!$DQ$39</f>
        <v>0</v>
      </c>
      <c r="D11" s="146">
        <f>'[7]MASTER '!$DQ$40</f>
        <v>0</v>
      </c>
      <c r="E11" s="146">
        <f>'[7]MASTER '!$DQ$41</f>
        <v>0</v>
      </c>
      <c r="F11" s="146">
        <f>'[7]MASTER '!$DQ$42</f>
        <v>0</v>
      </c>
      <c r="G11" s="146">
        <f>'[7]MASTER '!$DQ$43</f>
        <v>3</v>
      </c>
      <c r="H11" s="146">
        <f>'[1]MASTER '!$DQ$44</f>
        <v>0</v>
      </c>
      <c r="I11" s="146">
        <f>'[7]MASTER '!$DQ$45</f>
        <v>7</v>
      </c>
      <c r="J11" s="146">
        <f>'[7]MASTER '!$DQ$46</f>
        <v>6</v>
      </c>
      <c r="K11" s="146">
        <f>'[7]MASTER '!$DQ$47</f>
        <v>3</v>
      </c>
      <c r="L11" s="140">
        <f t="shared" si="0"/>
        <v>0</v>
      </c>
      <c r="M11" s="101">
        <f t="shared" si="1"/>
        <v>0</v>
      </c>
      <c r="N11" s="102">
        <f t="shared" si="4"/>
        <v>3</v>
      </c>
      <c r="O11" s="103">
        <f t="shared" si="2"/>
        <v>0.15789473684210525</v>
      </c>
    </row>
    <row r="12" spans="1:15" s="92" customFormat="1" ht="32.25" customHeight="1">
      <c r="A12" s="104" t="s">
        <v>81</v>
      </c>
      <c r="B12" s="105">
        <f t="shared" ref="B12:L12" si="5">SUM(B5:B11)</f>
        <v>162</v>
      </c>
      <c r="C12" s="143">
        <f t="shared" si="5"/>
        <v>9</v>
      </c>
      <c r="D12" s="143">
        <f t="shared" si="5"/>
        <v>27</v>
      </c>
      <c r="E12" s="143">
        <f t="shared" si="5"/>
        <v>28</v>
      </c>
      <c r="F12" s="143">
        <f t="shared" si="5"/>
        <v>34</v>
      </c>
      <c r="G12" s="143">
        <f t="shared" si="5"/>
        <v>32</v>
      </c>
      <c r="H12" s="144">
        <f t="shared" si="5"/>
        <v>8</v>
      </c>
      <c r="I12" s="143">
        <f t="shared" si="5"/>
        <v>11</v>
      </c>
      <c r="J12" s="143">
        <f t="shared" si="5"/>
        <v>9</v>
      </c>
      <c r="K12" s="145">
        <f t="shared" si="5"/>
        <v>4</v>
      </c>
      <c r="L12" s="106">
        <f t="shared" si="5"/>
        <v>98</v>
      </c>
      <c r="M12" s="107">
        <f t="shared" ref="M12" si="6">L12/B12</f>
        <v>0.60493827160493829</v>
      </c>
      <c r="N12" s="108">
        <f>SUM(N5:N11)</f>
        <v>138</v>
      </c>
      <c r="O12" s="109">
        <f t="shared" ref="O12" si="7">N12/B12</f>
        <v>0.85185185185185186</v>
      </c>
    </row>
    <row r="13" spans="1:15" ht="32.25" customHeight="1">
      <c r="A13" s="125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91"/>
      <c r="M13" s="91"/>
      <c r="N13" s="91"/>
      <c r="O13" s="91"/>
    </row>
    <row r="14" spans="1:15" ht="32.25" customHeight="1">
      <c r="A14" s="125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91"/>
      <c r="M14" s="91"/>
      <c r="N14" s="91"/>
      <c r="O14" s="91"/>
    </row>
    <row r="15" spans="1:15" ht="32.25" customHeight="1">
      <c r="A15" s="185" t="s">
        <v>82</v>
      </c>
      <c r="B15" s="186">
        <f>$M$12</f>
        <v>0.60493827160493829</v>
      </c>
      <c r="C15" s="110"/>
      <c r="D15" s="110"/>
      <c r="E15" s="110"/>
      <c r="F15" s="110"/>
      <c r="G15" s="110"/>
      <c r="H15" s="110"/>
      <c r="I15" s="110"/>
      <c r="J15" s="110"/>
      <c r="K15" s="110"/>
      <c r="L15" s="91"/>
      <c r="M15" s="91"/>
      <c r="N15" s="91"/>
      <c r="O15" s="91"/>
    </row>
    <row r="16" spans="1:15" ht="32.25" customHeight="1">
      <c r="A16" s="185" t="s">
        <v>83</v>
      </c>
      <c r="B16" s="186">
        <f>$O$12</f>
        <v>0.85185185185185186</v>
      </c>
      <c r="C16" s="110"/>
      <c r="D16" s="110"/>
      <c r="E16" s="110"/>
      <c r="F16" s="110"/>
      <c r="G16" s="110"/>
      <c r="H16" s="110"/>
      <c r="I16" s="110"/>
      <c r="J16" s="110"/>
      <c r="K16" s="110"/>
      <c r="L16" s="91"/>
      <c r="M16" s="91"/>
      <c r="N16" s="91"/>
      <c r="O16" s="91"/>
    </row>
    <row r="17" ht="15.75"/>
  </sheetData>
  <mergeCells count="5">
    <mergeCell ref="A1:O1"/>
    <mergeCell ref="B3:B4"/>
    <mergeCell ref="C3:K3"/>
    <mergeCell ref="L3:M3"/>
    <mergeCell ref="N3:O3"/>
  </mergeCells>
  <pageMargins left="0.55208333333333337" right="0.33333333333333331" top="1.0416666666666667" bottom="0.75" header="0.3" footer="0.3"/>
  <pageSetup paperSize="9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3"/>
  <sheetViews>
    <sheetView tabSelected="1" view="pageLayout" topLeftCell="A8" zoomScaleNormal="100" workbookViewId="0">
      <selection activeCell="F25" sqref="F25"/>
    </sheetView>
  </sheetViews>
  <sheetFormatPr defaultColWidth="11.42578125" defaultRowHeight="12.95"/>
  <cols>
    <col min="1" max="1" width="10.7109375" style="112" customWidth="1"/>
    <col min="2" max="2" width="6.85546875" style="112" customWidth="1"/>
    <col min="3" max="3" width="9.42578125" style="112" customWidth="1"/>
    <col min="4" max="4" width="9.7109375" style="112" customWidth="1"/>
    <col min="5" max="19" width="6.85546875" style="112" customWidth="1"/>
    <col min="20" max="16384" width="11.42578125" style="112"/>
  </cols>
  <sheetData>
    <row r="1" spans="1:20" ht="30">
      <c r="A1" s="147" t="s">
        <v>68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11"/>
    </row>
    <row r="3" spans="1:20" s="115" customFormat="1" ht="15" hidden="1">
      <c r="A3" s="171" t="s">
        <v>84</v>
      </c>
      <c r="B3" s="172"/>
      <c r="C3" s="172"/>
      <c r="D3" s="173"/>
      <c r="E3" s="113">
        <v>200</v>
      </c>
      <c r="F3" s="114"/>
      <c r="G3" s="114"/>
      <c r="H3" s="114"/>
      <c r="I3" s="114"/>
      <c r="J3" s="114"/>
      <c r="K3" s="114"/>
      <c r="L3" s="114"/>
    </row>
    <row r="4" spans="1:20" s="115" customFormat="1" ht="15">
      <c r="A4" s="171" t="s">
        <v>85</v>
      </c>
      <c r="B4" s="172"/>
      <c r="C4" s="172"/>
      <c r="D4" s="173"/>
      <c r="E4" s="113">
        <v>163</v>
      </c>
      <c r="F4" s="114"/>
      <c r="G4" s="114"/>
      <c r="H4" s="114"/>
      <c r="I4" s="114"/>
      <c r="J4" s="114"/>
      <c r="K4" s="114"/>
      <c r="L4" s="114"/>
    </row>
    <row r="5" spans="1:20" s="115" customFormat="1" ht="15">
      <c r="A5" s="171" t="s">
        <v>86</v>
      </c>
      <c r="B5" s="172"/>
      <c r="C5" s="172"/>
      <c r="D5" s="173"/>
      <c r="E5" s="113">
        <v>0</v>
      </c>
      <c r="F5" s="114"/>
      <c r="G5" s="114"/>
      <c r="H5" s="114"/>
      <c r="I5" s="114"/>
      <c r="J5" s="114"/>
      <c r="K5" s="114"/>
      <c r="L5" s="114"/>
    </row>
    <row r="6" spans="1:20" s="115" customFormat="1" ht="15"/>
    <row r="7" spans="1:20" s="115" customFormat="1" ht="63" customHeight="1">
      <c r="A7" s="116" t="s">
        <v>87</v>
      </c>
      <c r="B7" s="174" t="s">
        <v>88</v>
      </c>
      <c r="C7" s="175"/>
      <c r="D7" s="117" t="s">
        <v>73</v>
      </c>
      <c r="E7" s="90"/>
      <c r="F7" s="90"/>
      <c r="G7" s="90"/>
      <c r="H7" s="90"/>
      <c r="I7" s="90"/>
      <c r="J7" s="90"/>
      <c r="K7" s="90"/>
      <c r="L7" s="114"/>
    </row>
    <row r="8" spans="1:20" s="115" customFormat="1" ht="15">
      <c r="A8" s="113">
        <v>8</v>
      </c>
      <c r="B8" s="168">
        <f>'3''O'' and 5''O'' &amp; above'!$C$12</f>
        <v>9</v>
      </c>
      <c r="C8" s="169"/>
      <c r="D8" s="118">
        <f>B8/B17</f>
        <v>5.5555555555555552E-2</v>
      </c>
      <c r="E8" s="114"/>
      <c r="F8" s="114"/>
      <c r="G8" s="114"/>
      <c r="H8" s="114"/>
      <c r="I8" s="114"/>
      <c r="J8" s="114"/>
      <c r="K8" s="114"/>
      <c r="L8" s="114"/>
    </row>
    <row r="9" spans="1:20" s="115" customFormat="1" ht="15">
      <c r="A9" s="113">
        <v>7</v>
      </c>
      <c r="B9" s="168">
        <f>'3''O'' and 5''O'' &amp; above'!$D$12</f>
        <v>27</v>
      </c>
      <c r="C9" s="169"/>
      <c r="D9" s="118">
        <f>B9/B17</f>
        <v>0.16666666666666666</v>
      </c>
      <c r="E9" s="114"/>
      <c r="F9" s="114"/>
      <c r="G9" s="114"/>
      <c r="H9" s="114"/>
      <c r="I9" s="114"/>
      <c r="J9" s="114"/>
      <c r="K9" s="114"/>
      <c r="L9" s="114"/>
    </row>
    <row r="10" spans="1:20" s="115" customFormat="1" ht="15">
      <c r="A10" s="113">
        <v>6</v>
      </c>
      <c r="B10" s="168">
        <f>'3''O'' and 5''O'' &amp; above'!$E$12</f>
        <v>28</v>
      </c>
      <c r="C10" s="169"/>
      <c r="D10" s="118">
        <f>B10/B17</f>
        <v>0.1728395061728395</v>
      </c>
      <c r="E10" s="114"/>
      <c r="F10" s="114"/>
      <c r="G10" s="114"/>
      <c r="H10" s="114"/>
      <c r="I10" s="114"/>
      <c r="J10" s="114"/>
      <c r="K10" s="114"/>
      <c r="L10" s="114"/>
    </row>
    <row r="11" spans="1:20" s="115" customFormat="1" ht="15">
      <c r="A11" s="113">
        <v>5</v>
      </c>
      <c r="B11" s="168">
        <f>'3''O'' and 5''O'' &amp; above'!$F$12</f>
        <v>34</v>
      </c>
      <c r="C11" s="169"/>
      <c r="D11" s="118">
        <f>B11/B17</f>
        <v>0.20987654320987653</v>
      </c>
      <c r="E11" s="114"/>
      <c r="F11" s="114"/>
      <c r="G11" s="114"/>
      <c r="H11" s="114"/>
      <c r="I11" s="114"/>
      <c r="J11" s="114"/>
      <c r="K11" s="114"/>
      <c r="L11" s="114"/>
    </row>
    <row r="12" spans="1:20" s="115" customFormat="1" ht="15">
      <c r="A12" s="113">
        <v>4</v>
      </c>
      <c r="B12" s="168">
        <f>'3''O'' and 5''O'' &amp; above'!$G$12</f>
        <v>32</v>
      </c>
      <c r="C12" s="169"/>
      <c r="D12" s="118">
        <f>B12/B17</f>
        <v>0.19753086419753085</v>
      </c>
      <c r="E12" s="114"/>
      <c r="F12" s="114"/>
      <c r="G12" s="114"/>
      <c r="H12" s="114"/>
      <c r="I12" s="114"/>
      <c r="J12" s="114"/>
      <c r="K12" s="114"/>
      <c r="L12" s="114"/>
    </row>
    <row r="13" spans="1:20" s="115" customFormat="1" ht="15">
      <c r="A13" s="113">
        <v>3</v>
      </c>
      <c r="B13" s="168">
        <f>'3''O'' and 5''O'' &amp; above'!$H$12</f>
        <v>8</v>
      </c>
      <c r="C13" s="169"/>
      <c r="D13" s="118">
        <f>B13/B17</f>
        <v>4.9382716049382713E-2</v>
      </c>
    </row>
    <row r="14" spans="1:20" s="115" customFormat="1" ht="15">
      <c r="A14" s="113">
        <v>2</v>
      </c>
      <c r="B14" s="168">
        <f>'3''O'' and 5''O'' &amp; above'!$I$12</f>
        <v>11</v>
      </c>
      <c r="C14" s="169"/>
      <c r="D14" s="118">
        <f>B14/B17</f>
        <v>6.7901234567901231E-2</v>
      </c>
    </row>
    <row r="15" spans="1:20" s="115" customFormat="1" ht="15">
      <c r="A15" s="113">
        <v>1</v>
      </c>
      <c r="B15" s="168">
        <f>'3''O'' and 5''O'' &amp; above'!$J$12</f>
        <v>9</v>
      </c>
      <c r="C15" s="169"/>
      <c r="D15" s="118">
        <f>B15/B17</f>
        <v>5.5555555555555552E-2</v>
      </c>
    </row>
    <row r="16" spans="1:20" s="115" customFormat="1" ht="15">
      <c r="A16" s="113">
        <v>0</v>
      </c>
      <c r="B16" s="168">
        <f>'3''O'' and 5''O'' &amp; above'!$K$12</f>
        <v>4</v>
      </c>
      <c r="C16" s="169"/>
      <c r="D16" s="118">
        <f>B16/B17</f>
        <v>2.4691358024691357E-2</v>
      </c>
    </row>
    <row r="17" spans="1:4" s="115" customFormat="1" ht="15">
      <c r="A17" s="119" t="s">
        <v>7</v>
      </c>
      <c r="B17" s="170">
        <f>SUM(B8:C16)</f>
        <v>162</v>
      </c>
      <c r="C17" s="170"/>
    </row>
    <row r="19" spans="1:4" ht="18">
      <c r="B19" s="120"/>
    </row>
    <row r="20" spans="1:4" ht="24.75" customHeight="1">
      <c r="C20" s="121" t="s">
        <v>89</v>
      </c>
      <c r="D20" s="122" t="s">
        <v>73</v>
      </c>
    </row>
    <row r="21" spans="1:4" ht="21.6" customHeight="1">
      <c r="A21" s="166" t="s">
        <v>90</v>
      </c>
      <c r="B21" s="167"/>
      <c r="C21" s="123">
        <f>SUM(B8:C13)</f>
        <v>138</v>
      </c>
      <c r="D21" s="124">
        <f>C21/B17</f>
        <v>0.85185185185185186</v>
      </c>
    </row>
    <row r="22" spans="1:4" ht="21.6" customHeight="1">
      <c r="A22" s="166" t="s">
        <v>91</v>
      </c>
      <c r="B22" s="167"/>
      <c r="C22" s="123">
        <f>SUM(B8:C12)</f>
        <v>130</v>
      </c>
      <c r="D22" s="124">
        <f>C22/B17</f>
        <v>0.80246913580246915</v>
      </c>
    </row>
    <row r="23" spans="1:4" ht="18">
      <c r="A23" s="166" t="s">
        <v>92</v>
      </c>
      <c r="B23" s="167"/>
      <c r="C23" s="123">
        <f>SUM(B8:C11)</f>
        <v>98</v>
      </c>
      <c r="D23" s="124">
        <f>C23/B17</f>
        <v>0.60493827160493829</v>
      </c>
    </row>
  </sheetData>
  <mergeCells count="18">
    <mergeCell ref="B13:C13"/>
    <mergeCell ref="A1:S1"/>
    <mergeCell ref="A3:D3"/>
    <mergeCell ref="A4:D4"/>
    <mergeCell ref="A5:D5"/>
    <mergeCell ref="B7:C7"/>
    <mergeCell ref="B8:C8"/>
    <mergeCell ref="B9:C9"/>
    <mergeCell ref="B10:C10"/>
    <mergeCell ref="B11:C11"/>
    <mergeCell ref="B12:C12"/>
    <mergeCell ref="A23:B23"/>
    <mergeCell ref="B14:C14"/>
    <mergeCell ref="B15:C15"/>
    <mergeCell ref="B16:C16"/>
    <mergeCell ref="B17:C17"/>
    <mergeCell ref="A21:B21"/>
    <mergeCell ref="A22:B22"/>
  </mergeCells>
  <pageMargins left="0.53125" right="6.9444444444444448E-2" top="0.75" bottom="0.75" header="0.3" footer="1.3888888888888888E-2"/>
  <pageSetup paperSize="9" orientation="landscape" horizontalDpi="4294967292" vertic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10"/>
  <sheetViews>
    <sheetView zoomScale="80" zoomScaleNormal="100" zoomScalePageLayoutView="80" workbookViewId="0">
      <selection activeCell="A26" sqref="A26"/>
    </sheetView>
  </sheetViews>
  <sheetFormatPr defaultColWidth="8.85546875" defaultRowHeight="12.95"/>
  <cols>
    <col min="1" max="1" width="14.42578125" customWidth="1"/>
    <col min="2" max="2" width="10.140625" customWidth="1"/>
  </cols>
  <sheetData>
    <row r="2" spans="1:2" ht="27.95">
      <c r="A2" s="42" t="s">
        <v>93</v>
      </c>
      <c r="B2" s="41" t="s">
        <v>94</v>
      </c>
    </row>
    <row r="3" spans="1:2">
      <c r="A3" s="4" t="s">
        <v>95</v>
      </c>
      <c r="B3" s="43"/>
    </row>
    <row r="4" spans="1:2">
      <c r="A4" s="4" t="s">
        <v>96</v>
      </c>
      <c r="B4" s="43"/>
    </row>
    <row r="5" spans="1:2">
      <c r="A5" s="4" t="s">
        <v>97</v>
      </c>
      <c r="B5" s="43"/>
    </row>
    <row r="6" spans="1:2">
      <c r="A6" s="4" t="s">
        <v>98</v>
      </c>
      <c r="B6" s="43"/>
    </row>
    <row r="7" spans="1:2">
      <c r="A7" s="4" t="s">
        <v>99</v>
      </c>
      <c r="B7" s="43"/>
    </row>
    <row r="8" spans="1:2">
      <c r="A8" s="4" t="s">
        <v>100</v>
      </c>
      <c r="B8" s="43"/>
    </row>
    <row r="9" spans="1:2">
      <c r="A9" s="4" t="s">
        <v>101</v>
      </c>
      <c r="B9" s="43"/>
    </row>
    <row r="10" spans="1:2">
      <c r="A10" s="4" t="s">
        <v>102</v>
      </c>
      <c r="B10" s="43"/>
    </row>
  </sheetData>
  <phoneticPr fontId="0" type="noConversion"/>
  <pageMargins left="0.4296875" right="0.22135416666666666" top="1" bottom="1" header="0.5" footer="0.5"/>
  <pageSetup orientation="landscape" r:id="rId1"/>
  <headerFooter alignWithMargins="0">
    <oddHeader>&amp;CSEKOLAH MENENGAH PENGIRAN ANAK PUTERI HAJAH MASNA
 YEAR 10Sci1 &amp; YEAR 11 QUALIFYING EXAMINATION 2015</oddHeader>
    <oddFooter>&amp;LExam Dept SMPAPHM&amp;CY10Sci1 and  Y11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182"/>
  <sheetViews>
    <sheetView zoomScaleNormal="75" workbookViewId="0">
      <selection activeCell="C11" sqref="C11"/>
    </sheetView>
  </sheetViews>
  <sheetFormatPr defaultColWidth="8.85546875" defaultRowHeight="12.95"/>
  <cols>
    <col min="1" max="1" width="16.42578125" customWidth="1"/>
    <col min="2" max="2" width="13.42578125" customWidth="1"/>
    <col min="3" max="3" width="9" customWidth="1"/>
    <col min="4" max="12" width="6.140625" customWidth="1"/>
    <col min="13" max="16" width="7.85546875" customWidth="1"/>
  </cols>
  <sheetData>
    <row r="1" spans="1:16" ht="15.9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ht="15.95">
      <c r="A2" s="34" t="s">
        <v>103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spans="1:16" s="1" customFormat="1" ht="15.95">
      <c r="A3" s="34"/>
      <c r="B3" s="34"/>
      <c r="C3" s="35"/>
      <c r="D3" s="176" t="s">
        <v>1</v>
      </c>
      <c r="E3" s="177"/>
      <c r="F3" s="176" t="s">
        <v>2</v>
      </c>
      <c r="G3" s="178"/>
      <c r="H3" s="178"/>
      <c r="I3" s="177"/>
      <c r="J3" s="176" t="s">
        <v>57</v>
      </c>
      <c r="K3" s="177"/>
      <c r="L3" s="36" t="s">
        <v>4</v>
      </c>
      <c r="M3" s="34"/>
      <c r="N3" s="34"/>
      <c r="O3" s="34"/>
      <c r="P3" s="34"/>
    </row>
    <row r="4" spans="1:16" s="31" customFormat="1" ht="33.950000000000003">
      <c r="A4" s="24" t="s">
        <v>67</v>
      </c>
      <c r="B4" s="24" t="s">
        <v>6</v>
      </c>
      <c r="C4" s="24" t="s">
        <v>7</v>
      </c>
      <c r="D4" s="24">
        <v>1</v>
      </c>
      <c r="E4" s="24">
        <v>2</v>
      </c>
      <c r="F4" s="24">
        <v>3</v>
      </c>
      <c r="G4" s="24">
        <v>4</v>
      </c>
      <c r="H4" s="24">
        <v>5</v>
      </c>
      <c r="I4" s="24">
        <v>6</v>
      </c>
      <c r="J4" s="24">
        <v>7</v>
      </c>
      <c r="K4" s="24">
        <v>8</v>
      </c>
      <c r="L4" s="24">
        <v>9</v>
      </c>
      <c r="M4" s="37" t="s">
        <v>17</v>
      </c>
      <c r="N4" s="37" t="s">
        <v>18</v>
      </c>
      <c r="O4" s="37" t="s">
        <v>19</v>
      </c>
      <c r="P4" s="37" t="s">
        <v>20</v>
      </c>
    </row>
    <row r="5" spans="1:16" s="1" customFormat="1" ht="15.95">
      <c r="A5" s="38" t="s">
        <v>104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27" t="e">
        <f t="shared" ref="N5:N13" si="0">((M5/C5)*100)</f>
        <v>#DIV/0!</v>
      </c>
      <c r="O5" s="30">
        <f t="shared" ref="O5:O13" si="1">SUM(D5:K5)</f>
        <v>0</v>
      </c>
      <c r="P5" s="27" t="e">
        <f t="shared" ref="P5:P13" si="2">((O5/C5)*100)</f>
        <v>#DIV/0!</v>
      </c>
    </row>
    <row r="6" spans="1:16" ht="15.95">
      <c r="A6" s="38" t="s">
        <v>105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27" t="e">
        <f t="shared" si="0"/>
        <v>#DIV/0!</v>
      </c>
      <c r="O6" s="30">
        <f t="shared" si="1"/>
        <v>0</v>
      </c>
      <c r="P6" s="27" t="e">
        <f t="shared" si="2"/>
        <v>#DIV/0!</v>
      </c>
    </row>
    <row r="7" spans="1:16" ht="15.95">
      <c r="A7" s="38" t="s">
        <v>106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27" t="e">
        <f t="shared" si="0"/>
        <v>#DIV/0!</v>
      </c>
      <c r="O7" s="30">
        <f t="shared" si="1"/>
        <v>0</v>
      </c>
      <c r="P7" s="27" t="e">
        <f t="shared" si="2"/>
        <v>#DIV/0!</v>
      </c>
    </row>
    <row r="8" spans="1:16" ht="15.95">
      <c r="A8" s="38" t="s">
        <v>107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27" t="e">
        <f t="shared" si="0"/>
        <v>#DIV/0!</v>
      </c>
      <c r="O8" s="30">
        <f t="shared" si="1"/>
        <v>0</v>
      </c>
      <c r="P8" s="27" t="e">
        <f t="shared" si="2"/>
        <v>#DIV/0!</v>
      </c>
    </row>
    <row r="9" spans="1:16" ht="15.95">
      <c r="A9" s="38" t="s">
        <v>108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27" t="e">
        <f t="shared" si="0"/>
        <v>#DIV/0!</v>
      </c>
      <c r="O9" s="30">
        <f t="shared" si="1"/>
        <v>0</v>
      </c>
      <c r="P9" s="27" t="e">
        <f t="shared" si="2"/>
        <v>#DIV/0!</v>
      </c>
    </row>
    <row r="10" spans="1:16" ht="15.95">
      <c r="A10" s="38" t="s">
        <v>109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27" t="e">
        <f t="shared" si="0"/>
        <v>#DIV/0!</v>
      </c>
      <c r="O10" s="30">
        <f t="shared" si="1"/>
        <v>0</v>
      </c>
      <c r="P10" s="27" t="e">
        <f t="shared" si="2"/>
        <v>#DIV/0!</v>
      </c>
    </row>
    <row r="11" spans="1:16" ht="15.95">
      <c r="A11" s="38" t="s">
        <v>110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27" t="e">
        <f t="shared" si="0"/>
        <v>#DIV/0!</v>
      </c>
      <c r="O11" s="30">
        <f t="shared" si="1"/>
        <v>0</v>
      </c>
      <c r="P11" s="27" t="e">
        <f t="shared" si="2"/>
        <v>#DIV/0!</v>
      </c>
    </row>
    <row r="12" spans="1:16" ht="15.95">
      <c r="A12" s="38" t="s">
        <v>111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27" t="e">
        <f t="shared" si="0"/>
        <v>#DIV/0!</v>
      </c>
      <c r="O12" s="30">
        <f t="shared" si="1"/>
        <v>0</v>
      </c>
      <c r="P12" s="27" t="e">
        <f t="shared" si="2"/>
        <v>#DIV/0!</v>
      </c>
    </row>
    <row r="13" spans="1:16" ht="15.95">
      <c r="A13" s="39" t="s">
        <v>112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27" t="e">
        <f t="shared" si="0"/>
        <v>#DIV/0!</v>
      </c>
      <c r="O13" s="30">
        <f t="shared" si="1"/>
        <v>0</v>
      </c>
      <c r="P13" s="27" t="e">
        <f t="shared" si="2"/>
        <v>#DIV/0!</v>
      </c>
    </row>
    <row r="14" spans="1:16" ht="15.9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2" t="e">
        <f>AVERAGE(N5:N13)</f>
        <v>#DIV/0!</v>
      </c>
      <c r="O14" s="33"/>
      <c r="P14" s="32" t="e">
        <f>AVERAGE(P5:P13)</f>
        <v>#DIV/0!</v>
      </c>
    </row>
    <row r="15" spans="1:16" ht="15.9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</row>
    <row r="16" spans="1:16" ht="15.95">
      <c r="A16" s="34" t="s">
        <v>113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</row>
    <row r="17" spans="1:16" s="1" customFormat="1" ht="15.95">
      <c r="A17" s="34"/>
      <c r="B17" s="34"/>
      <c r="C17" s="35"/>
      <c r="D17" s="176" t="s">
        <v>1</v>
      </c>
      <c r="E17" s="177"/>
      <c r="F17" s="176" t="s">
        <v>2</v>
      </c>
      <c r="G17" s="178"/>
      <c r="H17" s="178"/>
      <c r="I17" s="177"/>
      <c r="J17" s="176" t="s">
        <v>57</v>
      </c>
      <c r="K17" s="177"/>
      <c r="L17" s="36" t="s">
        <v>4</v>
      </c>
      <c r="M17" s="34"/>
      <c r="N17" s="34"/>
      <c r="O17" s="34"/>
      <c r="P17" s="34"/>
    </row>
    <row r="18" spans="1:16" s="31" customFormat="1" ht="33.950000000000003">
      <c r="A18" s="24" t="s">
        <v>67</v>
      </c>
      <c r="B18" s="24" t="s">
        <v>6</v>
      </c>
      <c r="C18" s="24" t="s">
        <v>7</v>
      </c>
      <c r="D18" s="24">
        <v>1</v>
      </c>
      <c r="E18" s="24">
        <v>2</v>
      </c>
      <c r="F18" s="24">
        <v>3</v>
      </c>
      <c r="G18" s="24">
        <v>4</v>
      </c>
      <c r="H18" s="24">
        <v>5</v>
      </c>
      <c r="I18" s="24">
        <v>6</v>
      </c>
      <c r="J18" s="24">
        <v>7</v>
      </c>
      <c r="K18" s="24">
        <v>8</v>
      </c>
      <c r="L18" s="24">
        <v>9</v>
      </c>
      <c r="M18" s="37" t="s">
        <v>17</v>
      </c>
      <c r="N18" s="37" t="s">
        <v>18</v>
      </c>
      <c r="O18" s="37" t="s">
        <v>19</v>
      </c>
      <c r="P18" s="37" t="s">
        <v>20</v>
      </c>
    </row>
    <row r="19" spans="1:16" ht="15.95">
      <c r="A19" s="38" t="s">
        <v>104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27" t="e">
        <f>((M19/C19)*100)</f>
        <v>#DIV/0!</v>
      </c>
      <c r="O19" s="30">
        <f>SUM(D19:K19)</f>
        <v>0</v>
      </c>
      <c r="P19" s="27" t="e">
        <f>((O19/C19)*100)</f>
        <v>#DIV/0!</v>
      </c>
    </row>
    <row r="20" spans="1:16" ht="15.95">
      <c r="A20" s="38" t="s">
        <v>105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27" t="e">
        <f>((M20/C20)*100)</f>
        <v>#DIV/0!</v>
      </c>
      <c r="O20" s="30">
        <f>SUM(D20:K20)</f>
        <v>0</v>
      </c>
      <c r="P20" s="27" t="e">
        <f>((O20/C20)*100)</f>
        <v>#DIV/0!</v>
      </c>
    </row>
    <row r="21" spans="1:16" ht="15.95">
      <c r="A21" s="38" t="s">
        <v>106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27" t="e">
        <f>((M21/C21)*100)</f>
        <v>#DIV/0!</v>
      </c>
      <c r="O21" s="30">
        <f>SUM(D21:K21)</f>
        <v>0</v>
      </c>
      <c r="P21" s="27" t="e">
        <f>((O21/C21)*100)</f>
        <v>#DIV/0!</v>
      </c>
    </row>
    <row r="22" spans="1:16" ht="15.95">
      <c r="A22" s="38" t="s">
        <v>108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27" t="e">
        <f t="shared" ref="N22:N28" si="3">((M22/C22)*100)</f>
        <v>#DIV/0!</v>
      </c>
      <c r="O22" s="30">
        <v>10</v>
      </c>
      <c r="P22" s="27" t="e">
        <f t="shared" ref="P22:P28" si="4">((O22/C22)*100)</f>
        <v>#DIV/0!</v>
      </c>
    </row>
    <row r="23" spans="1:16" ht="15.95">
      <c r="A23" s="38" t="s">
        <v>109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27" t="e">
        <f t="shared" si="3"/>
        <v>#DIV/0!</v>
      </c>
      <c r="O23" s="30">
        <v>10</v>
      </c>
      <c r="P23" s="27" t="e">
        <f t="shared" si="4"/>
        <v>#DIV/0!</v>
      </c>
    </row>
    <row r="24" spans="1:16" ht="15.95">
      <c r="A24" s="38" t="s">
        <v>110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27" t="e">
        <f t="shared" si="3"/>
        <v>#DIV/0!</v>
      </c>
      <c r="O24" s="30">
        <v>19</v>
      </c>
      <c r="P24" s="27" t="e">
        <f t="shared" si="4"/>
        <v>#DIV/0!</v>
      </c>
    </row>
    <row r="25" spans="1:16" ht="15.95">
      <c r="A25" s="38" t="s">
        <v>111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27" t="e">
        <f t="shared" si="3"/>
        <v>#DIV/0!</v>
      </c>
      <c r="O25" s="30">
        <v>19</v>
      </c>
      <c r="P25" s="27" t="e">
        <f t="shared" si="4"/>
        <v>#DIV/0!</v>
      </c>
    </row>
    <row r="26" spans="1:16" ht="15.95">
      <c r="A26" s="30" t="s">
        <v>114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27" t="e">
        <f t="shared" si="3"/>
        <v>#DIV/0!</v>
      </c>
      <c r="O26" s="30">
        <v>3</v>
      </c>
      <c r="P26" s="27" t="e">
        <f t="shared" si="4"/>
        <v>#DIV/0!</v>
      </c>
    </row>
    <row r="27" spans="1:16" ht="15.95">
      <c r="A27" s="39" t="s">
        <v>112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27" t="e">
        <f t="shared" si="3"/>
        <v>#DIV/0!</v>
      </c>
      <c r="O27" s="30">
        <v>2</v>
      </c>
      <c r="P27" s="27" t="e">
        <f t="shared" si="4"/>
        <v>#DIV/0!</v>
      </c>
    </row>
    <row r="28" spans="1:16" ht="15.95">
      <c r="A28" s="39" t="s">
        <v>115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27" t="e">
        <f t="shared" si="3"/>
        <v>#DIV/0!</v>
      </c>
      <c r="O28" s="30">
        <v>12</v>
      </c>
      <c r="P28" s="27" t="e">
        <f t="shared" si="4"/>
        <v>#DIV/0!</v>
      </c>
    </row>
    <row r="29" spans="1:16" ht="15.95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2" t="e">
        <f>AVERAGE(N19:N28)</f>
        <v>#DIV/0!</v>
      </c>
      <c r="O29" s="33"/>
      <c r="P29" s="32" t="e">
        <f>AVERAGE(P19:P28)</f>
        <v>#DIV/0!</v>
      </c>
    </row>
    <row r="30" spans="1:16" ht="15.9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40"/>
      <c r="O30" s="35"/>
      <c r="P30" s="40"/>
    </row>
    <row r="31" spans="1:16" ht="15.95">
      <c r="A31" s="34" t="s">
        <v>116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</row>
    <row r="32" spans="1:16" s="1" customFormat="1" ht="15.95">
      <c r="A32" s="34"/>
      <c r="B32" s="34"/>
      <c r="C32" s="35"/>
      <c r="D32" s="176" t="s">
        <v>1</v>
      </c>
      <c r="E32" s="177"/>
      <c r="F32" s="176" t="s">
        <v>2</v>
      </c>
      <c r="G32" s="178"/>
      <c r="H32" s="178"/>
      <c r="I32" s="177"/>
      <c r="J32" s="176" t="s">
        <v>57</v>
      </c>
      <c r="K32" s="177"/>
      <c r="L32" s="36" t="s">
        <v>4</v>
      </c>
      <c r="M32" s="34"/>
      <c r="N32" s="34"/>
      <c r="O32" s="34"/>
      <c r="P32" s="34"/>
    </row>
    <row r="33" spans="1:16" s="31" customFormat="1" ht="33.950000000000003">
      <c r="A33" s="24" t="s">
        <v>67</v>
      </c>
      <c r="B33" s="24" t="s">
        <v>6</v>
      </c>
      <c r="C33" s="24" t="s">
        <v>7</v>
      </c>
      <c r="D33" s="24">
        <v>1</v>
      </c>
      <c r="E33" s="24">
        <v>2</v>
      </c>
      <c r="F33" s="24">
        <v>3</v>
      </c>
      <c r="G33" s="24">
        <v>4</v>
      </c>
      <c r="H33" s="24">
        <v>5</v>
      </c>
      <c r="I33" s="24">
        <v>6</v>
      </c>
      <c r="J33" s="24">
        <v>7</v>
      </c>
      <c r="K33" s="24">
        <v>8</v>
      </c>
      <c r="L33" s="24">
        <v>9</v>
      </c>
      <c r="M33" s="37" t="s">
        <v>17</v>
      </c>
      <c r="N33" s="37" t="s">
        <v>18</v>
      </c>
      <c r="O33" s="37" t="s">
        <v>19</v>
      </c>
      <c r="P33" s="37" t="s">
        <v>20</v>
      </c>
    </row>
    <row r="34" spans="1:16" ht="15.95">
      <c r="A34" s="38" t="s">
        <v>104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27" t="e">
        <f t="shared" ref="N34:N42" si="5">((M34/C34)*100)</f>
        <v>#DIV/0!</v>
      </c>
      <c r="O34" s="30">
        <v>18</v>
      </c>
      <c r="P34" s="27" t="e">
        <f t="shared" ref="P34:P42" si="6">((O34/C34)*100)</f>
        <v>#DIV/0!</v>
      </c>
    </row>
    <row r="35" spans="1:16" ht="15.95">
      <c r="A35" s="38" t="s">
        <v>105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27" t="e">
        <f t="shared" si="5"/>
        <v>#DIV/0!</v>
      </c>
      <c r="O35" s="30">
        <v>15</v>
      </c>
      <c r="P35" s="27" t="e">
        <f t="shared" si="6"/>
        <v>#DIV/0!</v>
      </c>
    </row>
    <row r="36" spans="1:16" ht="15.95">
      <c r="A36" s="38" t="s">
        <v>106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27" t="e">
        <f t="shared" si="5"/>
        <v>#DIV/0!</v>
      </c>
      <c r="O36" s="30">
        <v>9</v>
      </c>
      <c r="P36" s="27" t="e">
        <f t="shared" si="6"/>
        <v>#DIV/0!</v>
      </c>
    </row>
    <row r="37" spans="1:16" ht="15.95">
      <c r="A37" s="38" t="s">
        <v>117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27" t="e">
        <f t="shared" si="5"/>
        <v>#DIV/0!</v>
      </c>
      <c r="O37" s="30">
        <v>6</v>
      </c>
      <c r="P37" s="27" t="e">
        <f t="shared" si="6"/>
        <v>#DIV/0!</v>
      </c>
    </row>
    <row r="38" spans="1:16" ht="15.95">
      <c r="A38" s="38" t="s">
        <v>111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27" t="e">
        <f t="shared" si="5"/>
        <v>#DIV/0!</v>
      </c>
      <c r="O38" s="30">
        <v>7</v>
      </c>
      <c r="P38" s="27" t="e">
        <f t="shared" si="6"/>
        <v>#DIV/0!</v>
      </c>
    </row>
    <row r="39" spans="1:16" ht="15.95">
      <c r="A39" s="38" t="s">
        <v>118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27" t="e">
        <f t="shared" si="5"/>
        <v>#DIV/0!</v>
      </c>
      <c r="O39" s="30">
        <v>14</v>
      </c>
      <c r="P39" s="27" t="e">
        <f t="shared" si="6"/>
        <v>#DIV/0!</v>
      </c>
    </row>
    <row r="40" spans="1:16" ht="15.95">
      <c r="A40" s="38" t="s">
        <v>119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27" t="e">
        <f t="shared" si="5"/>
        <v>#DIV/0!</v>
      </c>
      <c r="O40" s="30">
        <v>16</v>
      </c>
      <c r="P40" s="27" t="e">
        <f t="shared" si="6"/>
        <v>#DIV/0!</v>
      </c>
    </row>
    <row r="41" spans="1:16" ht="15.95">
      <c r="A41" s="39" t="s">
        <v>120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27" t="e">
        <f t="shared" si="5"/>
        <v>#DIV/0!</v>
      </c>
      <c r="O41" s="30">
        <v>14</v>
      </c>
      <c r="P41" s="27" t="e">
        <f t="shared" si="6"/>
        <v>#DIV/0!</v>
      </c>
    </row>
    <row r="42" spans="1:16" ht="15.95">
      <c r="A42" s="39" t="s">
        <v>121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27" t="e">
        <f t="shared" si="5"/>
        <v>#DIV/0!</v>
      </c>
      <c r="O42" s="30">
        <v>2</v>
      </c>
      <c r="P42" s="27" t="e">
        <f t="shared" si="6"/>
        <v>#DIV/0!</v>
      </c>
    </row>
    <row r="43" spans="1:16" ht="15.95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2" t="e">
        <f>AVERAGE(N34:N42)</f>
        <v>#DIV/0!</v>
      </c>
      <c r="O43" s="33"/>
      <c r="P43" s="32" t="e">
        <f>AVERAGE(P34:P42)</f>
        <v>#DIV/0!</v>
      </c>
    </row>
    <row r="44" spans="1:16" ht="15.9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40"/>
      <c r="O44" s="35"/>
      <c r="P44" s="40"/>
    </row>
    <row r="45" spans="1:16" ht="15.95">
      <c r="A45" s="34" t="s">
        <v>122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</row>
    <row r="46" spans="1:16" s="1" customFormat="1" ht="15.95">
      <c r="A46" s="34"/>
      <c r="B46" s="34"/>
      <c r="C46" s="35"/>
      <c r="D46" s="176" t="s">
        <v>1</v>
      </c>
      <c r="E46" s="177"/>
      <c r="F46" s="176" t="s">
        <v>2</v>
      </c>
      <c r="G46" s="178"/>
      <c r="H46" s="178"/>
      <c r="I46" s="177"/>
      <c r="J46" s="176" t="s">
        <v>57</v>
      </c>
      <c r="K46" s="177"/>
      <c r="L46" s="36" t="s">
        <v>4</v>
      </c>
      <c r="M46" s="34"/>
      <c r="N46" s="34"/>
      <c r="O46" s="34"/>
      <c r="P46" s="34"/>
    </row>
    <row r="47" spans="1:16" s="31" customFormat="1" ht="33.950000000000003">
      <c r="A47" s="24" t="s">
        <v>67</v>
      </c>
      <c r="B47" s="24" t="s">
        <v>6</v>
      </c>
      <c r="C47" s="24" t="s">
        <v>7</v>
      </c>
      <c r="D47" s="24">
        <v>1</v>
      </c>
      <c r="E47" s="24">
        <v>2</v>
      </c>
      <c r="F47" s="24">
        <v>3</v>
      </c>
      <c r="G47" s="24">
        <v>4</v>
      </c>
      <c r="H47" s="24">
        <v>5</v>
      </c>
      <c r="I47" s="24">
        <v>6</v>
      </c>
      <c r="J47" s="24">
        <v>7</v>
      </c>
      <c r="K47" s="24">
        <v>8</v>
      </c>
      <c r="L47" s="24">
        <v>9</v>
      </c>
      <c r="M47" s="37" t="s">
        <v>17</v>
      </c>
      <c r="N47" s="37" t="s">
        <v>18</v>
      </c>
      <c r="O47" s="37" t="s">
        <v>19</v>
      </c>
      <c r="P47" s="37" t="s">
        <v>20</v>
      </c>
    </row>
    <row r="48" spans="1:16" ht="15.95">
      <c r="A48" s="38" t="s">
        <v>104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27" t="e">
        <f t="shared" ref="N48:N56" si="7">((M48/C48)*100)</f>
        <v>#DIV/0!</v>
      </c>
      <c r="O48" s="30">
        <v>24</v>
      </c>
      <c r="P48" s="27" t="e">
        <f t="shared" ref="P48:P56" si="8">((O48/C48)*100)</f>
        <v>#DIV/0!</v>
      </c>
    </row>
    <row r="49" spans="1:16" ht="15.95">
      <c r="A49" s="38" t="s">
        <v>105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27" t="e">
        <f t="shared" si="7"/>
        <v>#DIV/0!</v>
      </c>
      <c r="O49" s="30">
        <v>20</v>
      </c>
      <c r="P49" s="27" t="e">
        <f t="shared" si="8"/>
        <v>#DIV/0!</v>
      </c>
    </row>
    <row r="50" spans="1:16" ht="15.95">
      <c r="A50" s="38" t="s">
        <v>106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27" t="e">
        <f t="shared" si="7"/>
        <v>#DIV/0!</v>
      </c>
      <c r="O50" s="30">
        <v>5</v>
      </c>
      <c r="P50" s="27" t="e">
        <f t="shared" si="8"/>
        <v>#DIV/0!</v>
      </c>
    </row>
    <row r="51" spans="1:16" ht="15.95">
      <c r="A51" s="38" t="s">
        <v>117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27" t="e">
        <f t="shared" si="7"/>
        <v>#DIV/0!</v>
      </c>
      <c r="O51" s="30">
        <v>10</v>
      </c>
      <c r="P51" s="27" t="e">
        <f t="shared" si="8"/>
        <v>#DIV/0!</v>
      </c>
    </row>
    <row r="52" spans="1:16" ht="15.95">
      <c r="A52" s="38" t="s">
        <v>111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27" t="e">
        <f t="shared" si="7"/>
        <v>#DIV/0!</v>
      </c>
      <c r="O52" s="30">
        <v>12</v>
      </c>
      <c r="P52" s="27" t="e">
        <f t="shared" si="8"/>
        <v>#DIV/0!</v>
      </c>
    </row>
    <row r="53" spans="1:16" ht="15.95">
      <c r="A53" s="38" t="s">
        <v>118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27" t="e">
        <f t="shared" si="7"/>
        <v>#DIV/0!</v>
      </c>
      <c r="O53" s="30">
        <v>13</v>
      </c>
      <c r="P53" s="27" t="e">
        <f t="shared" si="8"/>
        <v>#DIV/0!</v>
      </c>
    </row>
    <row r="54" spans="1:16" ht="15.95">
      <c r="A54" s="38" t="s">
        <v>119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27" t="e">
        <f t="shared" si="7"/>
        <v>#DIV/0!</v>
      </c>
      <c r="O54" s="30">
        <v>22</v>
      </c>
      <c r="P54" s="27" t="e">
        <f t="shared" si="8"/>
        <v>#DIV/0!</v>
      </c>
    </row>
    <row r="55" spans="1:16" ht="15.95">
      <c r="A55" s="39" t="s">
        <v>123</v>
      </c>
      <c r="B55" s="30"/>
      <c r="C55" s="30"/>
      <c r="D55" s="36"/>
      <c r="E55" s="30"/>
      <c r="F55" s="30"/>
      <c r="G55" s="30"/>
      <c r="H55" s="30"/>
      <c r="I55" s="30"/>
      <c r="J55" s="36"/>
      <c r="K55" s="36"/>
      <c r="L55" s="36"/>
      <c r="M55" s="30"/>
      <c r="N55" s="27" t="e">
        <f t="shared" si="7"/>
        <v>#DIV/0!</v>
      </c>
      <c r="O55" s="30">
        <v>10</v>
      </c>
      <c r="P55" s="27" t="e">
        <f t="shared" si="8"/>
        <v>#DIV/0!</v>
      </c>
    </row>
    <row r="56" spans="1:16" ht="15.95">
      <c r="A56" s="39" t="s">
        <v>115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27" t="e">
        <f t="shared" si="7"/>
        <v>#DIV/0!</v>
      </c>
      <c r="O56" s="30">
        <v>8</v>
      </c>
      <c r="P56" s="27" t="e">
        <f t="shared" si="8"/>
        <v>#DIV/0!</v>
      </c>
    </row>
    <row r="57" spans="1:16" ht="15.9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2" t="e">
        <f>AVERAGE(N48:N56)</f>
        <v>#DIV/0!</v>
      </c>
      <c r="O57" s="33"/>
      <c r="P57" s="32" t="e">
        <f>AVERAGE(P48:P56)</f>
        <v>#DIV/0!</v>
      </c>
    </row>
    <row r="58" spans="1:16" ht="15.9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40"/>
      <c r="O58" s="35"/>
      <c r="P58" s="40"/>
    </row>
    <row r="59" spans="1:16" ht="15.95">
      <c r="A59" s="34" t="s">
        <v>124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</row>
    <row r="60" spans="1:16" s="1" customFormat="1" ht="15.95">
      <c r="A60" s="34"/>
      <c r="B60" s="34"/>
      <c r="C60" s="35"/>
      <c r="D60" s="176" t="s">
        <v>1</v>
      </c>
      <c r="E60" s="177"/>
      <c r="F60" s="176" t="s">
        <v>2</v>
      </c>
      <c r="G60" s="178"/>
      <c r="H60" s="178"/>
      <c r="I60" s="177"/>
      <c r="J60" s="176" t="s">
        <v>57</v>
      </c>
      <c r="K60" s="177"/>
      <c r="L60" s="36" t="s">
        <v>4</v>
      </c>
      <c r="M60" s="34"/>
      <c r="N60" s="34"/>
      <c r="O60" s="34"/>
      <c r="P60" s="34"/>
    </row>
    <row r="61" spans="1:16" s="31" customFormat="1" ht="33.950000000000003">
      <c r="A61" s="24" t="s">
        <v>67</v>
      </c>
      <c r="B61" s="24" t="s">
        <v>6</v>
      </c>
      <c r="C61" s="24" t="s">
        <v>7</v>
      </c>
      <c r="D61" s="24">
        <v>1</v>
      </c>
      <c r="E61" s="24">
        <v>2</v>
      </c>
      <c r="F61" s="24">
        <v>3</v>
      </c>
      <c r="G61" s="24">
        <v>4</v>
      </c>
      <c r="H61" s="24">
        <v>5</v>
      </c>
      <c r="I61" s="24">
        <v>6</v>
      </c>
      <c r="J61" s="24">
        <v>7</v>
      </c>
      <c r="K61" s="24">
        <v>8</v>
      </c>
      <c r="L61" s="24">
        <v>9</v>
      </c>
      <c r="M61" s="37" t="s">
        <v>17</v>
      </c>
      <c r="N61" s="37" t="s">
        <v>18</v>
      </c>
      <c r="O61" s="37" t="s">
        <v>19</v>
      </c>
      <c r="P61" s="37" t="s">
        <v>20</v>
      </c>
    </row>
    <row r="62" spans="1:16" ht="15.95">
      <c r="A62" s="38" t="s">
        <v>104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27" t="e">
        <f t="shared" ref="N62:N69" si="9">((M62/C62)*100)</f>
        <v>#DIV/0!</v>
      </c>
      <c r="O62" s="30">
        <v>18</v>
      </c>
      <c r="P62" s="27" t="e">
        <f t="shared" ref="P62:P69" si="10">((O62/C62)*100)</f>
        <v>#DIV/0!</v>
      </c>
    </row>
    <row r="63" spans="1:16" ht="15.95">
      <c r="A63" s="38" t="s">
        <v>105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27" t="e">
        <f t="shared" si="9"/>
        <v>#DIV/0!</v>
      </c>
      <c r="O63" s="30">
        <v>7</v>
      </c>
      <c r="P63" s="27" t="e">
        <f t="shared" si="10"/>
        <v>#DIV/0!</v>
      </c>
    </row>
    <row r="64" spans="1:16" ht="15.95">
      <c r="A64" s="38" t="s">
        <v>106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27" t="e">
        <f t="shared" si="9"/>
        <v>#DIV/0!</v>
      </c>
      <c r="O64" s="30">
        <v>2</v>
      </c>
      <c r="P64" s="27" t="e">
        <f t="shared" si="10"/>
        <v>#DIV/0!</v>
      </c>
    </row>
    <row r="65" spans="1:16" ht="15.95">
      <c r="A65" s="38" t="s">
        <v>117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27" t="e">
        <f t="shared" si="9"/>
        <v>#DIV/0!</v>
      </c>
      <c r="O65" s="30">
        <v>1</v>
      </c>
      <c r="P65" s="27" t="e">
        <f t="shared" si="10"/>
        <v>#DIV/0!</v>
      </c>
    </row>
    <row r="66" spans="1:16" ht="15.95">
      <c r="A66" s="38" t="s">
        <v>111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27" t="e">
        <f t="shared" si="9"/>
        <v>#DIV/0!</v>
      </c>
      <c r="O66" s="30">
        <v>9</v>
      </c>
      <c r="P66" s="27" t="e">
        <f t="shared" si="10"/>
        <v>#DIV/0!</v>
      </c>
    </row>
    <row r="67" spans="1:16" ht="15.95">
      <c r="A67" s="38" t="s">
        <v>119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27" t="e">
        <f t="shared" si="9"/>
        <v>#DIV/0!</v>
      </c>
      <c r="O67" s="30">
        <v>15</v>
      </c>
      <c r="P67" s="27" t="e">
        <f t="shared" si="10"/>
        <v>#DIV/0!</v>
      </c>
    </row>
    <row r="68" spans="1:16" ht="15.95">
      <c r="A68" s="30" t="s">
        <v>120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27" t="e">
        <f t="shared" si="9"/>
        <v>#DIV/0!</v>
      </c>
      <c r="O68" s="30">
        <v>17</v>
      </c>
      <c r="P68" s="27" t="e">
        <f t="shared" si="10"/>
        <v>#DIV/0!</v>
      </c>
    </row>
    <row r="69" spans="1:16" ht="15.95">
      <c r="A69" s="38" t="s">
        <v>125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27" t="e">
        <f t="shared" si="9"/>
        <v>#DIV/0!</v>
      </c>
      <c r="O69" s="30">
        <v>17</v>
      </c>
      <c r="P69" s="27" t="e">
        <f t="shared" si="10"/>
        <v>#DIV/0!</v>
      </c>
    </row>
    <row r="70" spans="1:16" ht="15.95">
      <c r="A70" s="34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2" t="e">
        <f>AVERAGE(N62:N69)</f>
        <v>#DIV/0!</v>
      </c>
      <c r="O70" s="33"/>
      <c r="P70" s="32" t="e">
        <f>AVERAGE(P62:P69)</f>
        <v>#DIV/0!</v>
      </c>
    </row>
    <row r="71" spans="1:16" ht="15.95">
      <c r="A71" s="34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40"/>
      <c r="O71" s="35"/>
      <c r="P71" s="40"/>
    </row>
    <row r="72" spans="1:16" ht="15.95">
      <c r="A72" s="34" t="s">
        <v>126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</row>
    <row r="73" spans="1:16" ht="18" customHeight="1">
      <c r="A73" s="34"/>
      <c r="B73" s="34"/>
      <c r="C73" s="35"/>
      <c r="D73" s="176" t="s">
        <v>1</v>
      </c>
      <c r="E73" s="177"/>
      <c r="F73" s="176" t="s">
        <v>2</v>
      </c>
      <c r="G73" s="178"/>
      <c r="H73" s="178"/>
      <c r="I73" s="177"/>
      <c r="J73" s="176" t="s">
        <v>57</v>
      </c>
      <c r="K73" s="177"/>
      <c r="L73" s="36" t="s">
        <v>4</v>
      </c>
      <c r="M73" s="34"/>
      <c r="N73" s="34"/>
      <c r="O73" s="34"/>
      <c r="P73" s="34"/>
    </row>
    <row r="74" spans="1:16" s="1" customFormat="1" ht="33.950000000000003">
      <c r="A74" s="24" t="s">
        <v>67</v>
      </c>
      <c r="B74" s="24" t="s">
        <v>6</v>
      </c>
      <c r="C74" s="24" t="s">
        <v>7</v>
      </c>
      <c r="D74" s="24">
        <v>1</v>
      </c>
      <c r="E74" s="24">
        <v>2</v>
      </c>
      <c r="F74" s="24">
        <v>3</v>
      </c>
      <c r="G74" s="24">
        <v>4</v>
      </c>
      <c r="H74" s="24">
        <v>5</v>
      </c>
      <c r="I74" s="24">
        <v>6</v>
      </c>
      <c r="J74" s="24">
        <v>7</v>
      </c>
      <c r="K74" s="24">
        <v>8</v>
      </c>
      <c r="L74" s="24">
        <v>9</v>
      </c>
      <c r="M74" s="37" t="s">
        <v>17</v>
      </c>
      <c r="N74" s="37" t="s">
        <v>18</v>
      </c>
      <c r="O74" s="37" t="s">
        <v>19</v>
      </c>
      <c r="P74" s="37" t="s">
        <v>20</v>
      </c>
    </row>
    <row r="75" spans="1:16" s="31" customFormat="1" ht="15.95">
      <c r="A75" s="38" t="s">
        <v>104</v>
      </c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27" t="e">
        <f t="shared" ref="N75:N82" si="11">((M75/C75)*100)</f>
        <v>#DIV/0!</v>
      </c>
      <c r="O75" s="30">
        <v>25</v>
      </c>
      <c r="P75" s="27" t="e">
        <f t="shared" ref="P75:P82" si="12">((O75/C75)*100)</f>
        <v>#DIV/0!</v>
      </c>
    </row>
    <row r="76" spans="1:16" ht="15.95">
      <c r="A76" s="38" t="s">
        <v>105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27" t="e">
        <f t="shared" si="11"/>
        <v>#DIV/0!</v>
      </c>
      <c r="O76" s="30">
        <v>7</v>
      </c>
      <c r="P76" s="27" t="e">
        <f t="shared" si="12"/>
        <v>#DIV/0!</v>
      </c>
    </row>
    <row r="77" spans="1:16" ht="15.95">
      <c r="A77" s="38" t="s">
        <v>106</v>
      </c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27" t="e">
        <f t="shared" si="11"/>
        <v>#DIV/0!</v>
      </c>
      <c r="O77" s="30">
        <v>2</v>
      </c>
      <c r="P77" s="27" t="e">
        <f t="shared" si="12"/>
        <v>#DIV/0!</v>
      </c>
    </row>
    <row r="78" spans="1:16" ht="15.95">
      <c r="A78" s="38" t="s">
        <v>117</v>
      </c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27" t="e">
        <f t="shared" si="11"/>
        <v>#DIV/0!</v>
      </c>
      <c r="O78" s="30">
        <v>9</v>
      </c>
      <c r="P78" s="27" t="e">
        <f t="shared" si="12"/>
        <v>#DIV/0!</v>
      </c>
    </row>
    <row r="79" spans="1:16" ht="15.95">
      <c r="A79" s="38" t="s">
        <v>111</v>
      </c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27" t="e">
        <f t="shared" si="11"/>
        <v>#DIV/0!</v>
      </c>
      <c r="O79" s="30">
        <v>3</v>
      </c>
      <c r="P79" s="27" t="e">
        <f t="shared" si="12"/>
        <v>#DIV/0!</v>
      </c>
    </row>
    <row r="80" spans="1:16" s="1" customFormat="1" ht="15.95">
      <c r="A80" s="38" t="s">
        <v>119</v>
      </c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27" t="e">
        <f t="shared" si="11"/>
        <v>#DIV/0!</v>
      </c>
      <c r="O80" s="30">
        <v>24</v>
      </c>
      <c r="P80" s="27" t="e">
        <f t="shared" si="12"/>
        <v>#DIV/0!</v>
      </c>
    </row>
    <row r="81" spans="1:17" ht="15.95">
      <c r="A81" s="39" t="s">
        <v>115</v>
      </c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27" t="e">
        <f t="shared" si="11"/>
        <v>#DIV/0!</v>
      </c>
      <c r="O81" s="30">
        <v>2</v>
      </c>
      <c r="P81" s="27" t="e">
        <f t="shared" si="12"/>
        <v>#DIV/0!</v>
      </c>
    </row>
    <row r="82" spans="1:17" s="1" customFormat="1" ht="15.95">
      <c r="A82" s="38" t="s">
        <v>125</v>
      </c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27" t="e">
        <f t="shared" si="11"/>
        <v>#DIV/0!</v>
      </c>
      <c r="O82" s="30">
        <v>24</v>
      </c>
      <c r="P82" s="27" t="e">
        <f t="shared" si="12"/>
        <v>#DIV/0!</v>
      </c>
      <c r="Q82"/>
    </row>
    <row r="83" spans="1:17" s="1" customFormat="1" ht="15.95">
      <c r="A83" s="34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2" t="e">
        <f>AVERAGE(N75:N82)</f>
        <v>#DIV/0!</v>
      </c>
      <c r="O83" s="33"/>
      <c r="P83" s="32" t="e">
        <f>AVERAGE(P75:P82)</f>
        <v>#DIV/0!</v>
      </c>
      <c r="Q83"/>
    </row>
    <row r="84" spans="1:17" s="1" customFormat="1" ht="15.95">
      <c r="A84" s="34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2"/>
      <c r="O84" s="33"/>
      <c r="P84" s="32"/>
      <c r="Q84"/>
    </row>
    <row r="85" spans="1:17" s="1" customFormat="1" ht="15.95">
      <c r="A85" s="34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2"/>
      <c r="O85" s="33"/>
      <c r="P85" s="32"/>
      <c r="Q85"/>
    </row>
    <row r="86" spans="1:17" ht="15.95">
      <c r="A86" s="34" t="s">
        <v>127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</row>
    <row r="87" spans="1:17" s="1" customFormat="1" ht="15.95">
      <c r="A87" s="34"/>
      <c r="B87" s="34"/>
      <c r="C87" s="35"/>
      <c r="D87" s="176" t="s">
        <v>1</v>
      </c>
      <c r="E87" s="177"/>
      <c r="F87" s="176" t="s">
        <v>2</v>
      </c>
      <c r="G87" s="178"/>
      <c r="H87" s="178"/>
      <c r="I87" s="177"/>
      <c r="J87" s="176" t="s">
        <v>57</v>
      </c>
      <c r="K87" s="177"/>
      <c r="L87" s="36" t="s">
        <v>4</v>
      </c>
      <c r="M87" s="34"/>
      <c r="N87" s="34"/>
      <c r="O87" s="34"/>
      <c r="P87" s="34"/>
    </row>
    <row r="88" spans="1:17" s="31" customFormat="1" ht="33.950000000000003">
      <c r="A88" s="24" t="s">
        <v>67</v>
      </c>
      <c r="B88" s="24" t="s">
        <v>6</v>
      </c>
      <c r="C88" s="24" t="s">
        <v>7</v>
      </c>
      <c r="D88" s="24">
        <v>1</v>
      </c>
      <c r="E88" s="24">
        <v>2</v>
      </c>
      <c r="F88" s="24">
        <v>3</v>
      </c>
      <c r="G88" s="24">
        <v>4</v>
      </c>
      <c r="H88" s="24">
        <v>5</v>
      </c>
      <c r="I88" s="24">
        <v>6</v>
      </c>
      <c r="J88" s="24">
        <v>7</v>
      </c>
      <c r="K88" s="24">
        <v>8</v>
      </c>
      <c r="L88" s="24">
        <v>9</v>
      </c>
      <c r="M88" s="37" t="s">
        <v>17</v>
      </c>
      <c r="N88" s="37" t="s">
        <v>18</v>
      </c>
      <c r="O88" s="37" t="s">
        <v>19</v>
      </c>
      <c r="P88" s="37" t="s">
        <v>20</v>
      </c>
    </row>
    <row r="89" spans="1:17" ht="15.95">
      <c r="A89" s="38" t="s">
        <v>104</v>
      </c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27" t="e">
        <f t="shared" ref="N89:N95" si="13">((M89/C89)*100)</f>
        <v>#DIV/0!</v>
      </c>
      <c r="O89" s="30">
        <v>15</v>
      </c>
      <c r="P89" s="27" t="e">
        <f t="shared" ref="P89:P95" si="14">((O89/C89)*100)</f>
        <v>#DIV/0!</v>
      </c>
      <c r="Q89" s="1"/>
    </row>
    <row r="90" spans="1:17" s="1" customFormat="1" ht="15.95">
      <c r="A90" s="38" t="s">
        <v>105</v>
      </c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27" t="e">
        <f t="shared" si="13"/>
        <v>#DIV/0!</v>
      </c>
      <c r="O90" s="30">
        <v>1</v>
      </c>
      <c r="P90" s="27" t="e">
        <f t="shared" si="14"/>
        <v>#DIV/0!</v>
      </c>
      <c r="Q90"/>
    </row>
    <row r="91" spans="1:17" s="1" customFormat="1" ht="15.95">
      <c r="A91" s="38" t="s">
        <v>106</v>
      </c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27" t="e">
        <f t="shared" si="13"/>
        <v>#DIV/0!</v>
      </c>
      <c r="O91" s="30">
        <v>1</v>
      </c>
      <c r="P91" s="27" t="e">
        <f t="shared" si="14"/>
        <v>#DIV/0!</v>
      </c>
      <c r="Q91"/>
    </row>
    <row r="92" spans="1:17" s="1" customFormat="1" ht="15.95">
      <c r="A92" s="38" t="s">
        <v>117</v>
      </c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27" t="e">
        <f t="shared" si="13"/>
        <v>#DIV/0!</v>
      </c>
      <c r="O92" s="30">
        <v>0</v>
      </c>
      <c r="P92" s="27" t="e">
        <f t="shared" si="14"/>
        <v>#DIV/0!</v>
      </c>
      <c r="Q92"/>
    </row>
    <row r="93" spans="1:17" s="1" customFormat="1" ht="15.95">
      <c r="A93" s="38" t="s">
        <v>123</v>
      </c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27" t="e">
        <f t="shared" si="13"/>
        <v>#DIV/0!</v>
      </c>
      <c r="O93" s="30">
        <v>15</v>
      </c>
      <c r="P93" s="27" t="e">
        <f t="shared" si="14"/>
        <v>#DIV/0!</v>
      </c>
    </row>
    <row r="94" spans="1:17" s="1" customFormat="1" ht="15.95">
      <c r="A94" s="38" t="s">
        <v>119</v>
      </c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27" t="e">
        <f t="shared" si="13"/>
        <v>#DIV/0!</v>
      </c>
      <c r="O94" s="30">
        <v>12</v>
      </c>
      <c r="P94" s="27" t="e">
        <f t="shared" si="14"/>
        <v>#DIV/0!</v>
      </c>
    </row>
    <row r="95" spans="1:17" ht="13.5" customHeight="1">
      <c r="A95" s="38" t="s">
        <v>125</v>
      </c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27" t="e">
        <f t="shared" si="13"/>
        <v>#DIV/0!</v>
      </c>
      <c r="O95" s="30">
        <v>13</v>
      </c>
      <c r="P95" s="27" t="e">
        <f t="shared" si="14"/>
        <v>#DIV/0!</v>
      </c>
    </row>
    <row r="96" spans="1:17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2" t="e">
        <f>AVERAGE(N89:N95)</f>
        <v>#DIV/0!</v>
      </c>
      <c r="O96" s="33"/>
      <c r="P96" s="32" t="e">
        <f>AVERAGE(P89:P95)</f>
        <v>#DIV/0!</v>
      </c>
    </row>
    <row r="97" spans="1:16" ht="15" customHeight="1">
      <c r="A97" s="34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2"/>
      <c r="O97" s="33"/>
      <c r="P97" s="32"/>
    </row>
    <row r="98" spans="1:16" ht="15" customHeight="1">
      <c r="A98" s="34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2"/>
      <c r="O98" s="33"/>
      <c r="P98" s="32"/>
    </row>
    <row r="99" spans="1:16" ht="19.5" customHeight="1">
      <c r="A99" s="34" t="s">
        <v>128</v>
      </c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</row>
    <row r="100" spans="1:16" ht="18" customHeight="1">
      <c r="A100" s="34"/>
      <c r="B100" s="34"/>
      <c r="C100" s="35"/>
      <c r="D100" s="176" t="s">
        <v>1</v>
      </c>
      <c r="E100" s="177"/>
      <c r="F100" s="176" t="s">
        <v>2</v>
      </c>
      <c r="G100" s="178"/>
      <c r="H100" s="178"/>
      <c r="I100" s="177"/>
      <c r="J100" s="176" t="s">
        <v>57</v>
      </c>
      <c r="K100" s="177"/>
      <c r="L100" s="36" t="s">
        <v>4</v>
      </c>
      <c r="M100" s="34"/>
      <c r="N100" s="34"/>
      <c r="O100" s="34"/>
      <c r="P100" s="34"/>
    </row>
    <row r="101" spans="1:16" ht="35.25" customHeight="1">
      <c r="A101" s="24" t="s">
        <v>67</v>
      </c>
      <c r="B101" s="24" t="s">
        <v>6</v>
      </c>
      <c r="C101" s="24" t="s">
        <v>7</v>
      </c>
      <c r="D101" s="24">
        <v>1</v>
      </c>
      <c r="E101" s="24">
        <v>2</v>
      </c>
      <c r="F101" s="24">
        <v>3</v>
      </c>
      <c r="G101" s="24">
        <v>4</v>
      </c>
      <c r="H101" s="24">
        <v>5</v>
      </c>
      <c r="I101" s="24">
        <v>6</v>
      </c>
      <c r="J101" s="24">
        <v>7</v>
      </c>
      <c r="K101" s="24">
        <v>8</v>
      </c>
      <c r="L101" s="24">
        <v>9</v>
      </c>
      <c r="M101" s="37" t="s">
        <v>17</v>
      </c>
      <c r="N101" s="37" t="s">
        <v>18</v>
      </c>
      <c r="O101" s="37" t="s">
        <v>19</v>
      </c>
      <c r="P101" s="37" t="s">
        <v>20</v>
      </c>
    </row>
    <row r="102" spans="1:16" ht="15" customHeight="1">
      <c r="A102" s="38" t="s">
        <v>104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27" t="e">
        <f t="shared" ref="N102:N108" si="15">((M102/C102)*100)</f>
        <v>#DIV/0!</v>
      </c>
      <c r="O102" s="30">
        <v>16</v>
      </c>
      <c r="P102" s="27" t="e">
        <f t="shared" ref="P102:P108" si="16">((O102/C102)*100)</f>
        <v>#DIV/0!</v>
      </c>
    </row>
    <row r="103" spans="1:16" ht="15" customHeight="1">
      <c r="A103" s="38" t="s">
        <v>105</v>
      </c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27" t="e">
        <f t="shared" si="15"/>
        <v>#DIV/0!</v>
      </c>
      <c r="O103" s="30">
        <v>6</v>
      </c>
      <c r="P103" s="27" t="e">
        <f t="shared" si="16"/>
        <v>#DIV/0!</v>
      </c>
    </row>
    <row r="104" spans="1:16" ht="15" customHeight="1">
      <c r="A104" s="38" t="s">
        <v>106</v>
      </c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27" t="e">
        <f t="shared" si="15"/>
        <v>#DIV/0!</v>
      </c>
      <c r="O104" s="30">
        <v>0</v>
      </c>
      <c r="P104" s="27" t="e">
        <f t="shared" si="16"/>
        <v>#DIV/0!</v>
      </c>
    </row>
    <row r="105" spans="1:16" ht="15" customHeight="1">
      <c r="A105" s="38" t="s">
        <v>117</v>
      </c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27" t="e">
        <f t="shared" si="15"/>
        <v>#DIV/0!</v>
      </c>
      <c r="O105" s="30">
        <v>0</v>
      </c>
      <c r="P105" s="27" t="e">
        <f t="shared" si="16"/>
        <v>#DIV/0!</v>
      </c>
    </row>
    <row r="106" spans="1:16" ht="15.75" customHeight="1">
      <c r="A106" s="38" t="s">
        <v>123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27" t="e">
        <f t="shared" si="15"/>
        <v>#DIV/0!</v>
      </c>
      <c r="O106" s="30">
        <v>16</v>
      </c>
      <c r="P106" s="27" t="e">
        <f t="shared" si="16"/>
        <v>#DIV/0!</v>
      </c>
    </row>
    <row r="107" spans="1:16" ht="15" customHeight="1">
      <c r="A107" s="38" t="s">
        <v>119</v>
      </c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27" t="e">
        <f t="shared" si="15"/>
        <v>#DIV/0!</v>
      </c>
      <c r="O107" s="30">
        <v>11</v>
      </c>
      <c r="P107" s="27" t="e">
        <f t="shared" si="16"/>
        <v>#DIV/0!</v>
      </c>
    </row>
    <row r="108" spans="1:16" ht="15" customHeight="1">
      <c r="A108" s="38" t="s">
        <v>125</v>
      </c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27" t="e">
        <f t="shared" si="15"/>
        <v>#DIV/0!</v>
      </c>
      <c r="O108" s="30">
        <v>12</v>
      </c>
      <c r="P108" s="27" t="e">
        <f t="shared" si="16"/>
        <v>#DIV/0!</v>
      </c>
    </row>
    <row r="109" spans="1:16" ht="18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2" t="e">
        <f>AVERAGE(N102:N108)</f>
        <v>#DIV/0!</v>
      </c>
      <c r="O109" s="33"/>
      <c r="P109" s="32" t="e">
        <f>AVERAGE(P102:P108)</f>
        <v>#DIV/0!</v>
      </c>
    </row>
    <row r="110" spans="1:16" ht="21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</row>
    <row r="111" spans="1:16" ht="21" customHeight="1"/>
    <row r="112" spans="1:16" ht="21" customHeight="1"/>
    <row r="113" spans="2:18" ht="21" customHeight="1"/>
    <row r="114" spans="2:18" ht="12.75" customHeight="1">
      <c r="Q114" s="2"/>
      <c r="R114" s="3"/>
    </row>
    <row r="115" spans="2:18" ht="18.75" customHeight="1">
      <c r="B115" s="23"/>
      <c r="C115" s="23"/>
      <c r="D115" s="182" t="s">
        <v>1</v>
      </c>
      <c r="E115" s="183"/>
      <c r="F115" s="182" t="s">
        <v>2</v>
      </c>
      <c r="G115" s="184"/>
      <c r="H115" s="184"/>
      <c r="I115" s="183"/>
      <c r="J115" s="182" t="s">
        <v>57</v>
      </c>
      <c r="K115" s="183"/>
      <c r="L115" s="24" t="s">
        <v>4</v>
      </c>
      <c r="M115" s="23"/>
      <c r="N115" s="23"/>
      <c r="O115" s="23"/>
      <c r="P115" s="23"/>
    </row>
    <row r="116" spans="2:18" ht="30" customHeight="1">
      <c r="B116" s="5"/>
      <c r="C116" s="5"/>
      <c r="D116" s="179" t="s">
        <v>1</v>
      </c>
      <c r="E116" s="180"/>
      <c r="F116" s="179" t="s">
        <v>2</v>
      </c>
      <c r="G116" s="181"/>
      <c r="H116" s="181"/>
      <c r="I116" s="180"/>
      <c r="J116" s="179" t="s">
        <v>57</v>
      </c>
      <c r="K116" s="180"/>
      <c r="L116" s="44" t="s">
        <v>4</v>
      </c>
      <c r="M116" s="5"/>
      <c r="N116" s="5"/>
      <c r="O116" s="5"/>
      <c r="P116" s="5"/>
    </row>
    <row r="117" spans="2:18" ht="32.25" customHeight="1">
      <c r="B117" s="44" t="s">
        <v>58</v>
      </c>
      <c r="C117" s="44" t="s">
        <v>7</v>
      </c>
      <c r="D117" s="44">
        <v>1</v>
      </c>
      <c r="E117" s="44">
        <v>2</v>
      </c>
      <c r="F117" s="44">
        <v>3</v>
      </c>
      <c r="G117" s="44">
        <v>4</v>
      </c>
      <c r="H117" s="44">
        <v>5</v>
      </c>
      <c r="I117" s="44">
        <v>6</v>
      </c>
      <c r="J117" s="44">
        <v>7</v>
      </c>
      <c r="K117" s="44">
        <v>8</v>
      </c>
      <c r="L117" s="44">
        <v>9</v>
      </c>
      <c r="M117" s="6" t="s">
        <v>17</v>
      </c>
      <c r="N117" s="6" t="s">
        <v>18</v>
      </c>
      <c r="O117" s="6" t="s">
        <v>19</v>
      </c>
      <c r="P117" s="6" t="s">
        <v>20</v>
      </c>
    </row>
    <row r="118" spans="2:18" ht="21.75" customHeight="1">
      <c r="B118" s="16" t="s">
        <v>129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25"/>
      <c r="O118" s="16"/>
      <c r="P118" s="25"/>
    </row>
    <row r="119" spans="2:18" ht="21" customHeight="1">
      <c r="B119" s="16" t="s">
        <v>130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6"/>
      <c r="O119" s="28"/>
      <c r="P119" s="26"/>
    </row>
    <row r="120" spans="2:18" ht="21" customHeight="1">
      <c r="B120" s="16" t="s">
        <v>106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25"/>
      <c r="O120" s="16"/>
      <c r="P120" s="25"/>
    </row>
    <row r="121" spans="2:18" ht="21" customHeight="1">
      <c r="B121" s="16" t="s">
        <v>131</v>
      </c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25"/>
      <c r="O121" s="16"/>
      <c r="P121" s="25"/>
    </row>
    <row r="122" spans="2:18" ht="21" customHeight="1">
      <c r="B122" s="16" t="s">
        <v>132</v>
      </c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25"/>
      <c r="O122" s="16"/>
      <c r="P122" s="25"/>
    </row>
    <row r="123" spans="2:18" ht="15.95">
      <c r="B123" s="16" t="s">
        <v>133</v>
      </c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25"/>
      <c r="O123" s="16"/>
      <c r="P123" s="25"/>
    </row>
    <row r="124" spans="2:18" ht="21" customHeight="1">
      <c r="B124" s="16" t="s">
        <v>134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25"/>
      <c r="O124" s="16"/>
      <c r="P124" s="25"/>
    </row>
    <row r="125" spans="2:18" ht="15.95">
      <c r="B125" s="16" t="s">
        <v>135</v>
      </c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25"/>
      <c r="O125" s="16"/>
      <c r="P125" s="25"/>
    </row>
    <row r="126" spans="2:18" ht="15.95">
      <c r="B126" s="16" t="s">
        <v>136</v>
      </c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25"/>
      <c r="O126" s="16"/>
      <c r="P126" s="25"/>
    </row>
    <row r="127" spans="2:18" ht="15.95">
      <c r="B127" s="16" t="s">
        <v>137</v>
      </c>
      <c r="C127" s="29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27"/>
    </row>
    <row r="128" spans="2:18" ht="15.95">
      <c r="B128" s="16" t="s">
        <v>119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25"/>
      <c r="O128" s="16"/>
      <c r="P128" s="25"/>
    </row>
    <row r="129" spans="2:16" ht="15.95">
      <c r="B129" s="16" t="s">
        <v>138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25"/>
      <c r="O129" s="16"/>
      <c r="P129" s="25"/>
    </row>
    <row r="130" spans="2:16" ht="15.95">
      <c r="B130" s="16" t="s">
        <v>139</v>
      </c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25"/>
      <c r="O130" s="28"/>
      <c r="P130" s="25"/>
    </row>
    <row r="131" spans="2:16" ht="15.95">
      <c r="B131" s="16" t="s">
        <v>140</v>
      </c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25"/>
      <c r="O131" s="28"/>
      <c r="P131" s="25"/>
    </row>
    <row r="132" spans="2:16" ht="15.95">
      <c r="B132" s="16" t="s">
        <v>115</v>
      </c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6"/>
      <c r="O132" s="28"/>
      <c r="P132" s="26"/>
    </row>
    <row r="133" spans="2:16" ht="15.95">
      <c r="B133" s="16" t="s">
        <v>141</v>
      </c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25"/>
      <c r="O133" s="28"/>
      <c r="P133" s="25"/>
    </row>
    <row r="134" spans="2:16" ht="15.95">
      <c r="B134" s="16" t="s">
        <v>123</v>
      </c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25"/>
      <c r="O134" s="28"/>
      <c r="P134" s="25"/>
    </row>
    <row r="135" spans="2:16" ht="15.95">
      <c r="B135" s="16" t="s">
        <v>142</v>
      </c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25"/>
      <c r="O135" s="16"/>
      <c r="P135" s="25"/>
    </row>
    <row r="136" spans="2:16" ht="20.100000000000001"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1" t="s">
        <v>143</v>
      </c>
      <c r="M136" s="10"/>
      <c r="N136" s="12" t="e">
        <f>AVERAGE(N118:N135)</f>
        <v>#DIV/0!</v>
      </c>
      <c r="O136" s="12"/>
      <c r="P136" s="12" t="e">
        <f>AVERAGE(P118:P135)</f>
        <v>#DIV/0!</v>
      </c>
    </row>
    <row r="137" spans="2:16" ht="20.100000000000001">
      <c r="L137" s="13"/>
      <c r="N137" s="14"/>
      <c r="O137" s="14"/>
      <c r="P137" s="14"/>
    </row>
    <row r="142" spans="2:16" ht="33.950000000000003">
      <c r="B142" s="44"/>
      <c r="C142" s="6" t="s">
        <v>18</v>
      </c>
      <c r="D142" s="6" t="s">
        <v>20</v>
      </c>
    </row>
    <row r="143" spans="2:16" ht="18">
      <c r="B143" s="7" t="s">
        <v>129</v>
      </c>
      <c r="C143" s="8"/>
      <c r="D143" s="15"/>
    </row>
    <row r="144" spans="2:16" ht="18">
      <c r="B144" s="7" t="s">
        <v>130</v>
      </c>
      <c r="C144" s="9"/>
      <c r="D144" s="9"/>
    </row>
    <row r="145" spans="2:4" ht="18">
      <c r="B145" s="7" t="s">
        <v>106</v>
      </c>
      <c r="C145" s="8"/>
      <c r="D145" s="8"/>
    </row>
    <row r="146" spans="2:4" ht="18">
      <c r="B146" s="7" t="s">
        <v>131</v>
      </c>
      <c r="C146" s="8"/>
      <c r="D146" s="8"/>
    </row>
    <row r="147" spans="2:4" ht="18">
      <c r="B147" s="7" t="s">
        <v>132</v>
      </c>
      <c r="C147" s="8"/>
      <c r="D147" s="8"/>
    </row>
    <row r="148" spans="2:4" ht="18">
      <c r="B148" s="7" t="s">
        <v>133</v>
      </c>
      <c r="C148" s="8"/>
      <c r="D148" s="8"/>
    </row>
    <row r="149" spans="2:4" ht="18">
      <c r="B149" s="7" t="s">
        <v>134</v>
      </c>
      <c r="C149" s="8"/>
      <c r="D149" s="15"/>
    </row>
    <row r="150" spans="2:4" ht="18">
      <c r="B150" s="7" t="s">
        <v>135</v>
      </c>
      <c r="C150" s="8"/>
      <c r="D150" s="8"/>
    </row>
    <row r="151" spans="2:4" ht="18">
      <c r="B151" s="7" t="s">
        <v>136</v>
      </c>
      <c r="C151" s="8"/>
      <c r="D151" s="8"/>
    </row>
    <row r="152" spans="2:4" ht="18">
      <c r="B152" s="7" t="s">
        <v>137</v>
      </c>
      <c r="C152" s="8"/>
      <c r="D152" s="8"/>
    </row>
    <row r="153" spans="2:4" ht="18">
      <c r="B153" s="7" t="s">
        <v>119</v>
      </c>
      <c r="C153" s="8"/>
      <c r="D153" s="15"/>
    </row>
    <row r="154" spans="2:4" ht="18">
      <c r="B154" s="7" t="s">
        <v>138</v>
      </c>
      <c r="C154" s="15"/>
      <c r="D154" s="15"/>
    </row>
    <row r="155" spans="2:4" ht="18">
      <c r="B155" s="7" t="s">
        <v>139</v>
      </c>
      <c r="C155" s="8"/>
      <c r="D155" s="8"/>
    </row>
    <row r="156" spans="2:4" ht="18">
      <c r="B156" s="7" t="s">
        <v>140</v>
      </c>
      <c r="C156" s="15"/>
      <c r="D156" s="15"/>
    </row>
    <row r="157" spans="2:4" ht="18">
      <c r="B157" s="7" t="s">
        <v>115</v>
      </c>
      <c r="C157" s="9"/>
      <c r="D157" s="9"/>
    </row>
    <row r="158" spans="2:4" ht="18">
      <c r="B158" s="7" t="s">
        <v>141</v>
      </c>
      <c r="C158" s="8"/>
      <c r="D158" s="8"/>
    </row>
    <row r="159" spans="2:4" ht="18">
      <c r="B159" s="7" t="s">
        <v>123</v>
      </c>
      <c r="C159" s="15"/>
      <c r="D159" s="15"/>
    </row>
    <row r="160" spans="2:4" ht="18">
      <c r="B160" s="7" t="s">
        <v>142</v>
      </c>
      <c r="C160" s="8"/>
      <c r="D160" s="8"/>
    </row>
    <row r="163" spans="17:19" ht="33.950000000000003">
      <c r="Q163" s="16" t="s">
        <v>144</v>
      </c>
      <c r="R163" s="17" t="s">
        <v>18</v>
      </c>
      <c r="S163" s="17" t="s">
        <v>20</v>
      </c>
    </row>
    <row r="164" spans="17:19" ht="24" customHeight="1">
      <c r="Q164" s="18" t="s">
        <v>129</v>
      </c>
      <c r="R164" s="19">
        <v>97.979797979797979</v>
      </c>
      <c r="S164" s="20">
        <v>100</v>
      </c>
    </row>
    <row r="165" spans="17:19" ht="24" customHeight="1">
      <c r="Q165" s="18" t="s">
        <v>130</v>
      </c>
      <c r="R165" s="21">
        <v>22</v>
      </c>
      <c r="S165" s="21">
        <v>50</v>
      </c>
    </row>
    <row r="166" spans="17:19" ht="24" customHeight="1">
      <c r="Q166" s="18" t="s">
        <v>106</v>
      </c>
      <c r="R166" s="19">
        <v>40</v>
      </c>
      <c r="S166" s="19">
        <v>63</v>
      </c>
    </row>
    <row r="167" spans="17:19" ht="24" customHeight="1">
      <c r="Q167" s="18" t="s">
        <v>131</v>
      </c>
      <c r="R167" s="19">
        <v>81.818181818181827</v>
      </c>
      <c r="S167" s="19">
        <v>90.909090909090907</v>
      </c>
    </row>
    <row r="168" spans="17:19" ht="24" customHeight="1">
      <c r="Q168" s="18" t="s">
        <v>132</v>
      </c>
      <c r="R168" s="19">
        <v>76.666666666666671</v>
      </c>
      <c r="S168" s="19">
        <v>93.333333333333329</v>
      </c>
    </row>
    <row r="169" spans="17:19" ht="24" customHeight="1">
      <c r="Q169" s="18" t="s">
        <v>133</v>
      </c>
      <c r="R169" s="19">
        <v>64</v>
      </c>
      <c r="S169" s="19">
        <v>84</v>
      </c>
    </row>
    <row r="170" spans="17:19" ht="24" customHeight="1">
      <c r="Q170" s="18" t="s">
        <v>134</v>
      </c>
      <c r="R170" s="19">
        <v>93.333333333333329</v>
      </c>
      <c r="S170" s="20">
        <v>100</v>
      </c>
    </row>
    <row r="171" spans="17:19" ht="24" customHeight="1">
      <c r="Q171" s="18" t="s">
        <v>135</v>
      </c>
      <c r="R171" s="19">
        <v>84</v>
      </c>
      <c r="S171" s="19">
        <v>98</v>
      </c>
    </row>
    <row r="172" spans="17:19" ht="24" customHeight="1">
      <c r="Q172" s="18" t="s">
        <v>136</v>
      </c>
      <c r="R172" s="19">
        <v>52</v>
      </c>
      <c r="S172" s="19">
        <v>68</v>
      </c>
    </row>
    <row r="173" spans="17:19" ht="24" customHeight="1">
      <c r="Q173" s="18" t="s">
        <v>137</v>
      </c>
      <c r="R173" s="19">
        <v>20</v>
      </c>
      <c r="S173" s="19">
        <v>65</v>
      </c>
    </row>
    <row r="174" spans="17:19" ht="24" customHeight="1">
      <c r="Q174" s="18" t="s">
        <v>119</v>
      </c>
      <c r="R174" s="19">
        <v>97.368421052631575</v>
      </c>
      <c r="S174" s="20">
        <v>100</v>
      </c>
    </row>
    <row r="175" spans="17:19" ht="24" customHeight="1">
      <c r="Q175" s="18" t="s">
        <v>138</v>
      </c>
      <c r="R175" s="20">
        <v>100</v>
      </c>
      <c r="S175" s="20">
        <v>100</v>
      </c>
    </row>
    <row r="176" spans="17:19" ht="24" customHeight="1">
      <c r="Q176" s="18" t="s">
        <v>139</v>
      </c>
      <c r="R176" s="19">
        <v>15.384615384615385</v>
      </c>
      <c r="S176" s="19">
        <v>76.923076923076934</v>
      </c>
    </row>
    <row r="177" spans="17:19" ht="24" customHeight="1">
      <c r="Q177" s="18" t="s">
        <v>140</v>
      </c>
      <c r="R177" s="20">
        <v>100</v>
      </c>
      <c r="S177" s="20">
        <v>100</v>
      </c>
    </row>
    <row r="178" spans="17:19" ht="24" customHeight="1">
      <c r="Q178" s="18" t="s">
        <v>115</v>
      </c>
      <c r="R178" s="21">
        <v>43.478260869565219</v>
      </c>
      <c r="S178" s="21">
        <v>73.91304347826086</v>
      </c>
    </row>
    <row r="179" spans="17:19" ht="24" customHeight="1">
      <c r="Q179" s="18" t="s">
        <v>141</v>
      </c>
      <c r="R179" s="19">
        <v>80</v>
      </c>
      <c r="S179" s="19">
        <v>80</v>
      </c>
    </row>
    <row r="180" spans="17:19" ht="24" customHeight="1">
      <c r="Q180" s="18" t="s">
        <v>123</v>
      </c>
      <c r="R180" s="20">
        <v>100</v>
      </c>
      <c r="S180" s="20">
        <v>100</v>
      </c>
    </row>
    <row r="181" spans="17:19" ht="24" customHeight="1">
      <c r="Q181" s="18" t="s">
        <v>142</v>
      </c>
      <c r="R181" s="19">
        <v>86.956521739130437</v>
      </c>
      <c r="S181" s="19">
        <v>95.652173913043484</v>
      </c>
    </row>
    <row r="182" spans="17:19">
      <c r="Q182" s="22"/>
      <c r="R182" s="22"/>
      <c r="S182" s="22"/>
    </row>
  </sheetData>
  <mergeCells count="30">
    <mergeCell ref="D3:E3"/>
    <mergeCell ref="F3:I3"/>
    <mergeCell ref="J3:K3"/>
    <mergeCell ref="D116:E116"/>
    <mergeCell ref="F116:I116"/>
    <mergeCell ref="J116:K116"/>
    <mergeCell ref="D115:E115"/>
    <mergeCell ref="F115:I115"/>
    <mergeCell ref="J115:K115"/>
    <mergeCell ref="D46:E46"/>
    <mergeCell ref="D60:E60"/>
    <mergeCell ref="F60:I60"/>
    <mergeCell ref="J60:K60"/>
    <mergeCell ref="F46:I46"/>
    <mergeCell ref="J46:K46"/>
    <mergeCell ref="D17:E17"/>
    <mergeCell ref="F17:I17"/>
    <mergeCell ref="J17:K17"/>
    <mergeCell ref="D32:E32"/>
    <mergeCell ref="F32:I32"/>
    <mergeCell ref="J32:K32"/>
    <mergeCell ref="D100:E100"/>
    <mergeCell ref="F100:I100"/>
    <mergeCell ref="J100:K100"/>
    <mergeCell ref="F73:I73"/>
    <mergeCell ref="J73:K73"/>
    <mergeCell ref="D87:E87"/>
    <mergeCell ref="F87:I87"/>
    <mergeCell ref="J87:K87"/>
    <mergeCell ref="D73:E73"/>
  </mergeCells>
  <phoneticPr fontId="0" type="noConversion"/>
  <pageMargins left="0.75" right="0.67" top="1.07" bottom="0.44" header="0.45" footer="0.25"/>
  <pageSetup paperSize="9" firstPageNumber="17" orientation="landscape" useFirstPageNumber="1" horizontalDpi="360" verticalDpi="360" r:id="rId1"/>
  <headerFooter alignWithMargins="0">
    <oddHeader>&amp;C&amp;"Arial Narrow,Bold"&amp;12SEKOLAH MENENGAH PENGIRAN ANAK PUTERI HAJAH MASNA
END OF YEAR EXAMINATION ANALYSIS 2007, MEN 4 O LEVEL</oddHeader>
    <oddFooter>&amp;L&amp;8Exam Dept SMPAPHM&amp;CM4'O'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654dc4-867b-4591-8088-9c5fa2ce1fc8">
      <Terms xmlns="http://schemas.microsoft.com/office/infopath/2007/PartnerControls"/>
    </lcf76f155ced4ddcb4097134ff3c332f>
    <TaxCatchAll xmlns="0737c322-3a19-4541-9cff-efbbbad6ee0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EA2EE18CB3E64ABAFABBB6986B9A32" ma:contentTypeVersion="14" ma:contentTypeDescription="Create a new document." ma:contentTypeScope="" ma:versionID="77c17746d369f830365a0228d73cb1b5">
  <xsd:schema xmlns:xsd="http://www.w3.org/2001/XMLSchema" xmlns:xs="http://www.w3.org/2001/XMLSchema" xmlns:p="http://schemas.microsoft.com/office/2006/metadata/properties" xmlns:ns2="22654dc4-867b-4591-8088-9c5fa2ce1fc8" xmlns:ns3="0737c322-3a19-4541-9cff-efbbbad6ee01" targetNamespace="http://schemas.microsoft.com/office/2006/metadata/properties" ma:root="true" ma:fieldsID="3736ab6d7162001d2a86e1ec8790087a" ns2:_="" ns3:_="">
    <xsd:import namespace="22654dc4-867b-4591-8088-9c5fa2ce1fc8"/>
    <xsd:import namespace="0737c322-3a19-4541-9cff-efbbbad6ee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654dc4-867b-4591-8088-9c5fa2ce1f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d106d83-448a-4aa3-89fb-861fa519b0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7c322-3a19-4541-9cff-efbbbad6ee0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a653ab-a2e0-46a8-b5e6-02da2c4d25bd}" ma:internalName="TaxCatchAll" ma:showField="CatchAllData" ma:web="0737c322-3a19-4541-9cff-efbbbad6ee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8D345D-7B8B-4730-92F3-1C66A69E62B6}"/>
</file>

<file path=customXml/itemProps2.xml><?xml version="1.0" encoding="utf-8"?>
<ds:datastoreItem xmlns:ds="http://schemas.openxmlformats.org/officeDocument/2006/customXml" ds:itemID="{8B30C11D-2C8F-4C83-94D3-479E4F355C8B}"/>
</file>

<file path=customXml/itemProps3.xml><?xml version="1.0" encoding="utf-8"?>
<ds:datastoreItem xmlns:ds="http://schemas.openxmlformats.org/officeDocument/2006/customXml" ds:itemID="{43280840-61A6-4BCC-95C7-81EE359986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COMPAQ ITD</dc:creator>
  <cp:keywords/>
  <dc:description/>
  <cp:lastModifiedBy>exam section SMPAPHM 2025</cp:lastModifiedBy>
  <cp:revision/>
  <dcterms:created xsi:type="dcterms:W3CDTF">2005-03-29T23:57:46Z</dcterms:created>
  <dcterms:modified xsi:type="dcterms:W3CDTF">2026-09-08T01:53:18Z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0x0101004FEA2EE18CB3E64ABAFABBB6986B9A32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_activity">
    <vt:lpwstr>{"FileActivityType":"9","FileActivityTimeStamp":"2025-07-29T12:04:40.587Z","FileActivityUsersOnPage":[{"DisplayName":"exam section SMPAPHM 2025","Id":"exam.section@smpapmasna.edu.moe.bn"}],"FileActivityNavigationId":null}</vt:lpwstr>
  </property>
  <property fmtid="{D5CDD505-2E9C-101B-9397-08002B2CF9AE}" pid="9" name="TriggerFlowInfo">
    <vt:lpwstr/>
  </property>
</Properties>
</file>