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edumoebn-my.sharepoint.com/personal/exam_section_smpapmasna_edu_moe_bn/Documents/EXAM SECTION SMPAPHM/ANALYSIS/ANALYSIS 2024/YEAR 8 SPE AND SPA 2024 ANALYSIS/"/>
    </mc:Choice>
  </mc:AlternateContent>
  <xr:revisionPtr revIDLastSave="2085" documentId="13_ncr:1_{B8D9DC3C-CA50-476B-A3BC-34DB9F8AE064}" xr6:coauthVersionLast="47" xr6:coauthVersionMax="47" xr10:uidLastSave="{20D41A79-A9E5-44B4-827F-AC66B4551F6D}"/>
  <bookViews>
    <workbookView minimized="1" xWindow="1740" yWindow="1740" windowWidth="7500" windowHeight="7270" firstSheet="1" activeTab="1" xr2:uid="{00000000-000D-0000-FFFF-FFFF00000000}"/>
  </bookViews>
  <sheets>
    <sheet name="YEAR 8 SPA" sheetId="19" r:id="rId1"/>
    <sheet name="YEAR 8 SPE" sheetId="25" r:id="rId2"/>
    <sheet name="SPA CHART" sheetId="20" r:id="rId3"/>
    <sheet name="3'O' and 5'O' &amp; above (SPA)" sheetId="22" r:id="rId4"/>
    <sheet name="No.of Credits Attained (SPA)" sheetId="23" r:id="rId5"/>
    <sheet name="class avg" sheetId="18" state="hidden" r:id="rId6"/>
    <sheet name="By Class" sheetId="21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6">'By Class'!$A$85:$P$110</definedName>
    <definedName name="_xlnm.Print_Area" localSheetId="5">'class avg'!$A$1:$N$35</definedName>
    <definedName name="_xlnm.Print_Area" localSheetId="0">'YEAR 8 SPA'!$A$1:$P$123</definedName>
    <definedName name="_xlnm.Print_Area" localSheetId="1">'YEAR 8 SPE'!$A$1:$P$123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5" l="1" a="1"/>
  <c r="D5" i="25"/>
  <c r="C5" i="25"/>
  <c r="C85" i="25"/>
  <c r="D12" i="25"/>
  <c r="E12" i="25"/>
  <c r="F12" i="25"/>
  <c r="G12" i="25"/>
  <c r="H12" i="25"/>
  <c r="I12" i="25"/>
  <c r="J12" i="25"/>
  <c r="K12" i="25"/>
  <c r="L12" i="25"/>
  <c r="C12" i="25"/>
  <c r="D97" i="25" a="1"/>
  <c r="D97" i="25"/>
  <c r="D76" i="25" a="1"/>
  <c r="D76" i="25"/>
  <c r="D63" i="25" a="1"/>
  <c r="D63" i="25"/>
  <c r="D50" i="25" a="1"/>
  <c r="D50" i="25"/>
  <c r="D37" i="25" a="1"/>
  <c r="D37" i="25"/>
  <c r="D24" i="25" a="1"/>
  <c r="D24" i="25"/>
  <c r="D11" i="25" a="1"/>
  <c r="D11" i="25"/>
  <c r="D96" i="25" a="1"/>
  <c r="D96" i="25"/>
  <c r="D75" i="25" a="1"/>
  <c r="D75" i="25"/>
  <c r="D62" i="25" a="1"/>
  <c r="D62" i="25"/>
  <c r="D49" i="25" a="1"/>
  <c r="D49" i="25"/>
  <c r="D36" i="25" a="1"/>
  <c r="D36" i="25"/>
  <c r="D23" i="25" a="1"/>
  <c r="D23" i="25"/>
  <c r="D10" i="25" a="1"/>
  <c r="D10" i="25"/>
  <c r="D95" i="25" a="1"/>
  <c r="D95" i="25"/>
  <c r="D74" i="25" a="1"/>
  <c r="D74" i="25"/>
  <c r="D61" i="25" a="1"/>
  <c r="D61" i="25"/>
  <c r="D48" i="25" a="1"/>
  <c r="D48" i="25"/>
  <c r="D35" i="25" a="1"/>
  <c r="D35" i="25"/>
  <c r="D22" i="25" a="1"/>
  <c r="D22" i="25"/>
  <c r="D9" i="25" a="1"/>
  <c r="D9" i="25"/>
  <c r="D94" i="25" a="1"/>
  <c r="D94" i="25"/>
  <c r="D84" i="25" a="1"/>
  <c r="D84" i="25"/>
  <c r="D73" i="25" a="1"/>
  <c r="D73" i="25"/>
  <c r="D60" i="25" a="1"/>
  <c r="D60" i="25"/>
  <c r="D47" i="25" a="1"/>
  <c r="D47" i="25"/>
  <c r="D34" i="25" a="1"/>
  <c r="D34" i="25"/>
  <c r="D21" i="25" a="1"/>
  <c r="D21" i="25"/>
  <c r="D8" i="25" a="1"/>
  <c r="D8" i="25"/>
  <c r="D93" i="25" a="1"/>
  <c r="D93" i="25"/>
  <c r="D83" i="25" a="1"/>
  <c r="D83" i="25"/>
  <c r="D72" i="25" a="1"/>
  <c r="D72" i="25"/>
  <c r="D59" i="25" a="1"/>
  <c r="D59" i="25"/>
  <c r="D46" i="25" a="1"/>
  <c r="D46" i="25"/>
  <c r="D33" i="25" a="1"/>
  <c r="D33" i="25"/>
  <c r="D20" i="25" a="1"/>
  <c r="D20" i="25"/>
  <c r="D7" i="25" a="1"/>
  <c r="D7" i="25"/>
  <c r="D92" i="25" a="1"/>
  <c r="D92" i="25"/>
  <c r="D82" i="25" a="1"/>
  <c r="D82" i="25"/>
  <c r="D58" i="25" a="1"/>
  <c r="D58" i="25"/>
  <c r="D71" i="25" a="1"/>
  <c r="D71" i="25"/>
  <c r="D45" i="25" a="1"/>
  <c r="D45" i="25"/>
  <c r="D32" i="25" a="1"/>
  <c r="D32" i="25"/>
  <c r="D19" i="25" a="1"/>
  <c r="D19" i="25"/>
  <c r="D6" i="25" a="1"/>
  <c r="D6" i="25"/>
  <c r="D104" i="25" a="1"/>
  <c r="D104" i="25"/>
  <c r="D91" i="25" a="1"/>
  <c r="D91" i="25"/>
  <c r="D98" i="25" s="1"/>
  <c r="D70" i="25" a="1"/>
  <c r="D70" i="25"/>
  <c r="D77" i="25" s="1"/>
  <c r="D57" i="25" a="1"/>
  <c r="D57" i="25"/>
  <c r="D64" i="25" s="1"/>
  <c r="D44" i="25" a="1"/>
  <c r="D44" i="25"/>
  <c r="D51" i="25" s="1"/>
  <c r="D31" i="25" a="1"/>
  <c r="D31" i="25"/>
  <c r="D38" i="25" s="1"/>
  <c r="D18" i="25" a="1"/>
  <c r="D18" i="25"/>
  <c r="D25" i="25" s="1"/>
  <c r="D103" i="25" a="1"/>
  <c r="D103" i="25"/>
  <c r="D90" i="25" a="1"/>
  <c r="D90" i="25"/>
  <c r="D69" i="25" a="1"/>
  <c r="D69" i="25"/>
  <c r="D56" i="25" a="1"/>
  <c r="D56" i="25"/>
  <c r="D43" i="25" a="1"/>
  <c r="D43" i="25"/>
  <c r="D30" i="25" a="1"/>
  <c r="D30" i="25"/>
  <c r="D17" i="25" a="1"/>
  <c r="D17" i="25"/>
  <c r="D4" i="25" a="1"/>
  <c r="D4" i="25"/>
  <c r="C104" i="25"/>
  <c r="C103" i="25"/>
  <c r="C91" i="25"/>
  <c r="C98" i="25" s="1"/>
  <c r="C92" i="25"/>
  <c r="C93" i="25"/>
  <c r="C94" i="25"/>
  <c r="C95" i="25"/>
  <c r="C96" i="25"/>
  <c r="C97" i="25"/>
  <c r="C90" i="25"/>
  <c r="C84" i="25"/>
  <c r="C83" i="25"/>
  <c r="C82" i="25"/>
  <c r="C76" i="25"/>
  <c r="C75" i="25"/>
  <c r="C74" i="25"/>
  <c r="C73" i="25"/>
  <c r="C72" i="25"/>
  <c r="C71" i="25"/>
  <c r="C70" i="25"/>
  <c r="C77" i="25" s="1"/>
  <c r="C69" i="25"/>
  <c r="C63" i="25"/>
  <c r="C62" i="25"/>
  <c r="C61" i="25"/>
  <c r="C60" i="25"/>
  <c r="C59" i="25"/>
  <c r="C58" i="25"/>
  <c r="C57" i="25"/>
  <c r="C64" i="25" s="1"/>
  <c r="C56" i="25"/>
  <c r="C50" i="25"/>
  <c r="C49" i="25"/>
  <c r="C48" i="25"/>
  <c r="C47" i="25"/>
  <c r="C46" i="25"/>
  <c r="C45" i="25"/>
  <c r="C44" i="25"/>
  <c r="C51" i="25" s="1"/>
  <c r="C43" i="25"/>
  <c r="C37" i="25"/>
  <c r="C36" i="25"/>
  <c r="C35" i="25"/>
  <c r="C34" i="25"/>
  <c r="C33" i="25"/>
  <c r="C32" i="25"/>
  <c r="C31" i="25"/>
  <c r="C38" i="25" s="1"/>
  <c r="C30" i="25"/>
  <c r="C18" i="25"/>
  <c r="C25" i="25" s="1"/>
  <c r="C19" i="25"/>
  <c r="C20" i="25"/>
  <c r="C21" i="25"/>
  <c r="C22" i="25"/>
  <c r="C23" i="25"/>
  <c r="C24" i="25"/>
  <c r="C17" i="25"/>
  <c r="C6" i="25"/>
  <c r="C7" i="25"/>
  <c r="C8" i="25"/>
  <c r="C9" i="25"/>
  <c r="C10" i="25"/>
  <c r="C11" i="25"/>
  <c r="C4" i="25"/>
  <c r="O97" i="25"/>
  <c r="P97" i="25" s="1"/>
  <c r="M97" i="25"/>
  <c r="N97" i="25"/>
  <c r="O76" i="25"/>
  <c r="P76" i="25" s="1"/>
  <c r="M76" i="25"/>
  <c r="N76" i="25" s="1"/>
  <c r="O63" i="25"/>
  <c r="P63" i="25" s="1"/>
  <c r="M63" i="25"/>
  <c r="N63" i="25" s="1"/>
  <c r="O50" i="25"/>
  <c r="P50" i="25" s="1"/>
  <c r="M50" i="25"/>
  <c r="N50" i="25"/>
  <c r="O37" i="25"/>
  <c r="P37" i="25" s="1"/>
  <c r="N37" i="25"/>
  <c r="O24" i="25"/>
  <c r="P24" i="25" s="1"/>
  <c r="M24" i="25"/>
  <c r="N24" i="25"/>
  <c r="O11" i="25"/>
  <c r="P11" i="25" s="1"/>
  <c r="M11" i="25"/>
  <c r="N11" i="25" s="1"/>
  <c r="K12" i="22"/>
  <c r="J12" i="22"/>
  <c r="I12" i="22"/>
  <c r="H12" i="22"/>
  <c r="G12" i="22"/>
  <c r="F12" i="22"/>
  <c r="E12" i="22"/>
  <c r="D12" i="22"/>
  <c r="C12" i="22"/>
  <c r="N12" i="22" s="1"/>
  <c r="K11" i="22"/>
  <c r="J11" i="22"/>
  <c r="I11" i="22"/>
  <c r="H11" i="22"/>
  <c r="G11" i="22"/>
  <c r="F11" i="22"/>
  <c r="E11" i="22"/>
  <c r="D11" i="22"/>
  <c r="C11" i="22"/>
  <c r="N11" i="22" s="1"/>
  <c r="K10" i="22"/>
  <c r="J10" i="22"/>
  <c r="I10" i="22"/>
  <c r="H10" i="22"/>
  <c r="G10" i="22"/>
  <c r="F10" i="22"/>
  <c r="E10" i="22"/>
  <c r="D10" i="22"/>
  <c r="C10" i="22"/>
  <c r="C9" i="22" a="1"/>
  <c r="C9" i="22"/>
  <c r="C8" i="22" a="1"/>
  <c r="C8" i="22"/>
  <c r="C7" i="22" a="1"/>
  <c r="C7" i="22"/>
  <c r="C6" i="22" a="1"/>
  <c r="C6" i="22"/>
  <c r="C5" i="22" a="1"/>
  <c r="C5" i="22"/>
  <c r="L12" i="22"/>
  <c r="B12" i="22"/>
  <c r="C13" i="22"/>
  <c r="D13" i="22"/>
  <c r="E13" i="22"/>
  <c r="F13" i="22"/>
  <c r="G13" i="22"/>
  <c r="H13" i="22"/>
  <c r="I13" i="22"/>
  <c r="J13" i="22"/>
  <c r="K13" i="22"/>
  <c r="D96" i="19" a="1"/>
  <c r="D96" i="19"/>
  <c r="D95" i="19" a="1"/>
  <c r="D95" i="19"/>
  <c r="D97" i="19" a="1"/>
  <c r="D97" i="19"/>
  <c r="D76" i="19" a="1"/>
  <c r="D76" i="19"/>
  <c r="D63" i="19" a="1"/>
  <c r="D63" i="19"/>
  <c r="D50" i="19" a="1"/>
  <c r="D50" i="19"/>
  <c r="D37" i="19" a="1"/>
  <c r="D37" i="19"/>
  <c r="D24" i="19" a="1"/>
  <c r="D24" i="19"/>
  <c r="O97" i="19"/>
  <c r="O96" i="19"/>
  <c r="M97" i="19"/>
  <c r="M76" i="19"/>
  <c r="M63" i="19"/>
  <c r="M50" i="19"/>
  <c r="M24" i="19"/>
  <c r="O76" i="19"/>
  <c r="O63" i="19"/>
  <c r="O50" i="19"/>
  <c r="O37" i="19"/>
  <c r="O24" i="19"/>
  <c r="D11" i="19" a="1"/>
  <c r="D11" i="19"/>
  <c r="D75" i="19" a="1"/>
  <c r="D75" i="19"/>
  <c r="D62" i="19" a="1"/>
  <c r="D62" i="19"/>
  <c r="D49" i="19" a="1"/>
  <c r="D49" i="19"/>
  <c r="D36" i="19" a="1"/>
  <c r="D36" i="19"/>
  <c r="D23" i="19" a="1"/>
  <c r="D23" i="19"/>
  <c r="D10" i="19" a="1"/>
  <c r="D10" i="19"/>
  <c r="D74" i="19" a="1"/>
  <c r="D74" i="19"/>
  <c r="D61" i="19" a="1"/>
  <c r="D61" i="19"/>
  <c r="D48" i="19" a="1"/>
  <c r="D48" i="19"/>
  <c r="D35" i="19" a="1"/>
  <c r="D35" i="19"/>
  <c r="D22" i="19" a="1"/>
  <c r="D22" i="19"/>
  <c r="D9" i="19" a="1"/>
  <c r="D9" i="19"/>
  <c r="D94" i="19" a="1"/>
  <c r="D94" i="19"/>
  <c r="D84" i="19" a="1"/>
  <c r="D84" i="19"/>
  <c r="D73" i="19" a="1"/>
  <c r="D73" i="19"/>
  <c r="D60" i="19" a="1"/>
  <c r="D60" i="19"/>
  <c r="D47" i="19" a="1"/>
  <c r="D47" i="19"/>
  <c r="D34" i="19" a="1"/>
  <c r="D34" i="19"/>
  <c r="D21" i="19" a="1"/>
  <c r="D21" i="19"/>
  <c r="D8" i="19" a="1"/>
  <c r="D8" i="19"/>
  <c r="D93" i="19" a="1"/>
  <c r="D93" i="19"/>
  <c r="D83" i="19" a="1"/>
  <c r="D83" i="19"/>
  <c r="D72" i="19" a="1"/>
  <c r="D72" i="19"/>
  <c r="D59" i="19" a="1"/>
  <c r="D59" i="19"/>
  <c r="D46" i="19" a="1"/>
  <c r="D46" i="19"/>
  <c r="D33" i="19" a="1"/>
  <c r="D33" i="19"/>
  <c r="D20" i="19" a="1"/>
  <c r="D20" i="19"/>
  <c r="D7" i="19" a="1"/>
  <c r="D7" i="19"/>
  <c r="D92" i="19" a="1"/>
  <c r="D92" i="19"/>
  <c r="D82" i="19" a="1"/>
  <c r="D82" i="19"/>
  <c r="D71" i="19" a="1"/>
  <c r="D71" i="19"/>
  <c r="D58" i="19" a="1"/>
  <c r="D58" i="19"/>
  <c r="D45" i="19" a="1"/>
  <c r="D45" i="19"/>
  <c r="D32" i="19" a="1"/>
  <c r="D32" i="19"/>
  <c r="D19" i="19" a="1"/>
  <c r="D19" i="19"/>
  <c r="D6" i="19" a="1"/>
  <c r="D6" i="19"/>
  <c r="D104" i="19" a="1"/>
  <c r="D104" i="19"/>
  <c r="D91" i="19" a="1"/>
  <c r="D91" i="19"/>
  <c r="D70" i="19" a="1"/>
  <c r="D70" i="19"/>
  <c r="D57" i="19" a="1"/>
  <c r="D57" i="19"/>
  <c r="D44" i="19" a="1"/>
  <c r="D44" i="19"/>
  <c r="D31" i="19" a="1"/>
  <c r="D31" i="19"/>
  <c r="D18" i="19" a="1"/>
  <c r="D18" i="19"/>
  <c r="D5" i="19" a="1"/>
  <c r="D5" i="19"/>
  <c r="D103" i="19" a="1"/>
  <c r="D103" i="19"/>
  <c r="D90" i="19" a="1"/>
  <c r="D90" i="19"/>
  <c r="D69" i="19" a="1"/>
  <c r="D69" i="19"/>
  <c r="D56" i="19" a="1"/>
  <c r="D56" i="19"/>
  <c r="D43" i="19" a="1"/>
  <c r="D43" i="19"/>
  <c r="D30" i="19" a="1"/>
  <c r="D30" i="19"/>
  <c r="D17" i="19" a="1"/>
  <c r="D17" i="19"/>
  <c r="C104" i="19"/>
  <c r="C103" i="19"/>
  <c r="C91" i="19"/>
  <c r="C92" i="19"/>
  <c r="C93" i="19"/>
  <c r="C94" i="19"/>
  <c r="C95" i="19"/>
  <c r="C96" i="19"/>
  <c r="C97" i="19"/>
  <c r="C90" i="19"/>
  <c r="C82" i="19"/>
  <c r="C83" i="19"/>
  <c r="C84" i="19"/>
  <c r="C70" i="19"/>
  <c r="C71" i="19"/>
  <c r="C72" i="19"/>
  <c r="C73" i="19"/>
  <c r="C74" i="19"/>
  <c r="C75" i="19"/>
  <c r="C76" i="19"/>
  <c r="N76" i="19" s="1"/>
  <c r="C69" i="19"/>
  <c r="C57" i="19"/>
  <c r="C58" i="19"/>
  <c r="C59" i="19"/>
  <c r="C60" i="19"/>
  <c r="C61" i="19"/>
  <c r="C62" i="19"/>
  <c r="C63" i="19"/>
  <c r="N63" i="19" s="1"/>
  <c r="C56" i="19"/>
  <c r="C44" i="19"/>
  <c r="C45" i="19"/>
  <c r="C46" i="19"/>
  <c r="C47" i="19"/>
  <c r="C48" i="19"/>
  <c r="C49" i="19"/>
  <c r="C50" i="19"/>
  <c r="N50" i="19" s="1"/>
  <c r="C43" i="19"/>
  <c r="C31" i="19"/>
  <c r="C32" i="19"/>
  <c r="C33" i="19"/>
  <c r="C34" i="19"/>
  <c r="C35" i="19"/>
  <c r="C36" i="19"/>
  <c r="C37" i="19"/>
  <c r="N37" i="19" s="1"/>
  <c r="C30" i="19"/>
  <c r="C18" i="19"/>
  <c r="C19" i="19"/>
  <c r="C20" i="19"/>
  <c r="C21" i="19"/>
  <c r="C22" i="19"/>
  <c r="C23" i="19"/>
  <c r="C24" i="19"/>
  <c r="N24" i="19" s="1"/>
  <c r="C17" i="19"/>
  <c r="C5" i="19"/>
  <c r="C6" i="19"/>
  <c r="C7" i="19"/>
  <c r="C8" i="19"/>
  <c r="C9" i="19"/>
  <c r="C10" i="19"/>
  <c r="C11" i="19"/>
  <c r="D4" i="19" a="1"/>
  <c r="D4" i="19"/>
  <c r="C4" i="19" s="1"/>
  <c r="L105" i="25"/>
  <c r="L119" i="25" s="1"/>
  <c r="K105" i="25"/>
  <c r="K119" i="25" s="1"/>
  <c r="J105" i="25"/>
  <c r="J119" i="25" s="1"/>
  <c r="I105" i="25"/>
  <c r="I119" i="25" s="1"/>
  <c r="H105" i="25"/>
  <c r="H119" i="25" s="1"/>
  <c r="G105" i="25"/>
  <c r="G119" i="25" s="1"/>
  <c r="F105" i="25"/>
  <c r="F119" i="25" s="1"/>
  <c r="E105" i="25"/>
  <c r="E119" i="25" s="1"/>
  <c r="D105" i="25"/>
  <c r="C105" i="25"/>
  <c r="C119" i="25" s="1"/>
  <c r="O104" i="25"/>
  <c r="P104" i="25" s="1"/>
  <c r="M104" i="25"/>
  <c r="N104" i="25" s="1"/>
  <c r="O103" i="25"/>
  <c r="P103" i="25" s="1"/>
  <c r="M103" i="25"/>
  <c r="N103" i="25" s="1"/>
  <c r="C120" i="25"/>
  <c r="O96" i="25"/>
  <c r="P96" i="25" s="1"/>
  <c r="M96" i="25"/>
  <c r="N96" i="25" s="1"/>
  <c r="O95" i="25"/>
  <c r="P95" i="25" s="1"/>
  <c r="M95" i="25"/>
  <c r="N95" i="25" s="1"/>
  <c r="O94" i="25"/>
  <c r="P94" i="25" s="1"/>
  <c r="M94" i="25"/>
  <c r="N94" i="25" s="1"/>
  <c r="O93" i="25"/>
  <c r="P93" i="25" s="1"/>
  <c r="M93" i="25"/>
  <c r="N93" i="25" s="1"/>
  <c r="O92" i="25"/>
  <c r="P92" i="25" s="1"/>
  <c r="M92" i="25"/>
  <c r="N92" i="25" s="1"/>
  <c r="O91" i="25"/>
  <c r="P91" i="25" s="1"/>
  <c r="M91" i="25"/>
  <c r="N91" i="25" s="1"/>
  <c r="O90" i="25"/>
  <c r="P90" i="25" s="1"/>
  <c r="M90" i="25"/>
  <c r="N90" i="25" s="1"/>
  <c r="L85" i="25"/>
  <c r="L118" i="25" s="1"/>
  <c r="K85" i="25"/>
  <c r="K118" i="25" s="1"/>
  <c r="J85" i="25"/>
  <c r="J118" i="25" s="1"/>
  <c r="I85" i="25"/>
  <c r="I118" i="25" s="1"/>
  <c r="H85" i="25"/>
  <c r="H118" i="25" s="1"/>
  <c r="G85" i="25"/>
  <c r="G118" i="25" s="1"/>
  <c r="F85" i="25"/>
  <c r="F118" i="25" s="1"/>
  <c r="E85" i="25"/>
  <c r="E118" i="25" s="1"/>
  <c r="D85" i="25"/>
  <c r="C118" i="25"/>
  <c r="O84" i="25"/>
  <c r="P84" i="25" s="1"/>
  <c r="M84" i="25"/>
  <c r="N84" i="25" s="1"/>
  <c r="O83" i="25"/>
  <c r="P83" i="25" s="1"/>
  <c r="M83" i="25"/>
  <c r="N83" i="25" s="1"/>
  <c r="O82" i="25"/>
  <c r="P82" i="25" s="1"/>
  <c r="M82" i="25"/>
  <c r="N82" i="25" s="1"/>
  <c r="C117" i="25"/>
  <c r="O75" i="25"/>
  <c r="P75" i="25" s="1"/>
  <c r="M75" i="25"/>
  <c r="N75" i="25" s="1"/>
  <c r="O74" i="25"/>
  <c r="P74" i="25" s="1"/>
  <c r="M74" i="25"/>
  <c r="N74" i="25" s="1"/>
  <c r="O73" i="25"/>
  <c r="P73" i="25" s="1"/>
  <c r="M73" i="25"/>
  <c r="N73" i="25" s="1"/>
  <c r="O72" i="25"/>
  <c r="P72" i="25" s="1"/>
  <c r="M72" i="25"/>
  <c r="N72" i="25" s="1"/>
  <c r="O71" i="25"/>
  <c r="P71" i="25" s="1"/>
  <c r="M71" i="25"/>
  <c r="N71" i="25" s="1"/>
  <c r="O70" i="25"/>
  <c r="P70" i="25" s="1"/>
  <c r="M70" i="25"/>
  <c r="N70" i="25" s="1"/>
  <c r="O69" i="25"/>
  <c r="P69" i="25" s="1"/>
  <c r="M69" i="25"/>
  <c r="N69" i="25" s="1"/>
  <c r="C116" i="25"/>
  <c r="O62" i="25"/>
  <c r="P62" i="25" s="1"/>
  <c r="M62" i="25"/>
  <c r="N62" i="25" s="1"/>
  <c r="O61" i="25"/>
  <c r="P61" i="25" s="1"/>
  <c r="M61" i="25"/>
  <c r="N61" i="25" s="1"/>
  <c r="O60" i="25"/>
  <c r="P60" i="25" s="1"/>
  <c r="M60" i="25"/>
  <c r="N60" i="25" s="1"/>
  <c r="O59" i="25"/>
  <c r="P59" i="25" s="1"/>
  <c r="M59" i="25"/>
  <c r="N59" i="25" s="1"/>
  <c r="O58" i="25"/>
  <c r="P58" i="25" s="1"/>
  <c r="M58" i="25"/>
  <c r="N58" i="25" s="1"/>
  <c r="O57" i="25"/>
  <c r="P57" i="25" s="1"/>
  <c r="M57" i="25"/>
  <c r="O56" i="25"/>
  <c r="P56" i="25" s="1"/>
  <c r="M56" i="25"/>
  <c r="N56" i="25" s="1"/>
  <c r="C115" i="25"/>
  <c r="O49" i="25"/>
  <c r="P49" i="25" s="1"/>
  <c r="M49" i="25"/>
  <c r="N49" i="25" s="1"/>
  <c r="O48" i="25"/>
  <c r="P48" i="25" s="1"/>
  <c r="M48" i="25"/>
  <c r="N48" i="25" s="1"/>
  <c r="O47" i="25"/>
  <c r="P47" i="25" s="1"/>
  <c r="M47" i="25"/>
  <c r="N47" i="25" s="1"/>
  <c r="O46" i="25"/>
  <c r="P46" i="25" s="1"/>
  <c r="M46" i="25"/>
  <c r="N46" i="25" s="1"/>
  <c r="O45" i="25"/>
  <c r="P45" i="25" s="1"/>
  <c r="M45" i="25"/>
  <c r="N45" i="25" s="1"/>
  <c r="O44" i="25"/>
  <c r="P44" i="25" s="1"/>
  <c r="M44" i="25"/>
  <c r="N44" i="25" s="1"/>
  <c r="O43" i="25"/>
  <c r="P43" i="25" s="1"/>
  <c r="M43" i="25"/>
  <c r="N43" i="25" s="1"/>
  <c r="C114" i="25"/>
  <c r="O36" i="25"/>
  <c r="P36" i="25" s="1"/>
  <c r="N36" i="25"/>
  <c r="O35" i="25"/>
  <c r="P35" i="25" s="1"/>
  <c r="M35" i="25"/>
  <c r="N35" i="25" s="1"/>
  <c r="O34" i="25"/>
  <c r="P34" i="25" s="1"/>
  <c r="M34" i="25"/>
  <c r="N34" i="25" s="1"/>
  <c r="O33" i="25"/>
  <c r="P33" i="25" s="1"/>
  <c r="M33" i="25"/>
  <c r="N33" i="25" s="1"/>
  <c r="O32" i="25"/>
  <c r="P32" i="25" s="1"/>
  <c r="M32" i="25"/>
  <c r="N32" i="25" s="1"/>
  <c r="O31" i="25"/>
  <c r="P31" i="25" s="1"/>
  <c r="M31" i="25"/>
  <c r="N31" i="25" s="1"/>
  <c r="O30" i="25"/>
  <c r="P30" i="25" s="1"/>
  <c r="M30" i="25"/>
  <c r="N30" i="25" s="1"/>
  <c r="C113" i="25"/>
  <c r="O23" i="25"/>
  <c r="P23" i="25" s="1"/>
  <c r="M23" i="25"/>
  <c r="N23" i="25" s="1"/>
  <c r="O22" i="25"/>
  <c r="P22" i="25" s="1"/>
  <c r="M22" i="25"/>
  <c r="N22" i="25" s="1"/>
  <c r="O21" i="25"/>
  <c r="P21" i="25" s="1"/>
  <c r="M21" i="25"/>
  <c r="N21" i="25" s="1"/>
  <c r="O20" i="25"/>
  <c r="P20" i="25" s="1"/>
  <c r="M20" i="25"/>
  <c r="N20" i="25" s="1"/>
  <c r="O19" i="25"/>
  <c r="P19" i="25" s="1"/>
  <c r="M19" i="25"/>
  <c r="N19" i="25" s="1"/>
  <c r="O18" i="25"/>
  <c r="P18" i="25" s="1"/>
  <c r="M18" i="25"/>
  <c r="N18" i="25" s="1"/>
  <c r="O17" i="25"/>
  <c r="P17" i="25" s="1"/>
  <c r="M17" i="25"/>
  <c r="N17" i="25" s="1"/>
  <c r="L112" i="25"/>
  <c r="K112" i="25"/>
  <c r="J112" i="25"/>
  <c r="I112" i="25"/>
  <c r="H112" i="25"/>
  <c r="G112" i="25"/>
  <c r="F112" i="25"/>
  <c r="E112" i="25"/>
  <c r="O10" i="25"/>
  <c r="P10" i="25" s="1"/>
  <c r="M10" i="25"/>
  <c r="N10" i="25" s="1"/>
  <c r="O9" i="25"/>
  <c r="P9" i="25" s="1"/>
  <c r="M9" i="25"/>
  <c r="N9" i="25" s="1"/>
  <c r="O8" i="25"/>
  <c r="P8" i="25" s="1"/>
  <c r="M8" i="25"/>
  <c r="N8" i="25" s="1"/>
  <c r="O7" i="25"/>
  <c r="P7" i="25" s="1"/>
  <c r="M7" i="25"/>
  <c r="N7" i="25" s="1"/>
  <c r="O6" i="25"/>
  <c r="P6" i="25" s="1"/>
  <c r="M6" i="25"/>
  <c r="N6" i="25" s="1"/>
  <c r="O5" i="25"/>
  <c r="P5" i="25" s="1"/>
  <c r="M5" i="25"/>
  <c r="N5" i="25" s="1"/>
  <c r="O4" i="25"/>
  <c r="P4" i="25" s="1"/>
  <c r="M4" i="25"/>
  <c r="N4" i="25" s="1"/>
  <c r="B5" i="22"/>
  <c r="M44" i="19"/>
  <c r="B13" i="23"/>
  <c r="B16" i="23"/>
  <c r="L11" i="22"/>
  <c r="L10" i="22"/>
  <c r="L9" i="22"/>
  <c r="L8" i="22"/>
  <c r="L7" i="22"/>
  <c r="L6" i="22"/>
  <c r="L5" i="22"/>
  <c r="N44" i="19"/>
  <c r="M35" i="19"/>
  <c r="C38" i="19"/>
  <c r="N10" i="22"/>
  <c r="N5" i="22"/>
  <c r="O8" i="19"/>
  <c r="P8" i="19"/>
  <c r="O73" i="19"/>
  <c r="P73" i="19"/>
  <c r="O69" i="19"/>
  <c r="P69" i="19"/>
  <c r="B6" i="22"/>
  <c r="B7" i="22"/>
  <c r="M7" i="22" s="1"/>
  <c r="B8" i="22"/>
  <c r="M8" i="22" s="1"/>
  <c r="B9" i="22"/>
  <c r="M9" i="22"/>
  <c r="B10" i="22"/>
  <c r="O10" i="22"/>
  <c r="B11" i="22"/>
  <c r="C12" i="19"/>
  <c r="C112" i="19"/>
  <c r="B15" i="23"/>
  <c r="B14" i="23"/>
  <c r="B12" i="23"/>
  <c r="B11" i="23"/>
  <c r="B10" i="23"/>
  <c r="B9" i="23"/>
  <c r="B8" i="23"/>
  <c r="C23" i="23"/>
  <c r="N9" i="22"/>
  <c r="O9" i="22"/>
  <c r="N8" i="22"/>
  <c r="O8" i="22"/>
  <c r="N7" i="22"/>
  <c r="N6" i="22"/>
  <c r="O104" i="19"/>
  <c r="P104" i="19"/>
  <c r="M104" i="19"/>
  <c r="N104" i="19"/>
  <c r="O91" i="19"/>
  <c r="P91" i="19"/>
  <c r="O92" i="19"/>
  <c r="P92" i="19"/>
  <c r="O93" i="19"/>
  <c r="P93" i="19"/>
  <c r="O94" i="19"/>
  <c r="P94" i="19"/>
  <c r="O95" i="19"/>
  <c r="P95" i="19"/>
  <c r="M91" i="19"/>
  <c r="N91" i="19"/>
  <c r="M92" i="19"/>
  <c r="N92" i="19"/>
  <c r="M93" i="19"/>
  <c r="N93" i="19"/>
  <c r="M94" i="19"/>
  <c r="N94" i="19"/>
  <c r="M95" i="19"/>
  <c r="N95" i="19"/>
  <c r="M96" i="19"/>
  <c r="N96" i="19"/>
  <c r="O31" i="19"/>
  <c r="P31" i="19"/>
  <c r="O32" i="19"/>
  <c r="P32" i="19"/>
  <c r="O33" i="19"/>
  <c r="P33" i="19"/>
  <c r="O34" i="19"/>
  <c r="P34" i="19"/>
  <c r="O35" i="19"/>
  <c r="P35" i="19"/>
  <c r="O36" i="19"/>
  <c r="P36" i="19"/>
  <c r="M31" i="19"/>
  <c r="N31" i="19"/>
  <c r="M32" i="19"/>
  <c r="N32" i="19"/>
  <c r="M33" i="19"/>
  <c r="N33" i="19"/>
  <c r="M34" i="19"/>
  <c r="N34" i="19"/>
  <c r="N35" i="19"/>
  <c r="N36" i="19"/>
  <c r="O83" i="19"/>
  <c r="P83" i="19"/>
  <c r="O84" i="19"/>
  <c r="P84" i="19"/>
  <c r="M83" i="19"/>
  <c r="N83" i="19"/>
  <c r="M84" i="19"/>
  <c r="N84" i="19"/>
  <c r="M5" i="19"/>
  <c r="N5" i="19"/>
  <c r="M6" i="19"/>
  <c r="N6" i="19"/>
  <c r="M7" i="19"/>
  <c r="N7" i="19"/>
  <c r="M8" i="19"/>
  <c r="N8" i="19"/>
  <c r="M9" i="19"/>
  <c r="N9" i="19"/>
  <c r="M10" i="19"/>
  <c r="N10" i="19"/>
  <c r="M4" i="19"/>
  <c r="N4" i="19"/>
  <c r="H85" i="19"/>
  <c r="H118" i="19"/>
  <c r="L98" i="19"/>
  <c r="L120" i="19"/>
  <c r="M103" i="19"/>
  <c r="N103" i="19"/>
  <c r="D105" i="19"/>
  <c r="D119" i="19"/>
  <c r="E105" i="19"/>
  <c r="E119" i="19"/>
  <c r="F105" i="19"/>
  <c r="G105" i="19"/>
  <c r="G119" i="19"/>
  <c r="H105" i="19"/>
  <c r="H119" i="19"/>
  <c r="I105" i="19"/>
  <c r="I119" i="19"/>
  <c r="J105" i="19"/>
  <c r="J119" i="19"/>
  <c r="K105" i="19"/>
  <c r="K119" i="19"/>
  <c r="L105" i="19"/>
  <c r="L119" i="19"/>
  <c r="O103" i="19"/>
  <c r="P103" i="19"/>
  <c r="M18" i="19"/>
  <c r="N18" i="19"/>
  <c r="M19" i="19"/>
  <c r="N19" i="19"/>
  <c r="M20" i="19"/>
  <c r="N20" i="19"/>
  <c r="M21" i="19"/>
  <c r="N21" i="19"/>
  <c r="M22" i="19"/>
  <c r="N22" i="19"/>
  <c r="M23" i="19"/>
  <c r="N23" i="19"/>
  <c r="M17" i="19"/>
  <c r="N17" i="19"/>
  <c r="M71" i="19"/>
  <c r="N71" i="19"/>
  <c r="O71" i="19"/>
  <c r="P71" i="19"/>
  <c r="M59" i="19"/>
  <c r="N59" i="19"/>
  <c r="O59" i="19"/>
  <c r="P59" i="19"/>
  <c r="M46" i="19"/>
  <c r="N46" i="19"/>
  <c r="O46" i="19"/>
  <c r="P46" i="19"/>
  <c r="O21" i="19"/>
  <c r="P21" i="19"/>
  <c r="M45" i="19"/>
  <c r="N45" i="19"/>
  <c r="M47" i="19"/>
  <c r="N47" i="19"/>
  <c r="M48" i="19"/>
  <c r="N48" i="19"/>
  <c r="M49" i="19"/>
  <c r="N49" i="19"/>
  <c r="M43" i="19"/>
  <c r="N43" i="19"/>
  <c r="C25" i="19"/>
  <c r="C113" i="19"/>
  <c r="M72" i="19"/>
  <c r="N72" i="19"/>
  <c r="K98" i="19"/>
  <c r="K120" i="19"/>
  <c r="J98" i="19"/>
  <c r="J120" i="19"/>
  <c r="I98" i="19"/>
  <c r="I120" i="19"/>
  <c r="H98" i="19"/>
  <c r="H120" i="19"/>
  <c r="G98" i="19"/>
  <c r="G120" i="19"/>
  <c r="F98" i="19"/>
  <c r="F120" i="19"/>
  <c r="E98" i="19"/>
  <c r="E120" i="19"/>
  <c r="D98" i="19"/>
  <c r="D120" i="19"/>
  <c r="C98" i="19"/>
  <c r="C120" i="19"/>
  <c r="O90" i="19"/>
  <c r="P90" i="19"/>
  <c r="M90" i="19"/>
  <c r="N90" i="19"/>
  <c r="L85" i="19"/>
  <c r="L118" i="19"/>
  <c r="K85" i="19"/>
  <c r="K118" i="19"/>
  <c r="J85" i="19"/>
  <c r="J118" i="19"/>
  <c r="I85" i="19"/>
  <c r="I118" i="19"/>
  <c r="G85" i="19"/>
  <c r="G118" i="19"/>
  <c r="F85" i="19"/>
  <c r="F118" i="19"/>
  <c r="E85" i="19"/>
  <c r="E118" i="19"/>
  <c r="D85" i="19"/>
  <c r="M85" i="19"/>
  <c r="C85" i="19"/>
  <c r="C118" i="19"/>
  <c r="O82" i="19"/>
  <c r="P82" i="19"/>
  <c r="M82" i="19"/>
  <c r="N82" i="19"/>
  <c r="L77" i="19"/>
  <c r="L117" i="19"/>
  <c r="K77" i="19"/>
  <c r="K117" i="19"/>
  <c r="J77" i="19"/>
  <c r="J117" i="19"/>
  <c r="I77" i="19"/>
  <c r="I117" i="19"/>
  <c r="H77" i="19"/>
  <c r="H117" i="19"/>
  <c r="G77" i="19"/>
  <c r="G117" i="19"/>
  <c r="F77" i="19"/>
  <c r="E77" i="19"/>
  <c r="D77" i="19"/>
  <c r="D117" i="19"/>
  <c r="C77" i="19"/>
  <c r="C117" i="19"/>
  <c r="O75" i="19"/>
  <c r="P76" i="19"/>
  <c r="M75" i="19"/>
  <c r="N75" i="19"/>
  <c r="O74" i="19"/>
  <c r="P74" i="19"/>
  <c r="M74" i="19"/>
  <c r="N74" i="19"/>
  <c r="M73" i="19"/>
  <c r="N73" i="19"/>
  <c r="O72" i="19"/>
  <c r="P72" i="19"/>
  <c r="O70" i="19"/>
  <c r="P70" i="19"/>
  <c r="M70" i="19"/>
  <c r="N70" i="19"/>
  <c r="M69" i="19"/>
  <c r="N69" i="19"/>
  <c r="L64" i="19"/>
  <c r="L116" i="19"/>
  <c r="K64" i="19"/>
  <c r="K116" i="19"/>
  <c r="J64" i="19"/>
  <c r="J116" i="19"/>
  <c r="I64" i="19"/>
  <c r="I116" i="19"/>
  <c r="H64" i="19"/>
  <c r="H116" i="19"/>
  <c r="G64" i="19"/>
  <c r="G116" i="19"/>
  <c r="F64" i="19"/>
  <c r="F116" i="19"/>
  <c r="D64" i="19"/>
  <c r="D116" i="19"/>
  <c r="E64" i="19"/>
  <c r="M64" i="19"/>
  <c r="C64" i="19"/>
  <c r="C116" i="19"/>
  <c r="O62" i="19"/>
  <c r="P62" i="19"/>
  <c r="M62" i="19"/>
  <c r="N62" i="19"/>
  <c r="O61" i="19"/>
  <c r="P61" i="19"/>
  <c r="M61" i="19"/>
  <c r="N61" i="19"/>
  <c r="O60" i="19"/>
  <c r="P60" i="19"/>
  <c r="M60" i="19"/>
  <c r="N60" i="19"/>
  <c r="O58" i="19"/>
  <c r="P58" i="19"/>
  <c r="M58" i="19"/>
  <c r="N58" i="19"/>
  <c r="O57" i="19"/>
  <c r="P57" i="19"/>
  <c r="M57" i="19"/>
  <c r="N57" i="19"/>
  <c r="O56" i="19"/>
  <c r="P56" i="19"/>
  <c r="M56" i="19"/>
  <c r="N56" i="19"/>
  <c r="L51" i="19"/>
  <c r="L115" i="19"/>
  <c r="K51" i="19"/>
  <c r="K115" i="19"/>
  <c r="J51" i="19"/>
  <c r="J115" i="19"/>
  <c r="I51" i="19"/>
  <c r="I115" i="19"/>
  <c r="H51" i="19"/>
  <c r="H115" i="19"/>
  <c r="G51" i="19"/>
  <c r="G115" i="19"/>
  <c r="F51" i="19"/>
  <c r="F115" i="19"/>
  <c r="E51" i="19"/>
  <c r="E115" i="19"/>
  <c r="D51" i="19"/>
  <c r="M51" i="19"/>
  <c r="C51" i="19"/>
  <c r="C115" i="19"/>
  <c r="O49" i="19"/>
  <c r="P49" i="19"/>
  <c r="O48" i="19"/>
  <c r="P48" i="19"/>
  <c r="O47" i="19"/>
  <c r="P47" i="19"/>
  <c r="O45" i="19"/>
  <c r="P45" i="19"/>
  <c r="O44" i="19"/>
  <c r="P44" i="19"/>
  <c r="O43" i="19"/>
  <c r="P43" i="19"/>
  <c r="L38" i="19"/>
  <c r="L114" i="19"/>
  <c r="K38" i="19"/>
  <c r="K114" i="19"/>
  <c r="J38" i="19"/>
  <c r="J114" i="19"/>
  <c r="I38" i="19"/>
  <c r="I114" i="19"/>
  <c r="H38" i="19"/>
  <c r="H114" i="19"/>
  <c r="G38" i="19"/>
  <c r="G114" i="19"/>
  <c r="F38" i="19"/>
  <c r="F114" i="19"/>
  <c r="E38" i="19"/>
  <c r="E114" i="19"/>
  <c r="D38" i="19"/>
  <c r="D114" i="19"/>
  <c r="C114" i="19"/>
  <c r="O30" i="19"/>
  <c r="P30" i="19"/>
  <c r="M30" i="19"/>
  <c r="N30" i="19"/>
  <c r="L25" i="19"/>
  <c r="L113" i="19"/>
  <c r="K25" i="19"/>
  <c r="K113" i="19"/>
  <c r="J25" i="19"/>
  <c r="J113" i="19"/>
  <c r="I25" i="19"/>
  <c r="I113" i="19"/>
  <c r="H25" i="19"/>
  <c r="H113" i="19"/>
  <c r="G25" i="19"/>
  <c r="G113" i="19"/>
  <c r="F25" i="19"/>
  <c r="E25" i="19"/>
  <c r="E113" i="19"/>
  <c r="D25" i="19"/>
  <c r="D113" i="19"/>
  <c r="O23" i="19"/>
  <c r="P23" i="19"/>
  <c r="O22" i="19"/>
  <c r="P22" i="19"/>
  <c r="O20" i="19"/>
  <c r="P20" i="19"/>
  <c r="O19" i="19"/>
  <c r="P19" i="19"/>
  <c r="O18" i="19"/>
  <c r="P18" i="19"/>
  <c r="O17" i="19"/>
  <c r="P17" i="19"/>
  <c r="O5" i="19"/>
  <c r="P5" i="19"/>
  <c r="O6" i="19"/>
  <c r="P6" i="19"/>
  <c r="O7" i="19"/>
  <c r="P7" i="19"/>
  <c r="O9" i="19"/>
  <c r="P9" i="19"/>
  <c r="O10" i="19"/>
  <c r="P10" i="19"/>
  <c r="N5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4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3" i="21"/>
  <c r="N48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57" i="21"/>
  <c r="N62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N70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96" i="21"/>
  <c r="N102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09" i="21"/>
  <c r="N136" i="21"/>
  <c r="P136" i="21"/>
  <c r="O4" i="19"/>
  <c r="P4" i="19"/>
  <c r="D12" i="19"/>
  <c r="D112" i="19"/>
  <c r="E12" i="19"/>
  <c r="E112" i="19"/>
  <c r="F12" i="19"/>
  <c r="F112" i="19"/>
  <c r="G12" i="19"/>
  <c r="G112" i="19"/>
  <c r="H12" i="19"/>
  <c r="H112" i="19"/>
  <c r="I12" i="19"/>
  <c r="I112" i="19"/>
  <c r="J12" i="19"/>
  <c r="J112" i="19"/>
  <c r="K12" i="19"/>
  <c r="K112" i="19"/>
  <c r="L12" i="19"/>
  <c r="L112" i="19"/>
  <c r="C105" i="19"/>
  <c r="C119" i="19"/>
  <c r="M6" i="22"/>
  <c r="M38" i="19"/>
  <c r="N38" i="19"/>
  <c r="N114" i="19"/>
  <c r="B6" i="20"/>
  <c r="O6" i="22"/>
  <c r="O38" i="19"/>
  <c r="P38" i="19"/>
  <c r="P114" i="19"/>
  <c r="C6" i="20"/>
  <c r="M114" i="19"/>
  <c r="M12" i="19"/>
  <c r="M112" i="19"/>
  <c r="O7" i="22"/>
  <c r="M11" i="22"/>
  <c r="O114" i="19"/>
  <c r="N12" i="19"/>
  <c r="N112" i="19"/>
  <c r="B4" i="20"/>
  <c r="O77" i="19"/>
  <c r="M25" i="19"/>
  <c r="O98" i="19"/>
  <c r="B17" i="23"/>
  <c r="D16" i="23" s="1"/>
  <c r="D12" i="23"/>
  <c r="C21" i="23"/>
  <c r="D21" i="23"/>
  <c r="D13" i="23"/>
  <c r="D14" i="23"/>
  <c r="D15" i="23"/>
  <c r="C22" i="23"/>
  <c r="D22" i="23"/>
  <c r="M10" i="22"/>
  <c r="O105" i="19"/>
  <c r="F119" i="19"/>
  <c r="O120" i="19"/>
  <c r="P98" i="19"/>
  <c r="P120" i="19"/>
  <c r="C12" i="20"/>
  <c r="M98" i="19"/>
  <c r="N85" i="19"/>
  <c r="N118" i="19"/>
  <c r="B10" i="20"/>
  <c r="M118" i="19"/>
  <c r="D118" i="19"/>
  <c r="O85" i="19"/>
  <c r="O117" i="19"/>
  <c r="P77" i="19"/>
  <c r="P117" i="19"/>
  <c r="C9" i="20"/>
  <c r="M77" i="19"/>
  <c r="F117" i="19"/>
  <c r="E117" i="19"/>
  <c r="M117" i="19"/>
  <c r="N77" i="19"/>
  <c r="N117" i="19"/>
  <c r="B9" i="20"/>
  <c r="N64" i="19"/>
  <c r="N116" i="19"/>
  <c r="B8" i="20"/>
  <c r="M116" i="19"/>
  <c r="E116" i="19"/>
  <c r="O64" i="19"/>
  <c r="M115" i="19"/>
  <c r="N51" i="19"/>
  <c r="N115" i="19"/>
  <c r="B7" i="20"/>
  <c r="D115" i="19"/>
  <c r="O51" i="19"/>
  <c r="M113" i="19"/>
  <c r="N25" i="19"/>
  <c r="N113" i="19"/>
  <c r="B5" i="20"/>
  <c r="O25" i="19"/>
  <c r="F113" i="19"/>
  <c r="O12" i="19"/>
  <c r="D8" i="23"/>
  <c r="D23" i="23"/>
  <c r="D11" i="23"/>
  <c r="D10" i="23"/>
  <c r="D9" i="23"/>
  <c r="O119" i="19"/>
  <c r="P105" i="19"/>
  <c r="P119" i="19"/>
  <c r="C11" i="20"/>
  <c r="M120" i="19"/>
  <c r="N98" i="19"/>
  <c r="N120" i="19"/>
  <c r="B12" i="20"/>
  <c r="P85" i="19"/>
  <c r="P118" i="19"/>
  <c r="C10" i="20"/>
  <c r="O118" i="19"/>
  <c r="P64" i="19"/>
  <c r="P116" i="19"/>
  <c r="C8" i="20"/>
  <c r="O116" i="19"/>
  <c r="P51" i="19"/>
  <c r="P115" i="19"/>
  <c r="C7" i="20"/>
  <c r="O115" i="19"/>
  <c r="O113" i="19"/>
  <c r="P25" i="19"/>
  <c r="P113" i="19"/>
  <c r="C5" i="20"/>
  <c r="O112" i="19"/>
  <c r="P12" i="19"/>
  <c r="P112" i="19"/>
  <c r="C4" i="20"/>
  <c r="P121" i="19"/>
  <c r="N57" i="25" l="1"/>
  <c r="M64" i="25"/>
  <c r="E25" i="25"/>
  <c r="E113" i="25" s="1"/>
  <c r="F25" i="25"/>
  <c r="F113" i="25" s="1"/>
  <c r="G25" i="25"/>
  <c r="G113" i="25" s="1"/>
  <c r="H25" i="25"/>
  <c r="H113" i="25" s="1"/>
  <c r="I25" i="25"/>
  <c r="I113" i="25" s="1"/>
  <c r="J25" i="25"/>
  <c r="J113" i="25" s="1"/>
  <c r="K25" i="25"/>
  <c r="K113" i="25" s="1"/>
  <c r="L25" i="25"/>
  <c r="L113" i="25" s="1"/>
  <c r="E38" i="25"/>
  <c r="E114" i="25" s="1"/>
  <c r="F38" i="25"/>
  <c r="F114" i="25" s="1"/>
  <c r="G38" i="25"/>
  <c r="G114" i="25" s="1"/>
  <c r="H38" i="25"/>
  <c r="H114" i="25" s="1"/>
  <c r="I38" i="25"/>
  <c r="I114" i="25" s="1"/>
  <c r="J38" i="25"/>
  <c r="J114" i="25" s="1"/>
  <c r="K38" i="25"/>
  <c r="K114" i="25" s="1"/>
  <c r="L38" i="25"/>
  <c r="L114" i="25" s="1"/>
  <c r="E51" i="25"/>
  <c r="E115" i="25" s="1"/>
  <c r="F51" i="25"/>
  <c r="F115" i="25" s="1"/>
  <c r="G51" i="25"/>
  <c r="G115" i="25" s="1"/>
  <c r="H51" i="25"/>
  <c r="H115" i="25" s="1"/>
  <c r="I51" i="25"/>
  <c r="I115" i="25" s="1"/>
  <c r="J51" i="25"/>
  <c r="J115" i="25" s="1"/>
  <c r="K51" i="25"/>
  <c r="K115" i="25" s="1"/>
  <c r="L51" i="25"/>
  <c r="L115" i="25" s="1"/>
  <c r="E64" i="25"/>
  <c r="E116" i="25" s="1"/>
  <c r="F64" i="25"/>
  <c r="F116" i="25" s="1"/>
  <c r="G64" i="25"/>
  <c r="G116" i="25" s="1"/>
  <c r="H64" i="25"/>
  <c r="H116" i="25" s="1"/>
  <c r="I64" i="25"/>
  <c r="I116" i="25" s="1"/>
  <c r="J64" i="25"/>
  <c r="J116" i="25" s="1"/>
  <c r="K64" i="25"/>
  <c r="K116" i="25" s="1"/>
  <c r="L64" i="25"/>
  <c r="L116" i="25" s="1"/>
  <c r="E77" i="25"/>
  <c r="E117" i="25" s="1"/>
  <c r="F77" i="25"/>
  <c r="F117" i="25" s="1"/>
  <c r="G77" i="25"/>
  <c r="G117" i="25" s="1"/>
  <c r="H77" i="25"/>
  <c r="H117" i="25" s="1"/>
  <c r="I77" i="25"/>
  <c r="I117" i="25" s="1"/>
  <c r="J77" i="25"/>
  <c r="J117" i="25" s="1"/>
  <c r="K77" i="25"/>
  <c r="K117" i="25" s="1"/>
  <c r="L77" i="25"/>
  <c r="L117" i="25" s="1"/>
  <c r="E98" i="25"/>
  <c r="F98" i="25"/>
  <c r="F120" i="25" s="1"/>
  <c r="G98" i="25"/>
  <c r="G120" i="25" s="1"/>
  <c r="H98" i="25"/>
  <c r="H120" i="25" s="1"/>
  <c r="I98" i="25"/>
  <c r="I120" i="25" s="1"/>
  <c r="J98" i="25"/>
  <c r="J120" i="25" s="1"/>
  <c r="K98" i="25"/>
  <c r="K120" i="25" s="1"/>
  <c r="L98" i="25"/>
  <c r="L120" i="25" s="1"/>
  <c r="L13" i="22"/>
  <c r="O11" i="22"/>
  <c r="M12" i="22"/>
  <c r="O12" i="22"/>
  <c r="B13" i="22"/>
  <c r="P96" i="19"/>
  <c r="N97" i="19"/>
  <c r="P97" i="19"/>
  <c r="M11" i="19"/>
  <c r="N11" i="19" s="1"/>
  <c r="O11" i="19"/>
  <c r="P11" i="19" s="1"/>
  <c r="P24" i="19"/>
  <c r="P37" i="19"/>
  <c r="P50" i="19"/>
  <c r="P63" i="19"/>
  <c r="D112" i="25"/>
  <c r="O12" i="25"/>
  <c r="M12" i="25"/>
  <c r="D113" i="25"/>
  <c r="O25" i="25"/>
  <c r="M25" i="25"/>
  <c r="D114" i="25"/>
  <c r="O38" i="25"/>
  <c r="M38" i="25"/>
  <c r="D115" i="25"/>
  <c r="O51" i="25"/>
  <c r="M51" i="25"/>
  <c r="D116" i="25"/>
  <c r="O64" i="25"/>
  <c r="D117" i="25"/>
  <c r="O77" i="25"/>
  <c r="M77" i="25"/>
  <c r="D118" i="25"/>
  <c r="O85" i="25"/>
  <c r="M85" i="25"/>
  <c r="D120" i="25"/>
  <c r="D119" i="25"/>
  <c r="O105" i="25"/>
  <c r="M105" i="25"/>
  <c r="M5" i="22"/>
  <c r="O5" i="22"/>
  <c r="M105" i="19"/>
  <c r="E120" i="25" l="1"/>
  <c r="M98" i="25"/>
  <c r="N98" i="25" s="1"/>
  <c r="O98" i="25"/>
  <c r="P98" i="25" s="1"/>
  <c r="E4" i="23"/>
  <c r="M13" i="22"/>
  <c r="M119" i="25"/>
  <c r="N105" i="25"/>
  <c r="N119" i="25" s="1"/>
  <c r="O119" i="25"/>
  <c r="P105" i="25"/>
  <c r="P119" i="25" s="1"/>
  <c r="M120" i="25"/>
  <c r="N120" i="25"/>
  <c r="O120" i="25"/>
  <c r="P120" i="25"/>
  <c r="M118" i="25"/>
  <c r="N85" i="25"/>
  <c r="N118" i="25" s="1"/>
  <c r="O118" i="25"/>
  <c r="P85" i="25"/>
  <c r="P118" i="25" s="1"/>
  <c r="M117" i="25"/>
  <c r="N77" i="25"/>
  <c r="N117" i="25" s="1"/>
  <c r="O117" i="25"/>
  <c r="P77" i="25"/>
  <c r="P117" i="25" s="1"/>
  <c r="M116" i="25"/>
  <c r="N64" i="25"/>
  <c r="N116" i="25" s="1"/>
  <c r="O116" i="25"/>
  <c r="P64" i="25"/>
  <c r="P116" i="25" s="1"/>
  <c r="M115" i="25"/>
  <c r="N51" i="25"/>
  <c r="N115" i="25" s="1"/>
  <c r="O115" i="25"/>
  <c r="P51" i="25"/>
  <c r="P115" i="25" s="1"/>
  <c r="M114" i="25"/>
  <c r="N38" i="25"/>
  <c r="N114" i="25" s="1"/>
  <c r="O114" i="25"/>
  <c r="P38" i="25"/>
  <c r="P114" i="25" s="1"/>
  <c r="M113" i="25"/>
  <c r="N25" i="25"/>
  <c r="N113" i="25" s="1"/>
  <c r="O113" i="25"/>
  <c r="P25" i="25"/>
  <c r="P113" i="25" s="1"/>
  <c r="M112" i="25"/>
  <c r="O112" i="25"/>
  <c r="M119" i="19"/>
  <c r="N105" i="19"/>
  <c r="B15" i="22" l="1"/>
  <c r="N13" i="22"/>
  <c r="O13" i="22" s="1"/>
  <c r="B16" i="22" s="1"/>
  <c r="B11" i="20"/>
  <c r="N119" i="19"/>
  <c r="N121" i="19" s="1"/>
  <c r="P12" i="25"/>
  <c r="P112" i="25"/>
  <c r="P121" i="25"/>
  <c r="N12" i="25"/>
  <c r="N112" i="25"/>
  <c r="N121" i="25"/>
  <c r="C112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<sst xmlns="http://schemas.openxmlformats.org/spreadsheetml/2006/main" count="991" uniqueCount="148">
  <si>
    <t>BAHASA MELAYU</t>
  </si>
  <si>
    <t>Distinction</t>
  </si>
  <si>
    <t>Credit</t>
  </si>
  <si>
    <t xml:space="preserve">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</si>
  <si>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</si>
  <si>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</si>
  <si>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</si>
  <si>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</si>
  <si>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</si>
  <si>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</si>
  <si>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</si>
  <si>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</si>
  <si>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</si>
  <si>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</si>
  <si>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</si>
  <si>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</si>
  <si>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</si>
  <si>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</si>
  <si>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</si>
  <si>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</si>
  <si>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</si>
  <si>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8C</t>
  </si>
  <si>
    <t>Cg Siti izyan</t>
  </si>
  <si>
    <t>8H</t>
  </si>
  <si>
    <t>Cg Ermawati</t>
  </si>
  <si>
    <t>8A</t>
  </si>
  <si>
    <t>Cg Noni Ratina</t>
  </si>
  <si>
    <t>8M</t>
  </si>
  <si>
    <t>8P</t>
  </si>
  <si>
    <t>Cg  Ermawati</t>
  </si>
  <si>
    <t>8I</t>
  </si>
  <si>
    <t>8O</t>
  </si>
  <si>
    <t>Cg Siti Izyan</t>
  </si>
  <si>
    <t>8N</t>
  </si>
  <si>
    <t>Overall</t>
  </si>
  <si>
    <t>ENGLISH LANGUAGE</t>
  </si>
  <si>
    <t>Derek</t>
  </si>
  <si>
    <t>Cg Pieter</t>
  </si>
  <si>
    <t>Aimi</t>
  </si>
  <si>
    <t>Dk Hjh Sri Hani</t>
  </si>
  <si>
    <t>ISLAMIC RELIGIOUS KNOWLEDGE</t>
  </si>
  <si>
    <t>HJ AZMI</t>
  </si>
  <si>
    <t>HJH FAUZIAHWATI</t>
  </si>
  <si>
    <t>SOCIAL STUDIES</t>
  </si>
  <si>
    <t>DK MARIEAH</t>
  </si>
  <si>
    <t>SUNARDI</t>
  </si>
  <si>
    <t>PG HJH MARLINAWATI</t>
  </si>
  <si>
    <t>AZYMAN</t>
  </si>
  <si>
    <t>MATHEMATICS</t>
  </si>
  <si>
    <t>Ck Dk Norazlina</t>
  </si>
  <si>
    <t>Ck Hjh Umi</t>
  </si>
  <si>
    <t>Ck Ghani</t>
  </si>
  <si>
    <t>Ck Hjh Syuhairah</t>
  </si>
  <si>
    <t>Ck Mahani</t>
  </si>
  <si>
    <t>SCIENCE</t>
  </si>
  <si>
    <t>Cg Noraini</t>
  </si>
  <si>
    <t>Cg Hjh Siti Sofina</t>
  </si>
  <si>
    <t>BAHASA ARAB</t>
  </si>
  <si>
    <t xml:space="preserve">Hjh Jusnani Awang Taha </t>
  </si>
  <si>
    <t>MELAYU ISLAM BERAJA</t>
  </si>
  <si>
    <t>Cg Yussof</t>
  </si>
  <si>
    <t>Cg Ummi Sahirah</t>
  </si>
  <si>
    <t>DRAMA</t>
  </si>
  <si>
    <t>Cg. Jalilah</t>
  </si>
  <si>
    <t>OVERALL PERFORMANCES</t>
  </si>
  <si>
    <t>Pass</t>
  </si>
  <si>
    <t>Subject</t>
  </si>
  <si>
    <t>Bahasa Melayu</t>
  </si>
  <si>
    <t>English Language</t>
  </si>
  <si>
    <t>I.R.K</t>
  </si>
  <si>
    <t>Social Studies</t>
  </si>
  <si>
    <t>Mathematics</t>
  </si>
  <si>
    <t>Science</t>
  </si>
  <si>
    <t>Bahasa Arab</t>
  </si>
  <si>
    <t>Drama</t>
  </si>
  <si>
    <t>Melayu Islam Beraja</t>
  </si>
  <si>
    <t>PERCENTAGE OBTAINING 1-6 AND 1-8 IN SPA</t>
  </si>
  <si>
    <t>Subjects</t>
  </si>
  <si>
    <t>YEAR 8, STUDENT PROGRESS ASSESSMENT (SPA) 2024</t>
  </si>
  <si>
    <t>No. of Candidates</t>
  </si>
  <si>
    <t>No. of Credits Obtained</t>
  </si>
  <si>
    <t>5 'O' &amp; above</t>
  </si>
  <si>
    <t>3 'O' &amp; above</t>
  </si>
  <si>
    <t>%</t>
  </si>
  <si>
    <t>Total No. of Candidates</t>
  </si>
  <si>
    <t>% obtained 5'O' &amp; above</t>
  </si>
  <si>
    <t>% obtained 3'O' &amp; above</t>
  </si>
  <si>
    <t xml:space="preserve">No. Of Candidate Registered </t>
  </si>
  <si>
    <t>No. Of Candidate Sitting</t>
  </si>
  <si>
    <t>Withdrawn</t>
  </si>
  <si>
    <t>Credit Attained</t>
  </si>
  <si>
    <t>No. Of Student</t>
  </si>
  <si>
    <t>No. of 
Student</t>
  </si>
  <si>
    <t>3 or more Credits</t>
  </si>
  <si>
    <t>4 or more Credits</t>
  </si>
  <si>
    <t>5 or more Credits</t>
  </si>
  <si>
    <t>Class + No of stdn</t>
  </si>
  <si>
    <t>Class Avg</t>
  </si>
  <si>
    <t>10Sci1</t>
  </si>
  <si>
    <t>11Sci2</t>
  </si>
  <si>
    <t>11Sci3</t>
  </si>
  <si>
    <t>11P</t>
  </si>
  <si>
    <t>11E</t>
  </si>
  <si>
    <t>11A</t>
  </si>
  <si>
    <t>11R</t>
  </si>
  <si>
    <t>11L</t>
  </si>
  <si>
    <t>Menengah 4A</t>
  </si>
  <si>
    <t>B.Melayu</t>
  </si>
  <si>
    <t>English</t>
  </si>
  <si>
    <t>Maths</t>
  </si>
  <si>
    <t>Add Maths</t>
  </si>
  <si>
    <t>Physics</t>
  </si>
  <si>
    <t>Chemistry</t>
  </si>
  <si>
    <t>Biology</t>
  </si>
  <si>
    <t>Geography</t>
  </si>
  <si>
    <t>Computer</t>
  </si>
  <si>
    <t>Menengah 4B</t>
  </si>
  <si>
    <t>Economics</t>
  </si>
  <si>
    <t>POA</t>
  </si>
  <si>
    <t>Menengah 4C</t>
  </si>
  <si>
    <t>Comb Sc</t>
  </si>
  <si>
    <t>History</t>
  </si>
  <si>
    <t>IRK</t>
  </si>
  <si>
    <t>Commerce</t>
  </si>
  <si>
    <t>Agr Sc</t>
  </si>
  <si>
    <t>Menengah 4D</t>
  </si>
  <si>
    <t>Art</t>
  </si>
  <si>
    <t>Menengah 4E</t>
  </si>
  <si>
    <t>Sastera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</si>
  <si>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</si>
  <si>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</si>
  <si>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</si>
  <si>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</si>
  <si>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</si>
  <si>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</si>
  <si>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</si>
  <si>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</si>
  <si>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</si>
  <si>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</si>
  <si>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</si>
  <si>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</si>
  <si>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</si>
  <si>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</si>
  <si>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</si>
  <si>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</si>
  <si>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</si>
  <si>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Average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</si>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</sst>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0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2"/>
      <name val="Helv"/>
    </font>
    <font>
      <b/>
      <sz val="12"/>
      <color rgb="FF0000FF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1"/>
      <name val="Aptos Display"/>
      <family val="2"/>
    </font>
    <font>
      <sz val="10"/>
      <color theme="1"/>
      <name val="Aptos Display"/>
      <family val="2"/>
    </font>
    <font>
      <b/>
      <sz val="18"/>
      <color rgb="FF0000FF"/>
      <name val="Aptos Display"/>
      <family val="2"/>
    </font>
    <font>
      <b/>
      <sz val="18"/>
      <name val="Aptos Display"/>
      <family val="2"/>
    </font>
    <font>
      <sz val="14"/>
      <name val="Aptos Display"/>
      <family val="2"/>
    </font>
    <font>
      <b/>
      <sz val="12"/>
      <name val="Aptos Display"/>
      <family val="2"/>
    </font>
    <font>
      <b/>
      <sz val="16"/>
      <name val="Aptos Display"/>
      <family val="2"/>
    </font>
    <font>
      <sz val="12"/>
      <name val="Aptos Display"/>
      <family val="2"/>
    </font>
    <font>
      <b/>
      <sz val="14"/>
      <name val="Aptos Display"/>
      <family val="2"/>
    </font>
    <font>
      <b/>
      <sz val="24"/>
      <name val="Aptos Display"/>
      <family val="2"/>
    </font>
    <font>
      <b/>
      <sz val="24"/>
      <color indexed="8"/>
      <name val="Aptos Display"/>
      <family val="2"/>
    </font>
    <font>
      <sz val="12"/>
      <color indexed="8"/>
      <name val="Aptos Display"/>
      <family val="2"/>
    </font>
    <font>
      <b/>
      <sz val="9"/>
      <name val="Aptos Display"/>
      <family val="2"/>
    </font>
    <font>
      <b/>
      <sz val="11"/>
      <name val="Aptos Display"/>
      <family val="2"/>
    </font>
    <font>
      <sz val="10"/>
      <color rgb="FF000000"/>
      <name val="Aptos Display"/>
    </font>
    <font>
      <sz val="10"/>
      <color rgb="FF000000"/>
      <name val="Aptos Display"/>
      <family val="2"/>
    </font>
    <font>
      <sz val="9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9" fillId="0" borderId="0"/>
  </cellStyleXfs>
  <cellXfs count="19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21" fillId="2" borderId="0" xfId="0" applyFont="1" applyFill="1"/>
    <xf numFmtId="164" fontId="19" fillId="2" borderId="0" xfId="0" applyNumberFormat="1" applyFont="1" applyFill="1" applyAlignment="1">
      <alignment horizontal="center"/>
    </xf>
    <xf numFmtId="0" fontId="21" fillId="0" borderId="0" xfId="0" applyFont="1"/>
    <xf numFmtId="164" fontId="19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9" fontId="20" fillId="2" borderId="0" xfId="0" applyNumberFormat="1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18" fillId="8" borderId="16" xfId="1" applyFont="1" applyFill="1" applyBorder="1" applyAlignment="1">
      <alignment horizontal="center" vertical="center"/>
    </xf>
    <xf numFmtId="0" fontId="18" fillId="8" borderId="15" xfId="1" applyFont="1" applyFill="1" applyBorder="1" applyAlignment="1">
      <alignment horizontal="center" vertical="center"/>
    </xf>
    <xf numFmtId="0" fontId="12" fillId="8" borderId="17" xfId="1" applyFont="1" applyFill="1" applyBorder="1" applyAlignment="1">
      <alignment horizontal="center" vertical="center" wrapText="1"/>
    </xf>
    <xf numFmtId="0" fontId="18" fillId="8" borderId="18" xfId="1" applyFont="1" applyFill="1" applyBorder="1" applyAlignment="1">
      <alignment horizontal="center" vertical="center"/>
    </xf>
    <xf numFmtId="0" fontId="18" fillId="8" borderId="19" xfId="1" applyFont="1" applyFill="1" applyBorder="1" applyAlignment="1">
      <alignment horizontal="center" vertical="center"/>
    </xf>
    <xf numFmtId="0" fontId="18" fillId="7" borderId="9" xfId="1" applyFont="1" applyFill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165" fontId="20" fillId="0" borderId="23" xfId="1" applyNumberFormat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165" fontId="20" fillId="0" borderId="25" xfId="1" applyNumberFormat="1" applyFont="1" applyBorder="1" applyAlignment="1">
      <alignment horizontal="center" vertical="center"/>
    </xf>
    <xf numFmtId="0" fontId="18" fillId="7" borderId="26" xfId="1" applyFont="1" applyFill="1" applyBorder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/>
    </xf>
    <xf numFmtId="165" fontId="20" fillId="0" borderId="4" xfId="1" applyNumberFormat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165" fontId="20" fillId="0" borderId="29" xfId="1" applyNumberFormat="1" applyFont="1" applyBorder="1" applyAlignment="1">
      <alignment horizontal="center" vertical="center"/>
    </xf>
    <xf numFmtId="0" fontId="20" fillId="0" borderId="33" xfId="1" applyFont="1" applyBorder="1" applyAlignment="1">
      <alignment horizontal="center" vertical="center"/>
    </xf>
    <xf numFmtId="0" fontId="18" fillId="7" borderId="15" xfId="1" applyFont="1" applyFill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165" fontId="20" fillId="0" borderId="31" xfId="1" applyNumberFormat="1" applyFont="1" applyBorder="1" applyAlignment="1">
      <alignment horizontal="center" vertical="center"/>
    </xf>
    <xf numFmtId="165" fontId="20" fillId="0" borderId="32" xfId="1" applyNumberFormat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 wrapText="1"/>
    </xf>
    <xf numFmtId="165" fontId="20" fillId="0" borderId="14" xfId="1" applyNumberFormat="1" applyFont="1" applyBorder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0" fontId="18" fillId="0" borderId="17" xfId="1" applyFont="1" applyBorder="1" applyAlignment="1">
      <alignment horizontal="center" vertical="center" wrapText="1"/>
    </xf>
    <xf numFmtId="165" fontId="20" fillId="0" borderId="19" xfId="1" applyNumberFormat="1" applyFont="1" applyBorder="1" applyAlignment="1">
      <alignment horizontal="center" vertical="center"/>
    </xf>
    <xf numFmtId="0" fontId="23" fillId="0" borderId="0" xfId="1" applyFont="1" applyAlignment="1">
      <alignment horizontal="center"/>
    </xf>
    <xf numFmtId="0" fontId="11" fillId="0" borderId="0" xfId="1" applyFont="1"/>
    <xf numFmtId="0" fontId="20" fillId="0" borderId="3" xfId="1" applyFont="1" applyBorder="1" applyAlignment="1">
      <alignment horizontal="center"/>
    </xf>
    <xf numFmtId="0" fontId="20" fillId="0" borderId="0" xfId="2" applyFont="1"/>
    <xf numFmtId="0" fontId="24" fillId="0" borderId="0" xfId="1" applyFont="1"/>
    <xf numFmtId="0" fontId="18" fillId="4" borderId="3" xfId="1" applyFont="1" applyFill="1" applyBorder="1" applyAlignment="1">
      <alignment horizontal="center" vertical="center" wrapText="1"/>
    </xf>
    <xf numFmtId="0" fontId="18" fillId="4" borderId="3" xfId="1" applyFont="1" applyFill="1" applyBorder="1" applyAlignment="1">
      <alignment horizontal="center" vertical="center"/>
    </xf>
    <xf numFmtId="165" fontId="20" fillId="0" borderId="3" xfId="1" applyNumberFormat="1" applyFont="1" applyBorder="1" applyAlignment="1">
      <alignment horizontal="center"/>
    </xf>
    <xf numFmtId="0" fontId="18" fillId="0" borderId="3" xfId="1" applyFont="1" applyBorder="1" applyAlignment="1">
      <alignment horizontal="center" vertical="center"/>
    </xf>
    <xf numFmtId="0" fontId="21" fillId="0" borderId="0" xfId="3" applyFont="1" applyAlignment="1">
      <alignment horizontal="center"/>
    </xf>
    <xf numFmtId="0" fontId="25" fillId="0" borderId="3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10" fontId="20" fillId="0" borderId="3" xfId="3" applyNumberFormat="1" applyFont="1" applyBorder="1" applyAlignment="1">
      <alignment horizontal="center" vertical="center"/>
    </xf>
    <xf numFmtId="0" fontId="12" fillId="0" borderId="3" xfId="0" applyFont="1" applyBorder="1"/>
    <xf numFmtId="0" fontId="11" fillId="0" borderId="2" xfId="0" applyFont="1" applyBorder="1"/>
    <xf numFmtId="0" fontId="12" fillId="0" borderId="35" xfId="0" applyFont="1" applyBorder="1"/>
    <xf numFmtId="0" fontId="11" fillId="0" borderId="36" xfId="0" applyFont="1" applyBorder="1"/>
    <xf numFmtId="0" fontId="27" fillId="0" borderId="36" xfId="0" applyFont="1" applyBorder="1"/>
    <xf numFmtId="0" fontId="13" fillId="3" borderId="36" xfId="0" applyFont="1" applyFill="1" applyBorder="1" applyAlignment="1">
      <alignment wrapText="1"/>
    </xf>
    <xf numFmtId="0" fontId="28" fillId="0" borderId="36" xfId="0" applyFont="1" applyBorder="1"/>
    <xf numFmtId="0" fontId="29" fillId="0" borderId="2" xfId="0" applyFont="1" applyBorder="1"/>
    <xf numFmtId="0" fontId="29" fillId="0" borderId="36" xfId="0" applyFont="1" applyBorder="1"/>
    <xf numFmtId="0" fontId="18" fillId="7" borderId="37" xfId="1" applyFont="1" applyFill="1" applyBorder="1" applyAlignment="1">
      <alignment horizontal="center" vertical="center"/>
    </xf>
    <xf numFmtId="0" fontId="20" fillId="0" borderId="38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0" borderId="40" xfId="1" applyFont="1" applyBorder="1" applyAlignment="1">
      <alignment horizontal="center" vertical="center"/>
    </xf>
    <xf numFmtId="0" fontId="20" fillId="0" borderId="42" xfId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0" fontId="19" fillId="4" borderId="6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right" vertical="center"/>
    </xf>
    <xf numFmtId="0" fontId="18" fillId="6" borderId="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right" vertical="center"/>
    </xf>
    <xf numFmtId="0" fontId="20" fillId="2" borderId="8" xfId="0" applyFont="1" applyFill="1" applyBorder="1" applyAlignment="1">
      <alignment horizontal="right" vertical="center"/>
    </xf>
    <xf numFmtId="0" fontId="22" fillId="4" borderId="0" xfId="0" applyFont="1" applyFill="1" applyAlignment="1">
      <alignment horizontal="center"/>
    </xf>
    <xf numFmtId="0" fontId="22" fillId="6" borderId="0" xfId="1" applyFont="1" applyFill="1" applyAlignment="1">
      <alignment horizontal="center"/>
    </xf>
    <xf numFmtId="0" fontId="12" fillId="8" borderId="9" xfId="1" applyFont="1" applyFill="1" applyBorder="1" applyAlignment="1">
      <alignment horizontal="center" vertical="center" wrapText="1"/>
    </xf>
    <xf numFmtId="0" fontId="12" fillId="8" borderId="15" xfId="1" applyFont="1" applyFill="1" applyBorder="1" applyAlignment="1">
      <alignment horizontal="center" vertical="center"/>
    </xf>
    <xf numFmtId="0" fontId="18" fillId="8" borderId="10" xfId="1" applyFont="1" applyFill="1" applyBorder="1" applyAlignment="1">
      <alignment horizontal="center" vertical="center" wrapText="1"/>
    </xf>
    <xf numFmtId="0" fontId="18" fillId="8" borderId="11" xfId="1" applyFont="1" applyFill="1" applyBorder="1" applyAlignment="1">
      <alignment horizontal="center" vertical="center" wrapText="1"/>
    </xf>
    <xf numFmtId="0" fontId="18" fillId="8" borderId="12" xfId="1" applyFont="1" applyFill="1" applyBorder="1" applyAlignment="1">
      <alignment horizontal="center" vertical="center"/>
    </xf>
    <xf numFmtId="0" fontId="18" fillId="8" borderId="13" xfId="1" applyFont="1" applyFill="1" applyBorder="1" applyAlignment="1">
      <alignment horizontal="center" vertical="center"/>
    </xf>
    <xf numFmtId="0" fontId="18" fillId="8" borderId="14" xfId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4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18" fillId="4" borderId="1" xfId="1" applyFont="1" applyFill="1" applyBorder="1" applyAlignment="1">
      <alignment horizontal="center" vertical="center" wrapText="1"/>
    </xf>
    <xf numFmtId="0" fontId="18" fillId="4" borderId="2" xfId="1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18" fillId="0" borderId="3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</cellStyles>
  <dxfs count="0"/>
  <tableStyles count="0" defaultTableStyle="TableStyleMedium9" defaultPivotStyle="PivotStyleLight16"/>
  <colors>
    <mruColors>
      <color rgb="FF0000FF"/>
      <color rgb="FFCC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25550671155531"/>
          <c:y val="0.72613569501860664"/>
          <c:w val="0.40437985029357487"/>
          <c:h val="0.23161224754903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'SPA CHART'!$A$3</c:f>
              <c:strCache>
                <c:ptCount val="1"/>
                <c:pt idx="0">
                  <c:v>Subjects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'SPA CHART'!$A$4:$A$12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Drama</c:v>
                </c:pt>
                <c:pt idx="8">
                  <c:v>Melayu Islam Beraja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A21-4AE5-9624-987E58921DAE}"/>
            </c:ext>
          </c:extLst>
        </c:ser>
        <c:ser>
          <c:idx val="1"/>
          <c:order val="1"/>
          <c:tx>
            <c:strRef>
              <c:f>'SPA CHART'!$B$3:$C$3</c:f>
              <c:strCache>
                <c:ptCount val="2"/>
                <c:pt idx="0">
                  <c:v>%
1-6</c:v>
                </c:pt>
                <c:pt idx="1">
                  <c:v>%
1-8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'SPA CHART'!$A$4:$A$12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Drama</c:v>
                </c:pt>
                <c:pt idx="8">
                  <c:v>Melayu Islam Beraja</c:v>
                </c:pt>
              </c:strCache>
            </c:strRef>
          </c:cat>
          <c:val>
            <c:numRef>
              <c:f>'SPA CHART'!$B$4:$B$12</c:f>
              <c:numCache>
                <c:formatCode>0.0</c:formatCode>
                <c:ptCount val="9"/>
                <c:pt idx="0">
                  <c:v>76.073619631901849</c:v>
                </c:pt>
                <c:pt idx="1">
                  <c:v>85.430463576158942</c:v>
                </c:pt>
                <c:pt idx="2">
                  <c:v>62.576687116564422</c:v>
                </c:pt>
                <c:pt idx="3">
                  <c:v>69.938650306748457</c:v>
                </c:pt>
                <c:pt idx="4">
                  <c:v>31.901840490797547</c:v>
                </c:pt>
                <c:pt idx="5">
                  <c:v>27.607361963190186</c:v>
                </c:pt>
                <c:pt idx="6">
                  <c:v>59.523809523809526</c:v>
                </c:pt>
                <c:pt idx="7">
                  <c:v>100</c:v>
                </c:pt>
                <c:pt idx="8">
                  <c:v>74.846625766871171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1-4AE5-9624-987E58921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49408"/>
        <c:axId val="137692672"/>
      </c:barChart>
      <c:catAx>
        <c:axId val="13644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692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9267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800"/>
                  <a:t>Percentage</a:t>
                </a:r>
              </a:p>
            </c:rich>
          </c:tx>
          <c:layout>
            <c:manualLayout>
              <c:xMode val="edge"/>
              <c:yMode val="edge"/>
              <c:x val="9.1645410520867984E-3"/>
              <c:y val="0.399114727883894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4494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&amp;CSEKOLAH MENENGAH PENGIRAN ANAK PUTERI HAJAH MASNA
YEAR 8, ASSESSMENT 1 2022</c:oddHeader>
      <c:oddFooter>&amp;LExam Dept SMPAPHM&amp;CYEAR 8</c:oddFooter>
    </c:headerFooter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94970077199816E-2"/>
          <c:y val="2.6119402985074626E-2"/>
          <c:w val="0.80254839469639072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'SPA CHART'!$B$3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cat>
            <c:strRef>
              <c:f>'SPA CHART'!$A$4:$A$12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Drama</c:v>
                </c:pt>
                <c:pt idx="8">
                  <c:v>Melayu Islam Beraja</c:v>
                </c:pt>
              </c:strCache>
            </c:strRef>
          </c:cat>
          <c:val>
            <c:numRef>
              <c:f>'SPA CHART'!$B$4:$B$12</c:f>
              <c:numCache>
                <c:formatCode>0.0</c:formatCode>
                <c:ptCount val="9"/>
                <c:pt idx="0">
                  <c:v>76.073619631901849</c:v>
                </c:pt>
                <c:pt idx="1">
                  <c:v>85.430463576158942</c:v>
                </c:pt>
                <c:pt idx="2">
                  <c:v>62.576687116564422</c:v>
                </c:pt>
                <c:pt idx="3">
                  <c:v>69.938650306748457</c:v>
                </c:pt>
                <c:pt idx="4">
                  <c:v>31.901840490797547</c:v>
                </c:pt>
                <c:pt idx="5">
                  <c:v>27.607361963190186</c:v>
                </c:pt>
                <c:pt idx="6">
                  <c:v>59.523809523809526</c:v>
                </c:pt>
                <c:pt idx="7">
                  <c:v>100</c:v>
                </c:pt>
                <c:pt idx="8">
                  <c:v>74.846625766871171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F-4012-81DC-D968BDA460B7}"/>
            </c:ext>
          </c:extLst>
        </c:ser>
        <c:ser>
          <c:idx val="1"/>
          <c:order val="1"/>
          <c:tx>
            <c:strRef>
              <c:f>'SPA CHART'!$C$3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CC00FF"/>
            </a:solidFill>
          </c:spPr>
          <c:invertIfNegative val="0"/>
          <c:cat>
            <c:strRef>
              <c:f>'SPA CHART'!$A$4:$A$12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Drama</c:v>
                </c:pt>
                <c:pt idx="8">
                  <c:v>Melayu Islam Beraja</c:v>
                </c:pt>
              </c:strCache>
            </c:strRef>
          </c:cat>
          <c:val>
            <c:numRef>
              <c:f>'SPA CHART'!$C$4:$C$12</c:f>
              <c:numCache>
                <c:formatCode>0.0</c:formatCode>
                <c:ptCount val="9"/>
                <c:pt idx="0">
                  <c:v>90.797546012269933</c:v>
                </c:pt>
                <c:pt idx="1">
                  <c:v>99.337748344370851</c:v>
                </c:pt>
                <c:pt idx="2">
                  <c:v>83.435582822085891</c:v>
                </c:pt>
                <c:pt idx="3">
                  <c:v>91.411042944785279</c:v>
                </c:pt>
                <c:pt idx="4">
                  <c:v>64.417177914110425</c:v>
                </c:pt>
                <c:pt idx="5">
                  <c:v>69.938650306748457</c:v>
                </c:pt>
                <c:pt idx="6">
                  <c:v>83.333333333333343</c:v>
                </c:pt>
                <c:pt idx="7">
                  <c:v>100</c:v>
                </c:pt>
                <c:pt idx="8">
                  <c:v>89.570552147239269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F-4012-81DC-D968BDA4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89344"/>
        <c:axId val="139291264"/>
      </c:barChart>
      <c:catAx>
        <c:axId val="13928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291264"/>
        <c:crosses val="autoZero"/>
        <c:auto val="1"/>
        <c:lblAlgn val="ctr"/>
        <c:lblOffset val="100"/>
        <c:noMultiLvlLbl val="0"/>
      </c:catAx>
      <c:valAx>
        <c:axId val="139291264"/>
        <c:scaling>
          <c:orientation val="minMax"/>
          <c:max val="10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392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572301605901997"/>
          <c:y val="0.4219920797402163"/>
          <c:w val="5.2687106760079948E-2"/>
          <c:h val="0.14710287286718809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printSettings>
    <c:headerFooter>
      <c:oddHeader>&amp;CSEKOLAH MENENGAH PENGIRAN ANAK PUTERI HAJAH MASNA
YEAR 8 STUDENT PROGRESS ASSESSMENT 2024 (SPA)</c:oddHeader>
    </c:headerFooter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485678054531"/>
          <c:y val="9.7297425698672002E-2"/>
          <c:w val="0.8493793649875987"/>
          <c:h val="0.69729821750714938"/>
        </c:manualLayout>
      </c:layout>
      <c:barChart>
        <c:barDir val="col"/>
        <c:grouping val="clustered"/>
        <c:varyColors val="0"/>
        <c:ser>
          <c:idx val="0"/>
          <c:order val="0"/>
          <c:tx>
            <c:v>Class Avg</c:v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10"/>
              <c:pt idx="0">
                <c:v>9</c:v>
              </c:pt>
              <c:pt idx="1">
                <c:v>8</c:v>
              </c:pt>
              <c:pt idx="2">
                <c:v>7</c:v>
              </c:pt>
              <c:pt idx="3">
                <c:v>6</c:v>
              </c:pt>
              <c:pt idx="4">
                <c:v>5</c:v>
              </c:pt>
              <c:pt idx="5">
                <c:v>4</c:v>
              </c:pt>
              <c:pt idx="6">
                <c:v>3</c:v>
              </c:pt>
              <c:pt idx="7">
                <c:v>2</c:v>
              </c:pt>
              <c:pt idx="8">
                <c:v>1</c:v>
              </c:pt>
              <c:pt idx="9">
                <c:v>0</c:v>
              </c:pt>
            </c:numLit>
          </c:cat>
          <c:val>
            <c:numLit>
              <c:formatCode>General</c:formatCode>
              <c:ptCount val="10"/>
              <c:pt idx="0">
                <c:v>1.0050251256281407E-2</c:v>
              </c:pt>
              <c:pt idx="1">
                <c:v>2.5125628140703519E-2</c:v>
              </c:pt>
              <c:pt idx="2">
                <c:v>2.5125628140703519E-2</c:v>
              </c:pt>
              <c:pt idx="3">
                <c:v>2.5125628140703519E-2</c:v>
              </c:pt>
              <c:pt idx="4">
                <c:v>7.5376884422110546E-2</c:v>
              </c:pt>
              <c:pt idx="5">
                <c:v>0.1407035175879397</c:v>
              </c:pt>
              <c:pt idx="6">
                <c:v>0.14572864321608039</c:v>
              </c:pt>
              <c:pt idx="7">
                <c:v>0.22613065326633167</c:v>
              </c:pt>
              <c:pt idx="8">
                <c:v>0.23115577889447236</c:v>
              </c:pt>
              <c:pt idx="9">
                <c:v>9.5477386934673364E-2</c:v>
              </c:pt>
            </c:numLit>
          </c:val>
          <c:extLst>
            <c:ext xmlns:c16="http://schemas.microsoft.com/office/drawing/2014/chart" uri="{C3380CC4-5D6E-409C-BE32-E72D297353CC}">
              <c16:uniqueId val="{00000000-CC81-400A-B1ED-7BBDBB01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54184192"/>
        <c:axId val="54186368"/>
      </c:barChart>
      <c:catAx>
        <c:axId val="5418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Credits Attained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86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8636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3.1979457852321307E-2"/>
              <c:y val="0.368528759486459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84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000000000000011" l="0.70000000000000007" r="0.70000000000000007" t="0.75000000000000011" header="0.30000000000000004" footer="0.30000000000000004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 (SPA)'!$D$7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 (SPA)'!$A$8:$A$16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cat>
          <c:val>
            <c:numRef>
              <c:f>'No.of Credits Attained (SPA)'!$D$8:$D$16</c:f>
              <c:numCache>
                <c:formatCode>0.0%</c:formatCode>
                <c:ptCount val="9"/>
                <c:pt idx="0">
                  <c:v>0.19018404907975461</c:v>
                </c:pt>
                <c:pt idx="1">
                  <c:v>0.12269938650306748</c:v>
                </c:pt>
                <c:pt idx="2">
                  <c:v>0.15337423312883436</c:v>
                </c:pt>
                <c:pt idx="3">
                  <c:v>0.11042944785276074</c:v>
                </c:pt>
                <c:pt idx="4">
                  <c:v>0.13496932515337423</c:v>
                </c:pt>
                <c:pt idx="5">
                  <c:v>6.1349693251533742E-2</c:v>
                </c:pt>
                <c:pt idx="6">
                  <c:v>7.3619631901840496E-2</c:v>
                </c:pt>
                <c:pt idx="7">
                  <c:v>8.5889570552147243E-2</c:v>
                </c:pt>
                <c:pt idx="8">
                  <c:v>6.7484662576687116E-2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6C3-9396-E4E0770F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54196480"/>
        <c:axId val="54263808"/>
      </c:barChart>
      <c:catAx>
        <c:axId val="5419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263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380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9648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CLASS</a:t>
            </a:r>
            <a:r>
              <a:rPr lang="en-US" baseline="0"/>
              <a:t> AVERAGE MARKS</a:t>
            </a:r>
          </a:p>
          <a:p>
            <a:pPr algn="ctr">
              <a:defRPr/>
            </a:pPr>
            <a:r>
              <a:rPr lang="en-US" sz="1800" b="1" i="0" baseline="0">
                <a:effectLst/>
              </a:rPr>
              <a:t>YEAR 10Sci1 &amp; YEAR 11, 2015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0442005560115798"/>
          <c:y val="0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3256493476797127"/>
          <c:y val="0.12701263330570189"/>
          <c:w val="0.84870376715581597"/>
          <c:h val="0.703041759001983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'class avg'!$B$2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avg'!$A$3:$A$10</c:f>
              <c:strCache>
                <c:ptCount val="8"/>
                <c:pt idx="0">
                  <c:v>10Sci1</c:v>
                </c:pt>
                <c:pt idx="1">
                  <c:v>11Sci2</c:v>
                </c:pt>
                <c:pt idx="2">
                  <c:v>11Sci3</c:v>
                </c:pt>
                <c:pt idx="3">
                  <c:v>11P</c:v>
                </c:pt>
                <c:pt idx="4">
                  <c:v>11E</c:v>
                </c:pt>
                <c:pt idx="5">
                  <c:v>11A</c:v>
                </c:pt>
                <c:pt idx="6">
                  <c:v>11R</c:v>
                </c:pt>
                <c:pt idx="7">
                  <c:v>11L</c:v>
                </c:pt>
              </c:strCache>
            </c:strRef>
          </c:cat>
          <c:val>
            <c:numRef>
              <c:f>'class avg'!$B$3:$B$10</c:f>
              <c:numCache>
                <c:formatCode>0.0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C8B-4D6F-B2CF-514594E4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54461184"/>
        <c:axId val="54463104"/>
        <c:axId val="0"/>
      </c:bar3DChart>
      <c:catAx>
        <c:axId val="544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Class</a:t>
                </a:r>
                <a:r>
                  <a:rPr lang="en-US" sz="1100" baseline="0"/>
                  <a:t>  &amp; No of students</a:t>
                </a:r>
                <a:endParaRPr lang="en-US" sz="11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54463104"/>
        <c:crosses val="autoZero"/>
        <c:auto val="1"/>
        <c:lblAlgn val="ctr"/>
        <c:lblOffset val="100"/>
        <c:noMultiLvlLbl val="0"/>
      </c:catAx>
      <c:valAx>
        <c:axId val="5446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Class</a:t>
                </a:r>
                <a:r>
                  <a:rPr lang="en-US" sz="1200" baseline="0"/>
                  <a:t> Average</a:t>
                </a:r>
                <a:endParaRPr lang="en-US" sz="12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crossAx val="544611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C6-4C12-B1BC-862F7E25F7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2C6-4C12-B1BC-862F7E25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7008"/>
        <c:axId val="54508544"/>
      </c:barChart>
      <c:catAx>
        <c:axId val="545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0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0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07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8FFC-4E58-A0A0-1645B4051171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8FFC-4E58-A0A0-1645B405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448"/>
        <c:axId val="54595968"/>
      </c:barChart>
      <c:catAx>
        <c:axId val="5452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5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20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36082777342564"/>
          <c:y val="0.4835795780285761"/>
          <c:w val="7.8680239611122235E-2"/>
          <c:h val="0.12344303045694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74083</xdr:colOff>
      <xdr:row>2</xdr:row>
      <xdr:rowOff>25823</xdr:rowOff>
    </xdr:from>
    <xdr:to>
      <xdr:col>16</xdr:col>
      <xdr:colOff>510886</xdr:colOff>
      <xdr:row>33</xdr:row>
      <xdr:rowOff>42333</xdr:rowOff>
    </xdr:to>
    <xdr:graphicFrame macro="">
      <xdr:nvGraphicFramePr>
        <xdr:cNvPr id="3766" name="Chart 1">
          <a:extLst>
            <a:ext uri="{FF2B5EF4-FFF2-40B4-BE49-F238E27FC236}">
              <a16:creationId xmlns:a16="http://schemas.microsoft.com/office/drawing/2014/main" id="{EC9C1E4C-A11D-4631-B592-677A85712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4</xdr:row>
      <xdr:rowOff>29209</xdr:rowOff>
    </xdr:from>
    <xdr:to>
      <xdr:col>16</xdr:col>
      <xdr:colOff>441614</xdr:colOff>
      <xdr:row>33</xdr:row>
      <xdr:rowOff>28222</xdr:rowOff>
    </xdr:to>
    <xdr:graphicFrame macro="">
      <xdr:nvGraphicFramePr>
        <xdr:cNvPr id="3767" name="Chart 2">
          <a:extLst>
            <a:ext uri="{FF2B5EF4-FFF2-40B4-BE49-F238E27FC236}">
              <a16:creationId xmlns:a16="http://schemas.microsoft.com/office/drawing/2014/main" id="{3C9A48C2-D04F-44BF-BC50-ADED6BD7C6C4}"/>
            </a:ext>
            <a:ext uri="{147F2762-F138-4A5C-976F-8EAC2B608ADB}">
              <a16:predDERef xmlns:a16="http://schemas.microsoft.com/office/drawing/2014/main" pred="{EC9C1E4C-A11D-4631-B592-677A85712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5</xdr:row>
      <xdr:rowOff>83820</xdr:rowOff>
    </xdr:from>
    <xdr:to>
      <xdr:col>19</xdr:col>
      <xdr:colOff>0</xdr:colOff>
      <xdr:row>22</xdr:row>
      <xdr:rowOff>200025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FBC0FE9-14CC-4E85-A3BB-41CA15E5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6</xdr:row>
      <xdr:rowOff>207645</xdr:rowOff>
    </xdr:from>
    <xdr:to>
      <xdr:col>18</xdr:col>
      <xdr:colOff>428625</xdr:colOff>
      <xdr:row>21</xdr:row>
      <xdr:rowOff>62865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C37C9-AC9B-40B0-BB4E-E5331654D5D4}"/>
            </a:ext>
            <a:ext uri="{147F2762-F138-4A5C-976F-8EAC2B608ADB}">
              <a16:predDERef xmlns:a16="http://schemas.microsoft.com/office/drawing/2014/main" pred="{EFBC0FE9-14CC-4E85-A3BB-41CA15E5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38100</xdr:rowOff>
    </xdr:from>
    <xdr:to>
      <xdr:col>13</xdr:col>
      <xdr:colOff>487680</xdr:colOff>
      <xdr:row>32</xdr:row>
      <xdr:rowOff>160020</xdr:rowOff>
    </xdr:to>
    <xdr:graphicFrame macro="">
      <xdr:nvGraphicFramePr>
        <xdr:cNvPr id="4640" name="Chart 2">
          <a:extLst>
            <a:ext uri="{FF2B5EF4-FFF2-40B4-BE49-F238E27FC236}">
              <a16:creationId xmlns:a16="http://schemas.microsoft.com/office/drawing/2014/main" id="{3A0B247F-4CB0-4C3D-A7E4-309B789BF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137</xdr:row>
      <xdr:rowOff>0</xdr:rowOff>
    </xdr:from>
    <xdr:to>
      <xdr:col>15</xdr:col>
      <xdr:colOff>502920</xdr:colOff>
      <xdr:row>137</xdr:row>
      <xdr:rowOff>0</xdr:rowOff>
    </xdr:to>
    <xdr:graphicFrame macro="">
      <xdr:nvGraphicFramePr>
        <xdr:cNvPr id="1719902" name="Chart 1">
          <a:extLst>
            <a:ext uri="{FF2B5EF4-FFF2-40B4-BE49-F238E27FC236}">
              <a16:creationId xmlns:a16="http://schemas.microsoft.com/office/drawing/2014/main" id="{0E88A048-A750-4AE7-B76E-BF58CA8A0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106680</xdr:colOff>
      <xdr:row>137</xdr:row>
      <xdr:rowOff>0</xdr:rowOff>
    </xdr:from>
    <xdr:to>
      <xdr:col>2</xdr:col>
      <xdr:colOff>381000</xdr:colOff>
      <xdr:row>137</xdr:row>
      <xdr:rowOff>0</xdr:rowOff>
    </xdr:to>
    <xdr:sp macro="" textlink="">
      <xdr:nvSpPr>
        <xdr:cNvPr id="1719903" name="AutoShape 2">
          <a:extLst>
            <a:ext uri="{FF2B5EF4-FFF2-40B4-BE49-F238E27FC236}">
              <a16:creationId xmlns:a16="http://schemas.microsoft.com/office/drawing/2014/main" id="{CC6C93E2-213F-47B9-B8D7-009AD200CFF0}"/>
            </a:ext>
          </a:extLst>
        </xdr:cNvPr>
        <xdr:cNvSpPr>
          <a:spLocks noChangeArrowheads="1"/>
        </xdr:cNvSpPr>
      </xdr:nvSpPr>
      <xdr:spPr bwMode="auto">
        <a:xfrm>
          <a:off x="1234440" y="29405580"/>
          <a:ext cx="119634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45720</xdr:colOff>
      <xdr:row>159</xdr:row>
      <xdr:rowOff>137160</xdr:rowOff>
    </xdr:from>
    <xdr:to>
      <xdr:col>28</xdr:col>
      <xdr:colOff>563880</xdr:colOff>
      <xdr:row>183</xdr:row>
      <xdr:rowOff>106680</xdr:rowOff>
    </xdr:to>
    <xdr:graphicFrame macro="">
      <xdr:nvGraphicFramePr>
        <xdr:cNvPr id="1719904" name="Chart 3">
          <a:extLst>
            <a:ext uri="{FF2B5EF4-FFF2-40B4-BE49-F238E27FC236}">
              <a16:creationId xmlns:a16="http://schemas.microsoft.com/office/drawing/2014/main" id="{C1BEFC13-3D63-4E64-BAB4-86A2698A86E3}"/>
            </a:ext>
            <a:ext uri="{147F2762-F138-4A5C-976F-8EAC2B608ADB}">
              <a16:predDERef xmlns:a16="http://schemas.microsoft.com/office/drawing/2014/main" pred="{CC6C93E2-213F-47B9-B8D7-009AD200C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C%20SPA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H%20SPA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A%20SPA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SPA2025/YR8M%20SPA2025.xlsx" TargetMode="External"/><Relationship Id="rId1" Type="http://schemas.openxmlformats.org/officeDocument/2006/relationships/externalLinkPath" Target="/personal/exam_section_smpapmasna_edu_moe_bn/Documents/EXAM%20SECTION%20SMPAPHM/MASTERMARK%20SHEETS/MMS%202025/SPA2025/YR8M%20SPA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P%20SPA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I%20SPA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O%20SPA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A2025/YR8N%20SPA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C%20SPE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A%20SPE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M%20SPE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H%20SPE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SPE2025/YR8P%20SPE2025.xlsx" TargetMode="External"/><Relationship Id="rId1" Type="http://schemas.openxmlformats.org/officeDocument/2006/relationships/externalLinkPath" Target="/personal/exam_section_smpapmasna_edu_moe_bn/Documents/EXAM%20SECTION%20SMPAPHM/MASTERMARK%20SHEETS/MMS%202025/SPE2025/YR8P%20SPE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I%20SPE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O%20SPE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SPE2025/YR8N%20SPE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OPXJJZ5WGIX5FLXZBF7C24J6P5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34">
          <cell r="Q34">
            <v>0</v>
          </cell>
          <cell r="Z34">
            <v>3</v>
          </cell>
          <cell r="AI34">
            <v>0</v>
          </cell>
          <cell r="AR34">
            <v>0</v>
          </cell>
          <cell r="BA34">
            <v>2</v>
          </cell>
          <cell r="BJ34">
            <v>1</v>
          </cell>
          <cell r="BS34">
            <v>0</v>
          </cell>
          <cell r="CB34">
            <v>0</v>
          </cell>
        </row>
        <row r="35">
          <cell r="Q35">
            <v>2</v>
          </cell>
          <cell r="Z35">
            <v>11</v>
          </cell>
          <cell r="AI35">
            <v>3</v>
          </cell>
          <cell r="AR35">
            <v>0</v>
          </cell>
          <cell r="BA35">
            <v>6</v>
          </cell>
          <cell r="BJ35">
            <v>11</v>
          </cell>
          <cell r="BS35">
            <v>5</v>
          </cell>
          <cell r="CB35">
            <v>12</v>
          </cell>
        </row>
        <row r="36">
          <cell r="Q36">
            <v>12</v>
          </cell>
          <cell r="Z36">
            <v>6</v>
          </cell>
          <cell r="AI36">
            <v>5</v>
          </cell>
          <cell r="AR36">
            <v>0</v>
          </cell>
          <cell r="BA36">
            <v>10</v>
          </cell>
          <cell r="BJ36">
            <v>7</v>
          </cell>
          <cell r="BS36">
            <v>6</v>
          </cell>
          <cell r="CB36">
            <v>8</v>
          </cell>
          <cell r="DA36">
            <v>13</v>
          </cell>
        </row>
        <row r="37">
          <cell r="Q37">
            <v>4</v>
          </cell>
          <cell r="Z37">
            <v>0</v>
          </cell>
          <cell r="AI37">
            <v>8</v>
          </cell>
          <cell r="AR37">
            <v>2</v>
          </cell>
          <cell r="BA37">
            <v>1</v>
          </cell>
          <cell r="BJ37">
            <v>1</v>
          </cell>
          <cell r="BS37">
            <v>7</v>
          </cell>
          <cell r="CB37">
            <v>0</v>
          </cell>
          <cell r="DA37">
            <v>6</v>
          </cell>
        </row>
        <row r="38">
          <cell r="Q38">
            <v>2</v>
          </cell>
          <cell r="Z38">
            <v>0</v>
          </cell>
          <cell r="AI38">
            <v>1</v>
          </cell>
          <cell r="AR38">
            <v>5</v>
          </cell>
          <cell r="BA38">
            <v>1</v>
          </cell>
          <cell r="BJ38">
            <v>0</v>
          </cell>
          <cell r="BS38">
            <v>1</v>
          </cell>
          <cell r="CB38">
            <v>0</v>
          </cell>
          <cell r="DA38">
            <v>1</v>
          </cell>
        </row>
        <row r="39">
          <cell r="Q39">
            <v>0</v>
          </cell>
          <cell r="Z39">
            <v>0</v>
          </cell>
          <cell r="AI39">
            <v>1</v>
          </cell>
          <cell r="AR39">
            <v>7</v>
          </cell>
          <cell r="BA39">
            <v>0</v>
          </cell>
          <cell r="BJ39">
            <v>0</v>
          </cell>
          <cell r="BS39">
            <v>1</v>
          </cell>
          <cell r="CB39">
            <v>0</v>
          </cell>
          <cell r="DA39">
            <v>0</v>
          </cell>
        </row>
        <row r="40">
          <cell r="Q40">
            <v>0</v>
          </cell>
          <cell r="Z40">
            <v>0</v>
          </cell>
          <cell r="AI40">
            <v>2</v>
          </cell>
          <cell r="AR40">
            <v>6</v>
          </cell>
          <cell r="BA40">
            <v>0</v>
          </cell>
          <cell r="BJ40">
            <v>0</v>
          </cell>
          <cell r="BS40">
            <v>0</v>
          </cell>
          <cell r="CB40">
            <v>0</v>
          </cell>
          <cell r="DA40">
            <v>0</v>
          </cell>
        </row>
        <row r="41">
          <cell r="Q41">
            <v>0</v>
          </cell>
          <cell r="Z41">
            <v>0</v>
          </cell>
          <cell r="AI41">
            <v>0</v>
          </cell>
          <cell r="AR41">
            <v>0</v>
          </cell>
          <cell r="BA41">
            <v>0</v>
          </cell>
          <cell r="BJ41">
            <v>0</v>
          </cell>
          <cell r="BS41">
            <v>0</v>
          </cell>
          <cell r="CB41">
            <v>0</v>
          </cell>
          <cell r="DA41">
            <v>0</v>
          </cell>
        </row>
        <row r="42">
          <cell r="Q42">
            <v>0</v>
          </cell>
          <cell r="Z42">
            <v>0</v>
          </cell>
          <cell r="AI42">
            <v>0</v>
          </cell>
          <cell r="AR42">
            <v>0</v>
          </cell>
          <cell r="BA42">
            <v>0</v>
          </cell>
          <cell r="BJ42">
            <v>0</v>
          </cell>
          <cell r="BS42">
            <v>0</v>
          </cell>
          <cell r="CB42">
            <v>0</v>
          </cell>
          <cell r="DA42">
            <v>0</v>
          </cell>
        </row>
        <row r="43">
          <cell r="DA43">
            <v>0</v>
          </cell>
        </row>
        <row r="44">
          <cell r="DA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NP6BWUBJTINBKM2TSU4Y4Y5ZI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34">
          <cell r="Q34">
            <v>0</v>
          </cell>
          <cell r="Z34">
            <v>1</v>
          </cell>
          <cell r="AI34">
            <v>0</v>
          </cell>
          <cell r="AR34">
            <v>0</v>
          </cell>
          <cell r="BA34">
            <v>2</v>
          </cell>
          <cell r="BJ34">
            <v>0</v>
          </cell>
          <cell r="BS34">
            <v>2</v>
          </cell>
          <cell r="CB34">
            <v>0</v>
          </cell>
        </row>
        <row r="35">
          <cell r="Q35">
            <v>0</v>
          </cell>
          <cell r="Z35">
            <v>10</v>
          </cell>
          <cell r="AI35">
            <v>2</v>
          </cell>
          <cell r="AR35">
            <v>0</v>
          </cell>
          <cell r="BA35">
            <v>10</v>
          </cell>
          <cell r="BJ35">
            <v>9</v>
          </cell>
          <cell r="BS35">
            <v>8</v>
          </cell>
          <cell r="CB35">
            <v>11</v>
          </cell>
        </row>
        <row r="36">
          <cell r="Q36">
            <v>4</v>
          </cell>
          <cell r="Z36">
            <v>1</v>
          </cell>
          <cell r="AI36">
            <v>5</v>
          </cell>
          <cell r="AR36">
            <v>3</v>
          </cell>
          <cell r="BA36">
            <v>1</v>
          </cell>
          <cell r="BJ36">
            <v>8</v>
          </cell>
          <cell r="BS36">
            <v>2</v>
          </cell>
          <cell r="CB36">
            <v>4</v>
          </cell>
          <cell r="CY36">
            <v>14</v>
          </cell>
          <cell r="DA36">
            <v>14</v>
          </cell>
        </row>
        <row r="37">
          <cell r="Q37">
            <v>8</v>
          </cell>
          <cell r="Z37">
            <v>5</v>
          </cell>
          <cell r="AI37">
            <v>3</v>
          </cell>
          <cell r="AR37">
            <v>2</v>
          </cell>
          <cell r="BA37">
            <v>2</v>
          </cell>
          <cell r="BJ37">
            <v>2</v>
          </cell>
          <cell r="BS37">
            <v>4</v>
          </cell>
          <cell r="CB37">
            <v>4</v>
          </cell>
          <cell r="CY37">
            <v>1</v>
          </cell>
          <cell r="DA37">
            <v>1</v>
          </cell>
        </row>
        <row r="38">
          <cell r="Q38">
            <v>7</v>
          </cell>
          <cell r="Z38">
            <v>3</v>
          </cell>
          <cell r="AI38">
            <v>3</v>
          </cell>
          <cell r="AR38">
            <v>3</v>
          </cell>
          <cell r="BA38">
            <v>1</v>
          </cell>
          <cell r="BJ38">
            <v>0</v>
          </cell>
          <cell r="BS38">
            <v>3</v>
          </cell>
          <cell r="CB38">
            <v>0</v>
          </cell>
          <cell r="CY38">
            <v>3</v>
          </cell>
          <cell r="DA38">
            <v>3</v>
          </cell>
        </row>
        <row r="39">
          <cell r="Q39">
            <v>1</v>
          </cell>
          <cell r="Z39">
            <v>0</v>
          </cell>
          <cell r="AI39">
            <v>2</v>
          </cell>
          <cell r="AR39">
            <v>6</v>
          </cell>
          <cell r="BA39">
            <v>2</v>
          </cell>
          <cell r="BJ39">
            <v>1</v>
          </cell>
          <cell r="BS39">
            <v>0</v>
          </cell>
          <cell r="CB39">
            <v>1</v>
          </cell>
          <cell r="CY39">
            <v>1</v>
          </cell>
          <cell r="DA39">
            <v>1</v>
          </cell>
        </row>
        <row r="40">
          <cell r="Q40">
            <v>0</v>
          </cell>
          <cell r="Z40">
            <v>0</v>
          </cell>
          <cell r="AI40">
            <v>3</v>
          </cell>
          <cell r="AR40">
            <v>6</v>
          </cell>
          <cell r="BA40">
            <v>1</v>
          </cell>
          <cell r="BJ40">
            <v>0</v>
          </cell>
          <cell r="BS40">
            <v>1</v>
          </cell>
          <cell r="CB40">
            <v>0</v>
          </cell>
          <cell r="CY40">
            <v>1</v>
          </cell>
          <cell r="DA40">
            <v>1</v>
          </cell>
        </row>
        <row r="41">
          <cell r="Q41">
            <v>0</v>
          </cell>
          <cell r="Z41">
            <v>0</v>
          </cell>
          <cell r="AI41">
            <v>2</v>
          </cell>
          <cell r="AR41">
            <v>0</v>
          </cell>
          <cell r="BA41">
            <v>1</v>
          </cell>
          <cell r="BJ41">
            <v>0</v>
          </cell>
          <cell r="BS41">
            <v>0</v>
          </cell>
          <cell r="CB41">
            <v>0</v>
          </cell>
          <cell r="CY41">
            <v>0</v>
          </cell>
          <cell r="DA41">
            <v>0</v>
          </cell>
        </row>
        <row r="42">
          <cell r="Q42">
            <v>0</v>
          </cell>
          <cell r="Z42">
            <v>0</v>
          </cell>
          <cell r="AI42">
            <v>0</v>
          </cell>
          <cell r="AR42">
            <v>0</v>
          </cell>
          <cell r="BA42">
            <v>0</v>
          </cell>
          <cell r="BJ42">
            <v>0</v>
          </cell>
          <cell r="BS42">
            <v>0</v>
          </cell>
          <cell r="CB42">
            <v>0</v>
          </cell>
          <cell r="CY42">
            <v>0</v>
          </cell>
          <cell r="DA42">
            <v>0</v>
          </cell>
        </row>
        <row r="43">
          <cell r="CY43">
            <v>0</v>
          </cell>
          <cell r="DA43">
            <v>0</v>
          </cell>
        </row>
        <row r="44">
          <cell r="CY44">
            <v>0</v>
          </cell>
          <cell r="DA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ZXVES7UQBV5ALOELALVYMGG2G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49">
          <cell r="Q49">
            <v>0</v>
          </cell>
          <cell r="Z49">
            <v>0</v>
          </cell>
          <cell r="AI49">
            <v>0</v>
          </cell>
          <cell r="AR49">
            <v>0</v>
          </cell>
          <cell r="BA49">
            <v>0</v>
          </cell>
          <cell r="BJ49">
            <v>0</v>
          </cell>
          <cell r="BS49">
            <v>1</v>
          </cell>
          <cell r="CK49">
            <v>0</v>
          </cell>
        </row>
        <row r="50">
          <cell r="Q50">
            <v>0</v>
          </cell>
          <cell r="Z50">
            <v>3</v>
          </cell>
          <cell r="AI50">
            <v>0</v>
          </cell>
          <cell r="AR50">
            <v>0</v>
          </cell>
          <cell r="BA50">
            <v>9</v>
          </cell>
          <cell r="BJ50">
            <v>3</v>
          </cell>
          <cell r="BS50">
            <v>14</v>
          </cell>
          <cell r="CK50">
            <v>3</v>
          </cell>
        </row>
        <row r="51">
          <cell r="Q51">
            <v>4</v>
          </cell>
          <cell r="Z51">
            <v>14</v>
          </cell>
          <cell r="AI51">
            <v>1</v>
          </cell>
          <cell r="AR51">
            <v>0</v>
          </cell>
          <cell r="BA51">
            <v>3</v>
          </cell>
          <cell r="BJ51">
            <v>8</v>
          </cell>
          <cell r="BS51">
            <v>4</v>
          </cell>
          <cell r="CK51">
            <v>4</v>
          </cell>
          <cell r="CY51">
            <v>2</v>
          </cell>
        </row>
        <row r="52">
          <cell r="Q52">
            <v>8</v>
          </cell>
          <cell r="Z52">
            <v>6</v>
          </cell>
          <cell r="AI52">
            <v>3</v>
          </cell>
          <cell r="AR52">
            <v>0</v>
          </cell>
          <cell r="BA52">
            <v>7</v>
          </cell>
          <cell r="BJ52">
            <v>6</v>
          </cell>
          <cell r="BS52">
            <v>4</v>
          </cell>
          <cell r="CK52">
            <v>3</v>
          </cell>
          <cell r="CY52">
            <v>9</v>
          </cell>
        </row>
        <row r="53">
          <cell r="Q53">
            <v>7</v>
          </cell>
          <cell r="Z53">
            <v>0</v>
          </cell>
          <cell r="AI53">
            <v>4</v>
          </cell>
          <cell r="AR53">
            <v>1</v>
          </cell>
          <cell r="BA53">
            <v>1</v>
          </cell>
          <cell r="BJ53">
            <v>2</v>
          </cell>
          <cell r="BS53">
            <v>0</v>
          </cell>
          <cell r="CK53">
            <v>2</v>
          </cell>
          <cell r="CY53">
            <v>8</v>
          </cell>
        </row>
        <row r="54">
          <cell r="Q54">
            <v>2</v>
          </cell>
          <cell r="Z54">
            <v>0</v>
          </cell>
          <cell r="AI54">
            <v>3</v>
          </cell>
          <cell r="AR54">
            <v>5</v>
          </cell>
          <cell r="BA54">
            <v>2</v>
          </cell>
          <cell r="BJ54">
            <v>2</v>
          </cell>
          <cell r="BS54">
            <v>0</v>
          </cell>
          <cell r="CK54">
            <v>6</v>
          </cell>
          <cell r="CY54">
            <v>2</v>
          </cell>
        </row>
        <row r="55">
          <cell r="Q55">
            <v>2</v>
          </cell>
          <cell r="Z55">
            <v>0</v>
          </cell>
          <cell r="AI55">
            <v>7</v>
          </cell>
          <cell r="AR55">
            <v>11</v>
          </cell>
          <cell r="BA55">
            <v>1</v>
          </cell>
          <cell r="BJ55">
            <v>2</v>
          </cell>
          <cell r="BS55">
            <v>0</v>
          </cell>
          <cell r="CK55">
            <v>4</v>
          </cell>
          <cell r="CY55">
            <v>2</v>
          </cell>
        </row>
        <row r="56">
          <cell r="Q56">
            <v>0</v>
          </cell>
          <cell r="Z56">
            <v>0</v>
          </cell>
          <cell r="AI56">
            <v>3</v>
          </cell>
          <cell r="AR56">
            <v>4</v>
          </cell>
          <cell r="BA56">
            <v>0</v>
          </cell>
          <cell r="BJ56">
            <v>0</v>
          </cell>
          <cell r="BS56">
            <v>0</v>
          </cell>
          <cell r="CK56">
            <v>1</v>
          </cell>
          <cell r="CY56">
            <v>0</v>
          </cell>
        </row>
        <row r="57">
          <cell r="Q57">
            <v>12</v>
          </cell>
          <cell r="Z57">
            <v>0</v>
          </cell>
          <cell r="AI57">
            <v>14</v>
          </cell>
          <cell r="AR57">
            <v>14</v>
          </cell>
          <cell r="BA57">
            <v>12</v>
          </cell>
          <cell r="BJ57">
            <v>12</v>
          </cell>
          <cell r="BS57">
            <v>12</v>
          </cell>
          <cell r="CK57">
            <v>12</v>
          </cell>
          <cell r="CY57">
            <v>0</v>
          </cell>
        </row>
        <row r="58">
          <cell r="CY58">
            <v>0</v>
          </cell>
        </row>
        <row r="59">
          <cell r="CY5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7E6CFRMQ5LFFK3BQ4DY4A5PUM">
      <xxl21:absoluteUrl r:id="rId2"/>
    </xxl21:alternateUrls>
    <sheetNames>
      <sheetName val="TCHRS LIST"/>
      <sheetName val="MASTER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>
        <row r="56">
          <cell r="Q56">
            <v>0</v>
          </cell>
          <cell r="Z56">
            <v>0</v>
          </cell>
          <cell r="AI56">
            <v>0</v>
          </cell>
          <cell r="AR56">
            <v>0</v>
          </cell>
          <cell r="BA56">
            <v>1</v>
          </cell>
          <cell r="BJ56">
            <v>0</v>
          </cell>
          <cell r="BS56">
            <v>0</v>
          </cell>
          <cell r="CK56">
            <v>0</v>
          </cell>
        </row>
        <row r="57">
          <cell r="Q57">
            <v>1</v>
          </cell>
          <cell r="Z57">
            <v>6</v>
          </cell>
          <cell r="AI57">
            <v>0</v>
          </cell>
          <cell r="AR57">
            <v>0</v>
          </cell>
          <cell r="BA57">
            <v>3</v>
          </cell>
          <cell r="BJ57">
            <v>6</v>
          </cell>
          <cell r="BS57">
            <v>0</v>
          </cell>
          <cell r="CK57">
            <v>2</v>
          </cell>
        </row>
        <row r="58">
          <cell r="Q58">
            <v>3</v>
          </cell>
          <cell r="Z58">
            <v>3</v>
          </cell>
          <cell r="AI58">
            <v>1</v>
          </cell>
          <cell r="AR58">
            <v>1</v>
          </cell>
          <cell r="BA58">
            <v>2</v>
          </cell>
          <cell r="BJ58">
            <v>4</v>
          </cell>
          <cell r="BS58">
            <v>0</v>
          </cell>
          <cell r="CK58">
            <v>2</v>
          </cell>
          <cell r="CY58">
            <v>2</v>
          </cell>
          <cell r="DA58">
            <v>2</v>
          </cell>
        </row>
        <row r="59">
          <cell r="Q59">
            <v>8</v>
          </cell>
          <cell r="Z59">
            <v>8</v>
          </cell>
          <cell r="AI59">
            <v>0</v>
          </cell>
          <cell r="AR59">
            <v>0</v>
          </cell>
          <cell r="BA59">
            <v>5</v>
          </cell>
          <cell r="BJ59">
            <v>0</v>
          </cell>
          <cell r="BS59">
            <v>3</v>
          </cell>
          <cell r="CK59">
            <v>7</v>
          </cell>
          <cell r="CY59">
            <v>1</v>
          </cell>
          <cell r="DA59">
            <v>1</v>
          </cell>
        </row>
        <row r="60">
          <cell r="Q60">
            <v>4</v>
          </cell>
          <cell r="Z60">
            <v>5</v>
          </cell>
          <cell r="AI60">
            <v>0</v>
          </cell>
          <cell r="AR60">
            <v>0</v>
          </cell>
          <cell r="BA60">
            <v>3</v>
          </cell>
          <cell r="BJ60">
            <v>10</v>
          </cell>
          <cell r="BS60">
            <v>4</v>
          </cell>
          <cell r="CK60">
            <v>3</v>
          </cell>
          <cell r="CY60">
            <v>7</v>
          </cell>
          <cell r="DA60">
            <v>7</v>
          </cell>
        </row>
        <row r="61">
          <cell r="Q61">
            <v>7</v>
          </cell>
          <cell r="Z61">
            <v>1</v>
          </cell>
          <cell r="AI61">
            <v>3</v>
          </cell>
          <cell r="AR61">
            <v>4</v>
          </cell>
          <cell r="BA61">
            <v>2</v>
          </cell>
          <cell r="BJ61">
            <v>2</v>
          </cell>
          <cell r="BS61">
            <v>4</v>
          </cell>
          <cell r="CK61">
            <v>6</v>
          </cell>
          <cell r="CY61">
            <v>6</v>
          </cell>
          <cell r="DA61">
            <v>6</v>
          </cell>
        </row>
        <row r="62">
          <cell r="Q62">
            <v>1</v>
          </cell>
          <cell r="Z62">
            <v>1</v>
          </cell>
          <cell r="AI62">
            <v>3</v>
          </cell>
          <cell r="AR62">
            <v>11</v>
          </cell>
          <cell r="BA62">
            <v>5</v>
          </cell>
          <cell r="BJ62">
            <v>2</v>
          </cell>
          <cell r="BS62">
            <v>9</v>
          </cell>
          <cell r="CK62">
            <v>3</v>
          </cell>
          <cell r="CY62">
            <v>7</v>
          </cell>
          <cell r="DA62">
            <v>7</v>
          </cell>
        </row>
        <row r="63">
          <cell r="Q63">
            <v>0</v>
          </cell>
          <cell r="Z63">
            <v>0</v>
          </cell>
          <cell r="AI63">
            <v>9</v>
          </cell>
          <cell r="AR63">
            <v>7</v>
          </cell>
          <cell r="BA63">
            <v>2</v>
          </cell>
          <cell r="BJ63">
            <v>0</v>
          </cell>
          <cell r="BS63">
            <v>4</v>
          </cell>
          <cell r="CK63">
            <v>1</v>
          </cell>
          <cell r="CY63">
            <v>0</v>
          </cell>
          <cell r="DA63">
            <v>0</v>
          </cell>
        </row>
        <row r="64">
          <cell r="Q64">
            <v>0</v>
          </cell>
          <cell r="Z64">
            <v>0</v>
          </cell>
          <cell r="AI64">
            <v>8</v>
          </cell>
          <cell r="AR64">
            <v>1</v>
          </cell>
          <cell r="BA64">
            <v>1</v>
          </cell>
          <cell r="BJ64">
            <v>0</v>
          </cell>
          <cell r="BS64">
            <v>0</v>
          </cell>
          <cell r="CK64">
            <v>0</v>
          </cell>
          <cell r="CY64">
            <v>0</v>
          </cell>
          <cell r="DA64">
            <v>0</v>
          </cell>
        </row>
        <row r="65">
          <cell r="CY65">
            <v>1</v>
          </cell>
          <cell r="DA65">
            <v>1</v>
          </cell>
        </row>
        <row r="66">
          <cell r="CY66">
            <v>0</v>
          </cell>
          <cell r="DA66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EMVH4CCYX6ZALVGRWOG47FSQO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44">
          <cell r="Q44">
            <v>0</v>
          </cell>
          <cell r="Z44">
            <v>0</v>
          </cell>
          <cell r="AI44">
            <v>0</v>
          </cell>
          <cell r="AR44">
            <v>0</v>
          </cell>
          <cell r="BA44">
            <v>2</v>
          </cell>
          <cell r="BJ44">
            <v>0</v>
          </cell>
          <cell r="BS44">
            <v>0</v>
          </cell>
          <cell r="CK44">
            <v>0</v>
          </cell>
        </row>
        <row r="45">
          <cell r="Q45">
            <v>0</v>
          </cell>
          <cell r="Z45">
            <v>4</v>
          </cell>
          <cell r="AI45">
            <v>0</v>
          </cell>
          <cell r="AR45">
            <v>0</v>
          </cell>
          <cell r="BA45">
            <v>2</v>
          </cell>
          <cell r="BJ45">
            <v>2</v>
          </cell>
          <cell r="BS45">
            <v>2</v>
          </cell>
          <cell r="CK45">
            <v>1</v>
          </cell>
        </row>
        <row r="46">
          <cell r="Q46">
            <v>2</v>
          </cell>
          <cell r="Z46">
            <v>6</v>
          </cell>
          <cell r="AI46">
            <v>2</v>
          </cell>
          <cell r="AR46">
            <v>0</v>
          </cell>
          <cell r="BA46">
            <v>2</v>
          </cell>
          <cell r="BJ46">
            <v>2</v>
          </cell>
          <cell r="BS46">
            <v>3</v>
          </cell>
          <cell r="CK46">
            <v>1</v>
          </cell>
          <cell r="DB46">
            <v>0</v>
          </cell>
        </row>
        <row r="47">
          <cell r="Q47">
            <v>4</v>
          </cell>
          <cell r="Z47">
            <v>5</v>
          </cell>
          <cell r="AI47">
            <v>0</v>
          </cell>
          <cell r="AR47">
            <v>1</v>
          </cell>
          <cell r="BA47">
            <v>4</v>
          </cell>
          <cell r="BJ47">
            <v>3</v>
          </cell>
          <cell r="BS47">
            <v>3</v>
          </cell>
          <cell r="CK47">
            <v>3</v>
          </cell>
          <cell r="DB47">
            <v>3</v>
          </cell>
        </row>
        <row r="48">
          <cell r="Q48">
            <v>8</v>
          </cell>
          <cell r="Z48">
            <v>6</v>
          </cell>
          <cell r="AI48">
            <v>2</v>
          </cell>
          <cell r="AR48">
            <v>0</v>
          </cell>
          <cell r="BA48">
            <v>2</v>
          </cell>
          <cell r="BJ48">
            <v>3</v>
          </cell>
          <cell r="BS48">
            <v>1</v>
          </cell>
          <cell r="CK48">
            <v>3</v>
          </cell>
          <cell r="DB48">
            <v>4</v>
          </cell>
        </row>
        <row r="49">
          <cell r="Q49">
            <v>5</v>
          </cell>
          <cell r="Z49">
            <v>1</v>
          </cell>
          <cell r="AI49">
            <v>0</v>
          </cell>
          <cell r="AR49">
            <v>2</v>
          </cell>
          <cell r="BA49">
            <v>1</v>
          </cell>
          <cell r="BJ49">
            <v>4</v>
          </cell>
          <cell r="BS49">
            <v>3</v>
          </cell>
          <cell r="CK49">
            <v>4</v>
          </cell>
          <cell r="DB49">
            <v>2</v>
          </cell>
        </row>
        <row r="50">
          <cell r="Q50">
            <v>5</v>
          </cell>
          <cell r="Z50">
            <v>3</v>
          </cell>
          <cell r="AI50">
            <v>4</v>
          </cell>
          <cell r="AR50">
            <v>2</v>
          </cell>
          <cell r="BA50">
            <v>7</v>
          </cell>
          <cell r="BJ50">
            <v>8</v>
          </cell>
          <cell r="BS50">
            <v>8</v>
          </cell>
          <cell r="CK50">
            <v>4</v>
          </cell>
          <cell r="DB50">
            <v>6</v>
          </cell>
        </row>
        <row r="51">
          <cell r="Q51">
            <v>0</v>
          </cell>
          <cell r="Z51">
            <v>0</v>
          </cell>
          <cell r="AI51">
            <v>9</v>
          </cell>
          <cell r="AR51">
            <v>7</v>
          </cell>
          <cell r="BA51">
            <v>1</v>
          </cell>
          <cell r="BJ51">
            <v>0</v>
          </cell>
          <cell r="BS51">
            <v>4</v>
          </cell>
          <cell r="CK51">
            <v>7</v>
          </cell>
          <cell r="DB51">
            <v>4</v>
          </cell>
        </row>
        <row r="52">
          <cell r="Q52">
            <v>1</v>
          </cell>
          <cell r="Z52">
            <v>0</v>
          </cell>
          <cell r="AI52">
            <v>8</v>
          </cell>
          <cell r="AR52">
            <v>13</v>
          </cell>
          <cell r="BA52">
            <v>4</v>
          </cell>
          <cell r="BJ52">
            <v>3</v>
          </cell>
          <cell r="BS52">
            <v>1</v>
          </cell>
          <cell r="CK52">
            <v>2</v>
          </cell>
          <cell r="DB52">
            <v>2</v>
          </cell>
        </row>
        <row r="53">
          <cell r="DB53">
            <v>4</v>
          </cell>
        </row>
        <row r="54">
          <cell r="DB5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UPA5QZUZNGBDIVAJDMTPAKOXO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56">
          <cell r="Q56">
            <v>0</v>
          </cell>
          <cell r="Z56">
            <v>0</v>
          </cell>
          <cell r="AI56">
            <v>0</v>
          </cell>
          <cell r="AR56">
            <v>0</v>
          </cell>
          <cell r="BA56">
            <v>0</v>
          </cell>
          <cell r="BJ56">
            <v>0</v>
          </cell>
          <cell r="BS56">
            <v>0</v>
          </cell>
        </row>
        <row r="57">
          <cell r="Q57">
            <v>0</v>
          </cell>
          <cell r="Z57">
            <v>0</v>
          </cell>
          <cell r="AI57">
            <v>0</v>
          </cell>
          <cell r="AR57">
            <v>0</v>
          </cell>
          <cell r="BA57">
            <v>1</v>
          </cell>
          <cell r="BJ57">
            <v>0</v>
          </cell>
          <cell r="BS57">
            <v>6</v>
          </cell>
        </row>
        <row r="58">
          <cell r="Q58">
            <v>0</v>
          </cell>
          <cell r="Z58">
            <v>2</v>
          </cell>
          <cell r="AI58">
            <v>0</v>
          </cell>
          <cell r="AR58">
            <v>0</v>
          </cell>
          <cell r="BA58">
            <v>2</v>
          </cell>
          <cell r="BJ58">
            <v>1</v>
          </cell>
          <cell r="BS58">
            <v>4</v>
          </cell>
          <cell r="DA58">
            <v>0</v>
          </cell>
        </row>
        <row r="59">
          <cell r="Q59">
            <v>3</v>
          </cell>
          <cell r="Z59">
            <v>6</v>
          </cell>
          <cell r="AI59">
            <v>0</v>
          </cell>
          <cell r="AR59">
            <v>0</v>
          </cell>
          <cell r="BA59">
            <v>3</v>
          </cell>
          <cell r="BJ59">
            <v>4</v>
          </cell>
          <cell r="BS59">
            <v>4</v>
          </cell>
          <cell r="DA59">
            <v>0</v>
          </cell>
        </row>
        <row r="60">
          <cell r="Q60">
            <v>5</v>
          </cell>
          <cell r="Z60">
            <v>6</v>
          </cell>
          <cell r="AI60">
            <v>0</v>
          </cell>
          <cell r="AR60">
            <v>1</v>
          </cell>
          <cell r="BA60">
            <v>0</v>
          </cell>
          <cell r="BJ60">
            <v>6</v>
          </cell>
          <cell r="BS60">
            <v>7</v>
          </cell>
          <cell r="DA60">
            <v>2</v>
          </cell>
        </row>
        <row r="61">
          <cell r="Q61">
            <v>8</v>
          </cell>
          <cell r="Z61">
            <v>2</v>
          </cell>
          <cell r="AI61">
            <v>0</v>
          </cell>
          <cell r="AR61">
            <v>2</v>
          </cell>
          <cell r="BA61">
            <v>5</v>
          </cell>
          <cell r="BJ61">
            <v>6</v>
          </cell>
          <cell r="BS61">
            <v>2</v>
          </cell>
          <cell r="DA61">
            <v>6</v>
          </cell>
        </row>
        <row r="62">
          <cell r="Q62">
            <v>5</v>
          </cell>
          <cell r="Z62">
            <v>8</v>
          </cell>
          <cell r="AI62">
            <v>5</v>
          </cell>
          <cell r="AR62">
            <v>4</v>
          </cell>
          <cell r="BA62">
            <v>7</v>
          </cell>
          <cell r="BJ62">
            <v>3</v>
          </cell>
          <cell r="BS62">
            <v>1</v>
          </cell>
          <cell r="DA62">
            <v>4</v>
          </cell>
        </row>
        <row r="63">
          <cell r="Q63">
            <v>3</v>
          </cell>
          <cell r="Z63">
            <v>0</v>
          </cell>
          <cell r="AI63">
            <v>6</v>
          </cell>
          <cell r="AR63">
            <v>10</v>
          </cell>
          <cell r="BA63">
            <v>2</v>
          </cell>
          <cell r="BJ63">
            <v>3</v>
          </cell>
          <cell r="BS63">
            <v>0</v>
          </cell>
          <cell r="DA63">
            <v>5</v>
          </cell>
        </row>
        <row r="64">
          <cell r="Q64">
            <v>0</v>
          </cell>
          <cell r="Z64">
            <v>0</v>
          </cell>
          <cell r="AI64">
            <v>13</v>
          </cell>
          <cell r="AR64">
            <v>7</v>
          </cell>
          <cell r="BA64">
            <v>4</v>
          </cell>
          <cell r="BJ64">
            <v>1</v>
          </cell>
          <cell r="BS64">
            <v>0</v>
          </cell>
          <cell r="DA64">
            <v>6</v>
          </cell>
        </row>
        <row r="65">
          <cell r="DA65">
            <v>1</v>
          </cell>
        </row>
        <row r="66">
          <cell r="DA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AWELW3AYMEVGZUZIFJDDAQZVB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29">
          <cell r="Q29">
            <v>0</v>
          </cell>
          <cell r="Z29">
            <v>0</v>
          </cell>
          <cell r="AI29">
            <v>0</v>
          </cell>
          <cell r="AR29">
            <v>0</v>
          </cell>
          <cell r="BA29">
            <v>0</v>
          </cell>
          <cell r="BJ29">
            <v>0</v>
          </cell>
          <cell r="BS29">
            <v>0</v>
          </cell>
        </row>
        <row r="30">
          <cell r="Q30">
            <v>0</v>
          </cell>
          <cell r="Z30">
            <v>0</v>
          </cell>
          <cell r="AI30">
            <v>0</v>
          </cell>
          <cell r="AR30">
            <v>0</v>
          </cell>
          <cell r="BA30">
            <v>0</v>
          </cell>
          <cell r="BJ30">
            <v>0</v>
          </cell>
          <cell r="BS30">
            <v>0</v>
          </cell>
        </row>
        <row r="31">
          <cell r="Q31">
            <v>0</v>
          </cell>
          <cell r="Z31">
            <v>0</v>
          </cell>
          <cell r="AI31">
            <v>0</v>
          </cell>
          <cell r="AR31">
            <v>0</v>
          </cell>
          <cell r="BA31">
            <v>0</v>
          </cell>
          <cell r="BJ31">
            <v>0</v>
          </cell>
          <cell r="BS31">
            <v>1</v>
          </cell>
          <cell r="DA31">
            <v>0</v>
          </cell>
        </row>
        <row r="32">
          <cell r="Q32">
            <v>0</v>
          </cell>
          <cell r="Z32">
            <v>1</v>
          </cell>
          <cell r="AI32">
            <v>0</v>
          </cell>
          <cell r="AR32">
            <v>0</v>
          </cell>
          <cell r="BA32">
            <v>0</v>
          </cell>
          <cell r="BJ32">
            <v>3</v>
          </cell>
          <cell r="BS32">
            <v>0</v>
          </cell>
          <cell r="DA32">
            <v>0</v>
          </cell>
        </row>
        <row r="33">
          <cell r="Q33">
            <v>2</v>
          </cell>
          <cell r="Z33">
            <v>1</v>
          </cell>
          <cell r="AI33">
            <v>0</v>
          </cell>
          <cell r="AR33">
            <v>0</v>
          </cell>
          <cell r="BA33">
            <v>2</v>
          </cell>
          <cell r="BJ33">
            <v>4</v>
          </cell>
          <cell r="BS33">
            <v>0</v>
          </cell>
          <cell r="DA33">
            <v>0</v>
          </cell>
        </row>
        <row r="34">
          <cell r="Q34">
            <v>3</v>
          </cell>
          <cell r="Z34">
            <v>3</v>
          </cell>
          <cell r="AI34">
            <v>0</v>
          </cell>
          <cell r="AR34">
            <v>0</v>
          </cell>
          <cell r="BA34">
            <v>0</v>
          </cell>
          <cell r="BJ34">
            <v>1</v>
          </cell>
          <cell r="BS34">
            <v>5</v>
          </cell>
          <cell r="DA34">
            <v>1</v>
          </cell>
        </row>
        <row r="35">
          <cell r="Q35">
            <v>7</v>
          </cell>
          <cell r="Z35">
            <v>7</v>
          </cell>
          <cell r="AI35">
            <v>0</v>
          </cell>
          <cell r="AR35">
            <v>0</v>
          </cell>
          <cell r="BA35">
            <v>2</v>
          </cell>
          <cell r="BJ35">
            <v>4</v>
          </cell>
          <cell r="BS35">
            <v>7</v>
          </cell>
          <cell r="DA35">
            <v>2</v>
          </cell>
        </row>
        <row r="36">
          <cell r="Q36">
            <v>1</v>
          </cell>
          <cell r="Z36">
            <v>2</v>
          </cell>
          <cell r="AI36">
            <v>0</v>
          </cell>
          <cell r="AR36">
            <v>1</v>
          </cell>
          <cell r="BA36">
            <v>5</v>
          </cell>
          <cell r="BJ36">
            <v>2</v>
          </cell>
          <cell r="BS36">
            <v>1</v>
          </cell>
          <cell r="DA36">
            <v>1</v>
          </cell>
        </row>
        <row r="37">
          <cell r="Q37">
            <v>2</v>
          </cell>
          <cell r="Z37">
            <v>1</v>
          </cell>
          <cell r="AI37">
            <v>15</v>
          </cell>
          <cell r="AR37">
            <v>14</v>
          </cell>
          <cell r="BA37">
            <v>6</v>
          </cell>
          <cell r="BJ37">
            <v>1</v>
          </cell>
          <cell r="BS37">
            <v>1</v>
          </cell>
          <cell r="DA37">
            <v>2</v>
          </cell>
        </row>
        <row r="38">
          <cell r="DA38">
            <v>6</v>
          </cell>
        </row>
        <row r="39">
          <cell r="DA39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JINYVWFSX6VVCZ33AOJC6FDUKE"/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26">
          <cell r="Q26">
            <v>0</v>
          </cell>
          <cell r="Z26">
            <v>0</v>
          </cell>
          <cell r="AI26">
            <v>0</v>
          </cell>
          <cell r="AR26">
            <v>0</v>
          </cell>
          <cell r="BA26">
            <v>0</v>
          </cell>
          <cell r="BJ26">
            <v>0</v>
          </cell>
          <cell r="BS26">
            <v>0</v>
          </cell>
        </row>
        <row r="27">
          <cell r="Q27">
            <v>0</v>
          </cell>
          <cell r="Z27">
            <v>0</v>
          </cell>
          <cell r="AI27">
            <v>0</v>
          </cell>
          <cell r="AR27">
            <v>0</v>
          </cell>
          <cell r="BA27">
            <v>0</v>
          </cell>
          <cell r="BJ27">
            <v>0</v>
          </cell>
          <cell r="BS27">
            <v>0</v>
          </cell>
        </row>
        <row r="28">
          <cell r="Q28">
            <v>0</v>
          </cell>
          <cell r="Z28">
            <v>0</v>
          </cell>
          <cell r="AI28">
            <v>0</v>
          </cell>
          <cell r="AR28">
            <v>0</v>
          </cell>
          <cell r="BA28">
            <v>0</v>
          </cell>
          <cell r="BJ28">
            <v>0</v>
          </cell>
          <cell r="BS28">
            <v>0</v>
          </cell>
          <cell r="DA28">
            <v>0</v>
          </cell>
        </row>
        <row r="29">
          <cell r="Q29">
            <v>0</v>
          </cell>
          <cell r="Z29">
            <v>0</v>
          </cell>
          <cell r="AI29">
            <v>0</v>
          </cell>
          <cell r="AR29">
            <v>0</v>
          </cell>
          <cell r="BA29">
            <v>0</v>
          </cell>
          <cell r="BJ29">
            <v>0</v>
          </cell>
          <cell r="BS29">
            <v>0</v>
          </cell>
          <cell r="DA29">
            <v>0</v>
          </cell>
        </row>
        <row r="30">
          <cell r="Q30">
            <v>0</v>
          </cell>
          <cell r="Z30">
            <v>1</v>
          </cell>
          <cell r="AI30">
            <v>0</v>
          </cell>
          <cell r="AR30">
            <v>0</v>
          </cell>
          <cell r="BA30">
            <v>0</v>
          </cell>
          <cell r="BJ30">
            <v>2</v>
          </cell>
          <cell r="BS30">
            <v>0</v>
          </cell>
          <cell r="DA30">
            <v>0</v>
          </cell>
        </row>
        <row r="31">
          <cell r="Q31">
            <v>0</v>
          </cell>
          <cell r="Z31">
            <v>1</v>
          </cell>
          <cell r="AI31">
            <v>0</v>
          </cell>
          <cell r="AR31">
            <v>0</v>
          </cell>
          <cell r="BA31">
            <v>0</v>
          </cell>
          <cell r="BJ31">
            <v>2</v>
          </cell>
          <cell r="BS31">
            <v>0</v>
          </cell>
          <cell r="DA31">
            <v>0</v>
          </cell>
        </row>
        <row r="32">
          <cell r="Q32">
            <v>6</v>
          </cell>
          <cell r="Z32">
            <v>1</v>
          </cell>
          <cell r="AI32">
            <v>0</v>
          </cell>
          <cell r="AR32">
            <v>0</v>
          </cell>
          <cell r="BA32">
            <v>2</v>
          </cell>
          <cell r="BJ32">
            <v>2</v>
          </cell>
          <cell r="BS32">
            <v>0</v>
          </cell>
          <cell r="DA32">
            <v>0</v>
          </cell>
        </row>
        <row r="33">
          <cell r="Q33">
            <v>4</v>
          </cell>
          <cell r="Z33">
            <v>5</v>
          </cell>
          <cell r="AI33">
            <v>0</v>
          </cell>
          <cell r="AR33">
            <v>0</v>
          </cell>
          <cell r="BA33">
            <v>1</v>
          </cell>
          <cell r="BJ33">
            <v>2</v>
          </cell>
          <cell r="BS33">
            <v>4</v>
          </cell>
          <cell r="DA33">
            <v>0</v>
          </cell>
        </row>
        <row r="34">
          <cell r="Q34">
            <v>2</v>
          </cell>
          <cell r="Z34">
            <v>4</v>
          </cell>
          <cell r="AI34">
            <v>12</v>
          </cell>
          <cell r="AR34">
            <v>12</v>
          </cell>
          <cell r="BA34">
            <v>9</v>
          </cell>
          <cell r="BJ34">
            <v>4</v>
          </cell>
          <cell r="BS34">
            <v>8</v>
          </cell>
          <cell r="DA34">
            <v>2</v>
          </cell>
        </row>
        <row r="35">
          <cell r="DA35">
            <v>2</v>
          </cell>
        </row>
        <row r="36">
          <cell r="DA36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34">
          <cell r="Q34">
            <v>0</v>
          </cell>
          <cell r="Z34">
            <v>8</v>
          </cell>
          <cell r="AI34">
            <v>0</v>
          </cell>
          <cell r="AR34">
            <v>0</v>
          </cell>
          <cell r="BA34">
            <v>8</v>
          </cell>
          <cell r="BJ34">
            <v>1</v>
          </cell>
          <cell r="BS34">
            <v>0</v>
          </cell>
          <cell r="CB34">
            <v>15</v>
          </cell>
          <cell r="CK34">
            <v>0</v>
          </cell>
        </row>
        <row r="35">
          <cell r="Q35">
            <v>4</v>
          </cell>
          <cell r="Z35">
            <v>12</v>
          </cell>
          <cell r="AI35">
            <v>10</v>
          </cell>
          <cell r="AR35">
            <v>0</v>
          </cell>
          <cell r="BA35">
            <v>8</v>
          </cell>
          <cell r="BJ35">
            <v>5</v>
          </cell>
          <cell r="BS35">
            <v>4</v>
          </cell>
          <cell r="CB35">
            <v>5</v>
          </cell>
        </row>
        <row r="36">
          <cell r="Q36">
            <v>11</v>
          </cell>
          <cell r="Z36">
            <v>0</v>
          </cell>
          <cell r="AI36">
            <v>6</v>
          </cell>
          <cell r="AR36">
            <v>0</v>
          </cell>
          <cell r="BA36">
            <v>3</v>
          </cell>
          <cell r="BJ36">
            <v>5</v>
          </cell>
          <cell r="BS36">
            <v>5</v>
          </cell>
          <cell r="CB36">
            <v>0</v>
          </cell>
        </row>
        <row r="37">
          <cell r="Q37">
            <v>4</v>
          </cell>
          <cell r="Z37">
            <v>0</v>
          </cell>
          <cell r="AI37">
            <v>2</v>
          </cell>
          <cell r="AR37">
            <v>1</v>
          </cell>
          <cell r="BA37">
            <v>1</v>
          </cell>
          <cell r="BJ37">
            <v>9</v>
          </cell>
          <cell r="BS37">
            <v>3</v>
          </cell>
          <cell r="CB37">
            <v>0</v>
          </cell>
        </row>
        <row r="38">
          <cell r="Q38">
            <v>1</v>
          </cell>
          <cell r="Z38">
            <v>0</v>
          </cell>
          <cell r="AI38">
            <v>2</v>
          </cell>
          <cell r="AR38">
            <v>3</v>
          </cell>
          <cell r="BA38">
            <v>0</v>
          </cell>
          <cell r="BJ38">
            <v>0</v>
          </cell>
          <cell r="BS38">
            <v>5</v>
          </cell>
          <cell r="CB38">
            <v>0</v>
          </cell>
        </row>
        <row r="39">
          <cell r="Q39">
            <v>0</v>
          </cell>
          <cell r="Z39">
            <v>0</v>
          </cell>
          <cell r="AI39">
            <v>0</v>
          </cell>
          <cell r="AR39">
            <v>7</v>
          </cell>
          <cell r="BA39">
            <v>0</v>
          </cell>
          <cell r="BJ39">
            <v>0</v>
          </cell>
          <cell r="BS39">
            <v>1</v>
          </cell>
          <cell r="CB39">
            <v>0</v>
          </cell>
        </row>
        <row r="40">
          <cell r="Q40">
            <v>0</v>
          </cell>
          <cell r="Z40">
            <v>0</v>
          </cell>
          <cell r="AI40">
            <v>0</v>
          </cell>
          <cell r="AR40">
            <v>8</v>
          </cell>
          <cell r="BA40">
            <v>0</v>
          </cell>
          <cell r="BJ40">
            <v>0</v>
          </cell>
          <cell r="BS40">
            <v>2</v>
          </cell>
          <cell r="CB40">
            <v>0</v>
          </cell>
        </row>
        <row r="41">
          <cell r="Q41">
            <v>0</v>
          </cell>
          <cell r="Z41">
            <v>0</v>
          </cell>
          <cell r="AI41">
            <v>0</v>
          </cell>
          <cell r="AR41">
            <v>1</v>
          </cell>
          <cell r="BA41">
            <v>0</v>
          </cell>
          <cell r="BJ41">
            <v>0</v>
          </cell>
          <cell r="BS41">
            <v>0</v>
          </cell>
          <cell r="CB41">
            <v>0</v>
          </cell>
        </row>
        <row r="42">
          <cell r="Q42">
            <v>0</v>
          </cell>
          <cell r="Z42">
            <v>0</v>
          </cell>
          <cell r="AI42">
            <v>0</v>
          </cell>
          <cell r="AR42">
            <v>0</v>
          </cell>
          <cell r="BA42">
            <v>0</v>
          </cell>
          <cell r="BJ42">
            <v>0</v>
          </cell>
          <cell r="BS42">
            <v>0</v>
          </cell>
          <cell r="CB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49">
          <cell r="Q49">
            <v>0</v>
          </cell>
          <cell r="Z49">
            <v>1</v>
          </cell>
          <cell r="AI49">
            <v>0</v>
          </cell>
          <cell r="AR49">
            <v>0</v>
          </cell>
          <cell r="BA49">
            <v>3</v>
          </cell>
          <cell r="BJ49">
            <v>0</v>
          </cell>
          <cell r="BS49">
            <v>4</v>
          </cell>
          <cell r="CK49">
            <v>0</v>
          </cell>
        </row>
        <row r="50">
          <cell r="Q50">
            <v>0</v>
          </cell>
          <cell r="Z50">
            <v>17</v>
          </cell>
          <cell r="AI50">
            <v>0</v>
          </cell>
          <cell r="AR50">
            <v>0</v>
          </cell>
          <cell r="BA50">
            <v>12</v>
          </cell>
          <cell r="BJ50">
            <v>2</v>
          </cell>
          <cell r="BS50">
            <v>11</v>
          </cell>
          <cell r="CK50">
            <v>3</v>
          </cell>
        </row>
        <row r="51">
          <cell r="Q51">
            <v>1</v>
          </cell>
          <cell r="Z51">
            <v>4</v>
          </cell>
          <cell r="AI51">
            <v>3</v>
          </cell>
          <cell r="AR51">
            <v>0</v>
          </cell>
          <cell r="BA51">
            <v>4</v>
          </cell>
          <cell r="BJ51">
            <v>4</v>
          </cell>
          <cell r="BS51">
            <v>1</v>
          </cell>
          <cell r="CK51">
            <v>4</v>
          </cell>
        </row>
        <row r="52">
          <cell r="Q52">
            <v>5</v>
          </cell>
          <cell r="Z52">
            <v>1</v>
          </cell>
          <cell r="AI52">
            <v>3</v>
          </cell>
          <cell r="AR52">
            <v>0</v>
          </cell>
          <cell r="BA52">
            <v>2</v>
          </cell>
          <cell r="BJ52">
            <v>5</v>
          </cell>
          <cell r="BS52">
            <v>3</v>
          </cell>
          <cell r="CK52">
            <v>3</v>
          </cell>
        </row>
        <row r="53">
          <cell r="Q53">
            <v>5</v>
          </cell>
          <cell r="Z53">
            <v>0</v>
          </cell>
          <cell r="AI53">
            <v>3</v>
          </cell>
          <cell r="AR53">
            <v>0</v>
          </cell>
          <cell r="BA53">
            <v>1</v>
          </cell>
          <cell r="BJ53">
            <v>5</v>
          </cell>
          <cell r="BS53">
            <v>3</v>
          </cell>
          <cell r="CK53">
            <v>2</v>
          </cell>
        </row>
        <row r="54">
          <cell r="Q54">
            <v>8</v>
          </cell>
          <cell r="Z54">
            <v>0</v>
          </cell>
          <cell r="AI54">
            <v>4</v>
          </cell>
          <cell r="AR54">
            <v>5</v>
          </cell>
          <cell r="BA54">
            <v>0</v>
          </cell>
          <cell r="BJ54">
            <v>4</v>
          </cell>
          <cell r="BS54">
            <v>1</v>
          </cell>
          <cell r="CK54">
            <v>3</v>
          </cell>
        </row>
        <row r="55">
          <cell r="Q55">
            <v>4</v>
          </cell>
          <cell r="Z55">
            <v>0</v>
          </cell>
          <cell r="AI55">
            <v>5</v>
          </cell>
          <cell r="AR55">
            <v>6</v>
          </cell>
          <cell r="BA55">
            <v>1</v>
          </cell>
          <cell r="BJ55">
            <v>1</v>
          </cell>
          <cell r="BS55">
            <v>0</v>
          </cell>
          <cell r="CK55">
            <v>5</v>
          </cell>
        </row>
        <row r="56">
          <cell r="Q56">
            <v>0</v>
          </cell>
          <cell r="Z56">
            <v>0</v>
          </cell>
          <cell r="AI56">
            <v>3</v>
          </cell>
          <cell r="AR56">
            <v>10</v>
          </cell>
          <cell r="BA56">
            <v>0</v>
          </cell>
          <cell r="BJ56">
            <v>2</v>
          </cell>
          <cell r="BS56">
            <v>0</v>
          </cell>
          <cell r="CK56">
            <v>3</v>
          </cell>
        </row>
        <row r="57">
          <cell r="Q57">
            <v>0</v>
          </cell>
          <cell r="Z57">
            <v>0</v>
          </cell>
          <cell r="AI57">
            <v>2</v>
          </cell>
          <cell r="AR57">
            <v>2</v>
          </cell>
          <cell r="BA57">
            <v>0</v>
          </cell>
          <cell r="BJ57">
            <v>0</v>
          </cell>
          <cell r="BS57">
            <v>0</v>
          </cell>
          <cell r="CK5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56">
          <cell r="Q56">
            <v>0</v>
          </cell>
          <cell r="Z56">
            <v>3</v>
          </cell>
          <cell r="AI56">
            <v>0</v>
          </cell>
          <cell r="AR56">
            <v>0</v>
          </cell>
          <cell r="BA56">
            <v>3</v>
          </cell>
          <cell r="BJ56">
            <v>0</v>
          </cell>
          <cell r="BS56">
            <v>0</v>
          </cell>
          <cell r="CK56">
            <v>0</v>
          </cell>
        </row>
        <row r="57">
          <cell r="Q57">
            <v>2</v>
          </cell>
          <cell r="Z57">
            <v>6</v>
          </cell>
          <cell r="AI57">
            <v>1</v>
          </cell>
          <cell r="AR57">
            <v>0</v>
          </cell>
          <cell r="BA57">
            <v>6</v>
          </cell>
          <cell r="BJ57">
            <v>6</v>
          </cell>
          <cell r="BS57">
            <v>0</v>
          </cell>
          <cell r="CK57">
            <v>2</v>
          </cell>
        </row>
        <row r="58">
          <cell r="Q58">
            <v>1</v>
          </cell>
          <cell r="Z58">
            <v>7</v>
          </cell>
          <cell r="AI58">
            <v>0</v>
          </cell>
          <cell r="AR58">
            <v>0</v>
          </cell>
          <cell r="BA58">
            <v>2</v>
          </cell>
          <cell r="BJ58">
            <v>3</v>
          </cell>
          <cell r="BS58">
            <v>1</v>
          </cell>
          <cell r="CK58">
            <v>3</v>
          </cell>
        </row>
        <row r="59">
          <cell r="Q59">
            <v>6</v>
          </cell>
          <cell r="Z59">
            <v>6</v>
          </cell>
          <cell r="AI59">
            <v>0</v>
          </cell>
          <cell r="AR59">
            <v>1</v>
          </cell>
          <cell r="BA59">
            <v>3</v>
          </cell>
          <cell r="BJ59">
            <v>1</v>
          </cell>
          <cell r="BS59">
            <v>1</v>
          </cell>
          <cell r="CK59">
            <v>5</v>
          </cell>
        </row>
        <row r="60">
          <cell r="Q60">
            <v>5</v>
          </cell>
          <cell r="Z60">
            <v>1</v>
          </cell>
          <cell r="AI60">
            <v>1</v>
          </cell>
          <cell r="AR60">
            <v>0</v>
          </cell>
          <cell r="BA60">
            <v>0</v>
          </cell>
          <cell r="BJ60">
            <v>2</v>
          </cell>
          <cell r="BS60">
            <v>2</v>
          </cell>
          <cell r="CK60">
            <v>4</v>
          </cell>
        </row>
        <row r="61">
          <cell r="Q61">
            <v>6</v>
          </cell>
          <cell r="Z61">
            <v>1</v>
          </cell>
          <cell r="AI61">
            <v>1</v>
          </cell>
          <cell r="AR61">
            <v>4</v>
          </cell>
          <cell r="BA61">
            <v>2</v>
          </cell>
          <cell r="BJ61">
            <v>3</v>
          </cell>
          <cell r="BS61">
            <v>1</v>
          </cell>
          <cell r="CK61">
            <v>3</v>
          </cell>
        </row>
        <row r="62">
          <cell r="Q62">
            <v>4</v>
          </cell>
          <cell r="Z62">
            <v>0</v>
          </cell>
          <cell r="AI62">
            <v>6</v>
          </cell>
          <cell r="AR62">
            <v>10</v>
          </cell>
          <cell r="BA62">
            <v>5</v>
          </cell>
          <cell r="BJ62">
            <v>8</v>
          </cell>
          <cell r="BS62">
            <v>13</v>
          </cell>
          <cell r="CK62">
            <v>5</v>
          </cell>
        </row>
        <row r="63">
          <cell r="Q63">
            <v>0</v>
          </cell>
          <cell r="Z63">
            <v>0</v>
          </cell>
          <cell r="AI63">
            <v>12</v>
          </cell>
          <cell r="AR63">
            <v>6</v>
          </cell>
          <cell r="BA63">
            <v>2</v>
          </cell>
          <cell r="BJ63">
            <v>1</v>
          </cell>
          <cell r="BS63">
            <v>5</v>
          </cell>
          <cell r="CK63">
            <v>2</v>
          </cell>
        </row>
        <row r="64">
          <cell r="Q64">
            <v>0</v>
          </cell>
          <cell r="Z64">
            <v>0</v>
          </cell>
          <cell r="AI64">
            <v>3</v>
          </cell>
          <cell r="AR64">
            <v>3</v>
          </cell>
          <cell r="BA64">
            <v>1</v>
          </cell>
          <cell r="BJ64">
            <v>0</v>
          </cell>
          <cell r="BS64">
            <v>1</v>
          </cell>
          <cell r="CK6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34">
          <cell r="Q34">
            <v>0</v>
          </cell>
          <cell r="Z34">
            <v>3</v>
          </cell>
          <cell r="AI34">
            <v>0</v>
          </cell>
          <cell r="AR34">
            <v>0</v>
          </cell>
          <cell r="BA34">
            <v>11</v>
          </cell>
          <cell r="BJ34">
            <v>0</v>
          </cell>
          <cell r="BS34">
            <v>3</v>
          </cell>
          <cell r="CB34">
            <v>11</v>
          </cell>
        </row>
        <row r="35">
          <cell r="Q35">
            <v>0</v>
          </cell>
          <cell r="Z35">
            <v>8</v>
          </cell>
          <cell r="AI35">
            <v>1</v>
          </cell>
          <cell r="AR35">
            <v>0</v>
          </cell>
          <cell r="BA35">
            <v>4</v>
          </cell>
          <cell r="BJ35">
            <v>7</v>
          </cell>
          <cell r="BS35">
            <v>6</v>
          </cell>
          <cell r="CB35">
            <v>9</v>
          </cell>
        </row>
        <row r="36">
          <cell r="Q36">
            <v>4</v>
          </cell>
          <cell r="Z36">
            <v>1</v>
          </cell>
          <cell r="AI36">
            <v>3</v>
          </cell>
          <cell r="AR36">
            <v>1</v>
          </cell>
          <cell r="BA36">
            <v>1</v>
          </cell>
          <cell r="BJ36">
            <v>6</v>
          </cell>
          <cell r="BS36">
            <v>3</v>
          </cell>
          <cell r="CB36">
            <v>0</v>
          </cell>
        </row>
        <row r="37">
          <cell r="Q37">
            <v>7</v>
          </cell>
          <cell r="Z37">
            <v>6</v>
          </cell>
          <cell r="AI37">
            <v>7</v>
          </cell>
          <cell r="AR37">
            <v>4</v>
          </cell>
          <cell r="BA37">
            <v>1</v>
          </cell>
          <cell r="BJ37">
            <v>6</v>
          </cell>
          <cell r="BS37">
            <v>6</v>
          </cell>
          <cell r="CB37">
            <v>0</v>
          </cell>
        </row>
        <row r="38">
          <cell r="Q38">
            <v>8</v>
          </cell>
          <cell r="Z38">
            <v>2</v>
          </cell>
          <cell r="AI38">
            <v>2</v>
          </cell>
          <cell r="AR38">
            <v>2</v>
          </cell>
          <cell r="BA38">
            <v>0</v>
          </cell>
          <cell r="BJ38">
            <v>0</v>
          </cell>
          <cell r="BS38">
            <v>1</v>
          </cell>
          <cell r="CB38">
            <v>0</v>
          </cell>
        </row>
        <row r="39">
          <cell r="Q39">
            <v>1</v>
          </cell>
          <cell r="Z39">
            <v>0</v>
          </cell>
          <cell r="AI39">
            <v>2</v>
          </cell>
          <cell r="AR39">
            <v>4</v>
          </cell>
          <cell r="BA39">
            <v>0</v>
          </cell>
          <cell r="BJ39">
            <v>1</v>
          </cell>
          <cell r="BS39">
            <v>1</v>
          </cell>
          <cell r="CB39">
            <v>0</v>
          </cell>
        </row>
        <row r="40">
          <cell r="Q40">
            <v>0</v>
          </cell>
          <cell r="Z40">
            <v>0</v>
          </cell>
          <cell r="AI40">
            <v>3</v>
          </cell>
          <cell r="AR40">
            <v>8</v>
          </cell>
          <cell r="BA40">
            <v>3</v>
          </cell>
          <cell r="BJ40">
            <v>0</v>
          </cell>
          <cell r="BS40">
            <v>0</v>
          </cell>
          <cell r="CB40">
            <v>0</v>
          </cell>
        </row>
        <row r="41">
          <cell r="Q41">
            <v>0</v>
          </cell>
          <cell r="Z41">
            <v>0</v>
          </cell>
          <cell r="AI41">
            <v>2</v>
          </cell>
          <cell r="AR41">
            <v>1</v>
          </cell>
          <cell r="BA41">
            <v>0</v>
          </cell>
          <cell r="BJ41">
            <v>0</v>
          </cell>
          <cell r="BS41">
            <v>0</v>
          </cell>
          <cell r="CB41">
            <v>0</v>
          </cell>
        </row>
        <row r="42">
          <cell r="Q42">
            <v>0</v>
          </cell>
          <cell r="Z42">
            <v>0</v>
          </cell>
          <cell r="AI42">
            <v>0</v>
          </cell>
          <cell r="AR42">
            <v>0</v>
          </cell>
          <cell r="BA42">
            <v>0</v>
          </cell>
          <cell r="BJ42">
            <v>0</v>
          </cell>
          <cell r="BS42">
            <v>0</v>
          </cell>
          <cell r="CB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CHRS LIST"/>
      <sheetName val="MASTER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>
        <row r="44">
          <cell r="Q44">
            <v>0</v>
          </cell>
          <cell r="Z44">
            <v>0</v>
          </cell>
          <cell r="AI44">
            <v>0</v>
          </cell>
          <cell r="AR44">
            <v>0</v>
          </cell>
          <cell r="BA44">
            <v>2</v>
          </cell>
          <cell r="BJ44">
            <v>0</v>
          </cell>
          <cell r="BS44">
            <v>0</v>
          </cell>
          <cell r="CK44">
            <v>0</v>
          </cell>
        </row>
        <row r="45">
          <cell r="Q45">
            <v>0</v>
          </cell>
          <cell r="Z45">
            <v>4</v>
          </cell>
          <cell r="AI45">
            <v>0</v>
          </cell>
          <cell r="AR45">
            <v>0</v>
          </cell>
          <cell r="BA45">
            <v>2</v>
          </cell>
          <cell r="BJ45">
            <v>2</v>
          </cell>
          <cell r="BS45">
            <v>2</v>
          </cell>
          <cell r="CK45">
            <v>1</v>
          </cell>
        </row>
        <row r="46">
          <cell r="Q46">
            <v>2</v>
          </cell>
          <cell r="Z46">
            <v>6</v>
          </cell>
          <cell r="AI46">
            <v>2</v>
          </cell>
          <cell r="AR46">
            <v>0</v>
          </cell>
          <cell r="BA46">
            <v>2</v>
          </cell>
          <cell r="BJ46">
            <v>2</v>
          </cell>
          <cell r="BS46">
            <v>3</v>
          </cell>
          <cell r="CK46">
            <v>1</v>
          </cell>
        </row>
        <row r="47">
          <cell r="Q47">
            <v>4</v>
          </cell>
          <cell r="Z47">
            <v>5</v>
          </cell>
          <cell r="AI47">
            <v>0</v>
          </cell>
          <cell r="AR47">
            <v>1</v>
          </cell>
          <cell r="BA47">
            <v>4</v>
          </cell>
          <cell r="BJ47">
            <v>3</v>
          </cell>
          <cell r="BS47">
            <v>3</v>
          </cell>
          <cell r="CK47">
            <v>3</v>
          </cell>
        </row>
        <row r="48">
          <cell r="Q48">
            <v>8</v>
          </cell>
          <cell r="Z48">
            <v>6</v>
          </cell>
          <cell r="AI48">
            <v>2</v>
          </cell>
          <cell r="AR48">
            <v>0</v>
          </cell>
          <cell r="BA48">
            <v>2</v>
          </cell>
          <cell r="BJ48">
            <v>3</v>
          </cell>
          <cell r="BS48">
            <v>1</v>
          </cell>
          <cell r="CK48">
            <v>3</v>
          </cell>
        </row>
        <row r="49">
          <cell r="Q49">
            <v>5</v>
          </cell>
          <cell r="Z49">
            <v>1</v>
          </cell>
          <cell r="AI49">
            <v>0</v>
          </cell>
          <cell r="AR49">
            <v>2</v>
          </cell>
          <cell r="BA49">
            <v>1</v>
          </cell>
          <cell r="BJ49">
            <v>4</v>
          </cell>
          <cell r="BS49">
            <v>3</v>
          </cell>
          <cell r="CK49">
            <v>4</v>
          </cell>
        </row>
        <row r="50">
          <cell r="Q50">
            <v>5</v>
          </cell>
          <cell r="Z50">
            <v>3</v>
          </cell>
          <cell r="AI50">
            <v>4</v>
          </cell>
          <cell r="AR50">
            <v>2</v>
          </cell>
          <cell r="BA50">
            <v>7</v>
          </cell>
          <cell r="BJ50">
            <v>8</v>
          </cell>
          <cell r="BS50">
            <v>8</v>
          </cell>
          <cell r="CK50">
            <v>4</v>
          </cell>
        </row>
        <row r="51">
          <cell r="Q51">
            <v>0</v>
          </cell>
          <cell r="Z51">
            <v>0</v>
          </cell>
          <cell r="AI51">
            <v>9</v>
          </cell>
          <cell r="AR51">
            <v>7</v>
          </cell>
          <cell r="BA51">
            <v>1</v>
          </cell>
          <cell r="BJ51">
            <v>0</v>
          </cell>
          <cell r="BS51">
            <v>4</v>
          </cell>
          <cell r="CK51">
            <v>7</v>
          </cell>
        </row>
        <row r="52">
          <cell r="Q52">
            <v>1</v>
          </cell>
          <cell r="Z52">
            <v>0</v>
          </cell>
          <cell r="AI52">
            <v>8</v>
          </cell>
          <cell r="AR52">
            <v>13</v>
          </cell>
          <cell r="BA52">
            <v>4</v>
          </cell>
          <cell r="BJ52">
            <v>3</v>
          </cell>
          <cell r="BS52">
            <v>1</v>
          </cell>
          <cell r="CK5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56">
          <cell r="Q56">
            <v>0</v>
          </cell>
          <cell r="Z56">
            <v>0</v>
          </cell>
          <cell r="AI56">
            <v>0</v>
          </cell>
          <cell r="AR56">
            <v>0</v>
          </cell>
          <cell r="BA56">
            <v>1</v>
          </cell>
          <cell r="BJ56">
            <v>0</v>
          </cell>
          <cell r="BS56">
            <v>1</v>
          </cell>
        </row>
        <row r="57">
          <cell r="Q57">
            <v>0</v>
          </cell>
          <cell r="Z57">
            <v>0</v>
          </cell>
          <cell r="AI57">
            <v>0</v>
          </cell>
          <cell r="AR57">
            <v>0</v>
          </cell>
          <cell r="BA57">
            <v>5</v>
          </cell>
          <cell r="BJ57">
            <v>0</v>
          </cell>
          <cell r="BS57">
            <v>6</v>
          </cell>
        </row>
        <row r="58">
          <cell r="Q58">
            <v>0</v>
          </cell>
          <cell r="Z58">
            <v>3</v>
          </cell>
          <cell r="AI58">
            <v>0</v>
          </cell>
          <cell r="AR58">
            <v>0</v>
          </cell>
          <cell r="BA58">
            <v>0</v>
          </cell>
          <cell r="BJ58">
            <v>0</v>
          </cell>
          <cell r="BS58">
            <v>3</v>
          </cell>
        </row>
        <row r="59">
          <cell r="Q59">
            <v>4</v>
          </cell>
          <cell r="Z59">
            <v>6</v>
          </cell>
          <cell r="AI59">
            <v>0</v>
          </cell>
          <cell r="AR59">
            <v>0</v>
          </cell>
          <cell r="BA59">
            <v>1</v>
          </cell>
          <cell r="BJ59">
            <v>2</v>
          </cell>
          <cell r="BS59">
            <v>5</v>
          </cell>
        </row>
        <row r="60">
          <cell r="Q60">
            <v>4</v>
          </cell>
          <cell r="Z60">
            <v>5</v>
          </cell>
          <cell r="AI60">
            <v>0</v>
          </cell>
          <cell r="AR60">
            <v>1</v>
          </cell>
          <cell r="BA60">
            <v>2</v>
          </cell>
          <cell r="BJ60">
            <v>1</v>
          </cell>
          <cell r="BS60">
            <v>3</v>
          </cell>
        </row>
        <row r="61">
          <cell r="Q61">
            <v>9</v>
          </cell>
          <cell r="Z61">
            <v>5</v>
          </cell>
          <cell r="AI61">
            <v>3</v>
          </cell>
          <cell r="AR61">
            <v>1</v>
          </cell>
          <cell r="BA61">
            <v>5</v>
          </cell>
          <cell r="BJ61">
            <v>8</v>
          </cell>
          <cell r="BS61">
            <v>2</v>
          </cell>
        </row>
        <row r="62">
          <cell r="Q62">
            <v>6</v>
          </cell>
          <cell r="Z62">
            <v>5</v>
          </cell>
          <cell r="AI62">
            <v>3</v>
          </cell>
          <cell r="AR62">
            <v>4</v>
          </cell>
          <cell r="BA62">
            <v>4</v>
          </cell>
          <cell r="BJ62">
            <v>7</v>
          </cell>
          <cell r="BS62">
            <v>4</v>
          </cell>
        </row>
        <row r="63">
          <cell r="Q63">
            <v>1</v>
          </cell>
          <cell r="Z63">
            <v>0</v>
          </cell>
          <cell r="AI63">
            <v>10</v>
          </cell>
          <cell r="AR63">
            <v>8</v>
          </cell>
          <cell r="BA63">
            <v>3</v>
          </cell>
          <cell r="BJ63">
            <v>4</v>
          </cell>
          <cell r="BS63">
            <v>0</v>
          </cell>
        </row>
        <row r="64">
          <cell r="Q64">
            <v>0</v>
          </cell>
          <cell r="Z64">
            <v>0</v>
          </cell>
          <cell r="AI64">
            <v>8</v>
          </cell>
          <cell r="AR64">
            <v>10</v>
          </cell>
          <cell r="BA64">
            <v>3</v>
          </cell>
          <cell r="BJ64">
            <v>2</v>
          </cell>
          <cell r="BS6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29">
          <cell r="Q29">
            <v>0</v>
          </cell>
          <cell r="Z29">
            <v>0</v>
          </cell>
          <cell r="AI29">
            <v>0</v>
          </cell>
          <cell r="AR29">
            <v>0</v>
          </cell>
          <cell r="BA29">
            <v>0</v>
          </cell>
          <cell r="BJ29">
            <v>0</v>
          </cell>
          <cell r="BS29">
            <v>0</v>
          </cell>
        </row>
        <row r="30">
          <cell r="Q30">
            <v>0</v>
          </cell>
          <cell r="Z30">
            <v>0</v>
          </cell>
          <cell r="AI30">
            <v>0</v>
          </cell>
          <cell r="AR30">
            <v>0</v>
          </cell>
          <cell r="BA30">
            <v>0</v>
          </cell>
          <cell r="BJ30">
            <v>0</v>
          </cell>
          <cell r="BS30">
            <v>0</v>
          </cell>
        </row>
        <row r="31">
          <cell r="Q31">
            <v>0</v>
          </cell>
          <cell r="Z31">
            <v>1</v>
          </cell>
          <cell r="AI31">
            <v>0</v>
          </cell>
          <cell r="AR31">
            <v>0</v>
          </cell>
          <cell r="BA31">
            <v>0</v>
          </cell>
          <cell r="BJ31">
            <v>0</v>
          </cell>
          <cell r="BS31">
            <v>1</v>
          </cell>
        </row>
        <row r="32">
          <cell r="Q32">
            <v>0</v>
          </cell>
          <cell r="Z32">
            <v>2</v>
          </cell>
          <cell r="AI32">
            <v>0</v>
          </cell>
          <cell r="AR32">
            <v>0</v>
          </cell>
          <cell r="BA32">
            <v>2</v>
          </cell>
          <cell r="BJ32">
            <v>3</v>
          </cell>
          <cell r="BS32">
            <v>0</v>
          </cell>
        </row>
        <row r="33">
          <cell r="Q33">
            <v>4</v>
          </cell>
          <cell r="Z33">
            <v>1</v>
          </cell>
          <cell r="AI33">
            <v>0</v>
          </cell>
          <cell r="AR33">
            <v>0</v>
          </cell>
          <cell r="BA33">
            <v>1</v>
          </cell>
          <cell r="BJ33">
            <v>0</v>
          </cell>
          <cell r="BS33">
            <v>1</v>
          </cell>
        </row>
        <row r="34">
          <cell r="Q34">
            <v>2</v>
          </cell>
          <cell r="Z34">
            <v>5</v>
          </cell>
          <cell r="AI34">
            <v>0</v>
          </cell>
          <cell r="AR34">
            <v>0</v>
          </cell>
          <cell r="BA34">
            <v>0</v>
          </cell>
          <cell r="BJ34">
            <v>3</v>
          </cell>
          <cell r="BS34">
            <v>1</v>
          </cell>
        </row>
        <row r="35">
          <cell r="Q35">
            <v>7</v>
          </cell>
          <cell r="Z35">
            <v>5</v>
          </cell>
          <cell r="AI35">
            <v>0</v>
          </cell>
          <cell r="AR35">
            <v>0</v>
          </cell>
          <cell r="BA35">
            <v>3</v>
          </cell>
          <cell r="BJ35">
            <v>2</v>
          </cell>
          <cell r="BS35">
            <v>10</v>
          </cell>
        </row>
        <row r="36">
          <cell r="Q36">
            <v>0</v>
          </cell>
          <cell r="Z36">
            <v>0</v>
          </cell>
          <cell r="AI36">
            <v>0</v>
          </cell>
          <cell r="AR36">
            <v>0</v>
          </cell>
          <cell r="BA36">
            <v>5</v>
          </cell>
          <cell r="BJ36">
            <v>5</v>
          </cell>
          <cell r="BS36">
            <v>1</v>
          </cell>
        </row>
        <row r="37">
          <cell r="Q37">
            <v>2</v>
          </cell>
          <cell r="Z37">
            <v>1</v>
          </cell>
          <cell r="AI37">
            <v>15</v>
          </cell>
          <cell r="AR37">
            <v>15</v>
          </cell>
          <cell r="BA37">
            <v>4</v>
          </cell>
          <cell r="BJ37">
            <v>2</v>
          </cell>
          <cell r="BS37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CHRS 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>
        <row r="26">
          <cell r="Q26">
            <v>0</v>
          </cell>
          <cell r="Z26">
            <v>0</v>
          </cell>
          <cell r="AI26">
            <v>0</v>
          </cell>
          <cell r="AR26">
            <v>0</v>
          </cell>
          <cell r="BA26">
            <v>0</v>
          </cell>
          <cell r="BJ26">
            <v>0</v>
          </cell>
          <cell r="BS26">
            <v>0</v>
          </cell>
        </row>
        <row r="27">
          <cell r="Q27">
            <v>0</v>
          </cell>
          <cell r="Z27">
            <v>0</v>
          </cell>
          <cell r="AI27">
            <v>0</v>
          </cell>
          <cell r="AR27">
            <v>0</v>
          </cell>
          <cell r="BA27">
            <v>0</v>
          </cell>
          <cell r="BJ27">
            <v>0</v>
          </cell>
          <cell r="BS27">
            <v>0</v>
          </cell>
        </row>
        <row r="28">
          <cell r="Q28">
            <v>0</v>
          </cell>
          <cell r="Z28">
            <v>0</v>
          </cell>
          <cell r="AI28">
            <v>0</v>
          </cell>
          <cell r="AR28">
            <v>0</v>
          </cell>
          <cell r="BA28">
            <v>0</v>
          </cell>
          <cell r="BJ28">
            <v>0</v>
          </cell>
          <cell r="BS28">
            <v>0</v>
          </cell>
        </row>
        <row r="29">
          <cell r="Q29">
            <v>0</v>
          </cell>
          <cell r="Z29">
            <v>0</v>
          </cell>
          <cell r="AI29">
            <v>0</v>
          </cell>
          <cell r="AR29">
            <v>0</v>
          </cell>
          <cell r="BA29">
            <v>0</v>
          </cell>
          <cell r="BJ29">
            <v>0</v>
          </cell>
          <cell r="BS29">
            <v>0</v>
          </cell>
        </row>
        <row r="30">
          <cell r="Q30">
            <v>0</v>
          </cell>
          <cell r="Z30">
            <v>2</v>
          </cell>
          <cell r="AI30">
            <v>0</v>
          </cell>
          <cell r="AR30">
            <v>0</v>
          </cell>
          <cell r="BA30">
            <v>0</v>
          </cell>
          <cell r="BJ30">
            <v>1</v>
          </cell>
          <cell r="BS30">
            <v>0</v>
          </cell>
        </row>
        <row r="31">
          <cell r="Q31">
            <v>0</v>
          </cell>
          <cell r="Z31">
            <v>0</v>
          </cell>
          <cell r="AI31">
            <v>0</v>
          </cell>
          <cell r="AR31">
            <v>0</v>
          </cell>
          <cell r="BA31">
            <v>0</v>
          </cell>
          <cell r="BJ31">
            <v>2</v>
          </cell>
          <cell r="BS31">
            <v>0</v>
          </cell>
        </row>
        <row r="32">
          <cell r="Q32">
            <v>6</v>
          </cell>
          <cell r="Z32">
            <v>2</v>
          </cell>
          <cell r="AI32">
            <v>0</v>
          </cell>
          <cell r="AR32">
            <v>0</v>
          </cell>
          <cell r="BA32">
            <v>1</v>
          </cell>
          <cell r="BJ32">
            <v>2</v>
          </cell>
          <cell r="BS32">
            <v>2</v>
          </cell>
        </row>
        <row r="33">
          <cell r="Q33">
            <v>3</v>
          </cell>
          <cell r="Z33">
            <v>4</v>
          </cell>
          <cell r="AI33">
            <v>0</v>
          </cell>
          <cell r="AR33">
            <v>0</v>
          </cell>
          <cell r="BA33">
            <v>2</v>
          </cell>
          <cell r="BJ33">
            <v>1</v>
          </cell>
          <cell r="BS33">
            <v>2</v>
          </cell>
        </row>
        <row r="34">
          <cell r="Q34">
            <v>3</v>
          </cell>
          <cell r="Z34">
            <v>4</v>
          </cell>
          <cell r="AI34">
            <v>12</v>
          </cell>
          <cell r="AR34">
            <v>12</v>
          </cell>
          <cell r="BA34">
            <v>9</v>
          </cell>
          <cell r="BJ34">
            <v>6</v>
          </cell>
          <cell r="BS34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view="pageLayout" zoomScaleNormal="100" zoomScaleSheetLayoutView="100" workbookViewId="0">
      <selection activeCell="E96" sqref="D96:L96"/>
    </sheetView>
  </sheetViews>
  <sheetFormatPr defaultColWidth="8.42578125" defaultRowHeight="12.95"/>
  <cols>
    <col min="1" max="1" width="8.7109375" style="46" customWidth="1"/>
    <col min="2" max="2" width="21.85546875" style="46" customWidth="1"/>
    <col min="3" max="3" width="9.42578125" style="46" customWidth="1"/>
    <col min="4" max="5" width="6.42578125" style="46" customWidth="1"/>
    <col min="6" max="6" width="6.85546875" style="46" customWidth="1"/>
    <col min="7" max="7" width="6.42578125" style="46" customWidth="1"/>
    <col min="8" max="12" width="6.85546875" style="46" customWidth="1"/>
    <col min="13" max="13" width="7.85546875" style="46" customWidth="1"/>
    <col min="14" max="14" width="8.7109375" style="46" customWidth="1"/>
    <col min="15" max="15" width="7.85546875" style="46" customWidth="1"/>
    <col min="16" max="16" width="11.140625" style="46" bestFit="1" customWidth="1"/>
    <col min="17" max="16384" width="8.42578125" style="46"/>
  </cols>
  <sheetData>
    <row r="1" spans="1:16" ht="15.95">
      <c r="A1" s="45" t="s">
        <v>0</v>
      </c>
    </row>
    <row r="2" spans="1:16" s="48" customFormat="1" ht="14.25" customHeight="1">
      <c r="A2" s="46"/>
      <c r="B2" s="46"/>
      <c r="C2" s="46"/>
      <c r="D2" s="154" t="s">
        <v>1</v>
      </c>
      <c r="E2" s="155"/>
      <c r="F2" s="154" t="s">
        <v>2</v>
      </c>
      <c r="G2" s="158"/>
      <c r="H2" s="158"/>
      <c r="I2" s="155"/>
      <c r="J2" s="156" t="s">
        <v>3</v>
      </c>
      <c r="K2" s="157"/>
      <c r="L2" s="82" t="s">
        <v>4</v>
      </c>
      <c r="M2" s="46"/>
      <c r="N2" s="46"/>
      <c r="O2" s="46"/>
      <c r="P2" s="46"/>
    </row>
    <row r="3" spans="1:16" ht="26.1">
      <c r="A3" s="80" t="s">
        <v>5</v>
      </c>
      <c r="B3" s="80" t="s">
        <v>6</v>
      </c>
      <c r="C3" s="80" t="s">
        <v>7</v>
      </c>
      <c r="D3" s="80" t="s">
        <v>8</v>
      </c>
      <c r="E3" s="80" t="s">
        <v>9</v>
      </c>
      <c r="F3" s="80" t="s">
        <v>10</v>
      </c>
      <c r="G3" s="80" t="s">
        <v>11</v>
      </c>
      <c r="H3" s="80" t="s">
        <v>12</v>
      </c>
      <c r="I3" s="80" t="s">
        <v>13</v>
      </c>
      <c r="J3" s="80" t="s">
        <v>14</v>
      </c>
      <c r="K3" s="80" t="s">
        <v>15</v>
      </c>
      <c r="L3" s="80" t="s">
        <v>16</v>
      </c>
      <c r="M3" s="81" t="s">
        <v>17</v>
      </c>
      <c r="N3" s="81" t="s">
        <v>18</v>
      </c>
      <c r="O3" s="81" t="s">
        <v>19</v>
      </c>
      <c r="P3" s="81" t="s">
        <v>20</v>
      </c>
    </row>
    <row r="4" spans="1:16" ht="13.5">
      <c r="A4" s="138" t="s">
        <v>21</v>
      </c>
      <c r="B4" s="139" t="s">
        <v>22</v>
      </c>
      <c r="C4" s="49">
        <f>SUM(D4:L4)</f>
        <v>20</v>
      </c>
      <c r="D4" s="49" cm="1">
        <f t="array" ref="D4:L4">TRANSPOSE([1]MASTER!$Q$34:$Q$42)</f>
        <v>0</v>
      </c>
      <c r="E4" s="49">
        <v>2</v>
      </c>
      <c r="F4" s="49">
        <v>12</v>
      </c>
      <c r="G4" s="49">
        <v>4</v>
      </c>
      <c r="H4" s="49">
        <v>2</v>
      </c>
      <c r="I4" s="49">
        <v>0</v>
      </c>
      <c r="J4" s="49">
        <v>0</v>
      </c>
      <c r="K4" s="49">
        <v>0</v>
      </c>
      <c r="L4" s="49">
        <v>0</v>
      </c>
      <c r="M4" s="49">
        <f t="shared" ref="M4:M11" si="0">SUM(D4:I4)</f>
        <v>20</v>
      </c>
      <c r="N4" s="50">
        <f t="shared" ref="N4:N11" si="1">((M4/C4)*100)</f>
        <v>100</v>
      </c>
      <c r="O4" s="49">
        <f t="shared" ref="O4:O12" si="2">SUM(D4:K4)</f>
        <v>20</v>
      </c>
      <c r="P4" s="50">
        <f t="shared" ref="P4:P11" si="3">((O4/C4)*100)</f>
        <v>100</v>
      </c>
    </row>
    <row r="5" spans="1:16" ht="13.5">
      <c r="A5" s="140" t="s">
        <v>23</v>
      </c>
      <c r="B5" s="141" t="s">
        <v>24</v>
      </c>
      <c r="C5" s="49">
        <f t="shared" ref="C5:C11" si="4">SUM(D5:L5)</f>
        <v>20</v>
      </c>
      <c r="D5" s="49" cm="1">
        <f t="array" ref="D5:L5">TRANSPOSE([2]MASTER!$Q$34:$Q$42)</f>
        <v>0</v>
      </c>
      <c r="E5" s="49">
        <v>0</v>
      </c>
      <c r="F5" s="49">
        <v>4</v>
      </c>
      <c r="G5" s="49">
        <v>8</v>
      </c>
      <c r="H5" s="49">
        <v>7</v>
      </c>
      <c r="I5" s="49">
        <v>1</v>
      </c>
      <c r="J5" s="49">
        <v>0</v>
      </c>
      <c r="K5" s="49">
        <v>0</v>
      </c>
      <c r="L5" s="49">
        <v>0</v>
      </c>
      <c r="M5" s="49">
        <f t="shared" si="0"/>
        <v>20</v>
      </c>
      <c r="N5" s="50">
        <f t="shared" si="1"/>
        <v>100</v>
      </c>
      <c r="O5" s="49">
        <f t="shared" si="2"/>
        <v>20</v>
      </c>
      <c r="P5" s="50">
        <f t="shared" si="3"/>
        <v>100</v>
      </c>
    </row>
    <row r="6" spans="1:16" ht="13.5">
      <c r="A6" s="140" t="s">
        <v>25</v>
      </c>
      <c r="B6" s="141" t="s">
        <v>26</v>
      </c>
      <c r="C6" s="49">
        <f t="shared" si="4"/>
        <v>35</v>
      </c>
      <c r="D6" s="49" cm="1">
        <f t="array" ref="D6:L6">TRANSPOSE([3]MASTER!$Q$49:$Q$57)</f>
        <v>0</v>
      </c>
      <c r="E6" s="49">
        <v>0</v>
      </c>
      <c r="F6" s="49">
        <v>4</v>
      </c>
      <c r="G6" s="49">
        <v>8</v>
      </c>
      <c r="H6" s="49">
        <v>7</v>
      </c>
      <c r="I6" s="49">
        <v>2</v>
      </c>
      <c r="J6" s="49">
        <v>2</v>
      </c>
      <c r="K6" s="49">
        <v>0</v>
      </c>
      <c r="L6" s="49">
        <v>12</v>
      </c>
      <c r="M6" s="49">
        <f t="shared" si="0"/>
        <v>21</v>
      </c>
      <c r="N6" s="50">
        <f t="shared" si="1"/>
        <v>60</v>
      </c>
      <c r="O6" s="49">
        <f t="shared" si="2"/>
        <v>23</v>
      </c>
      <c r="P6" s="50">
        <f t="shared" si="3"/>
        <v>65.714285714285708</v>
      </c>
    </row>
    <row r="7" spans="1:16" ht="13.5">
      <c r="A7" s="140" t="s">
        <v>27</v>
      </c>
      <c r="B7" s="141" t="s">
        <v>26</v>
      </c>
      <c r="C7" s="49">
        <f t="shared" si="4"/>
        <v>24</v>
      </c>
      <c r="D7" s="49" cm="1">
        <f t="array" ref="D7:L7">TRANSPOSE([4]MASTER!$Q$56:$Q$64)</f>
        <v>0</v>
      </c>
      <c r="E7" s="49">
        <v>1</v>
      </c>
      <c r="F7" s="49">
        <v>3</v>
      </c>
      <c r="G7" s="49">
        <v>8</v>
      </c>
      <c r="H7" s="49">
        <v>4</v>
      </c>
      <c r="I7" s="49">
        <v>7</v>
      </c>
      <c r="J7" s="49">
        <v>1</v>
      </c>
      <c r="K7" s="49">
        <v>0</v>
      </c>
      <c r="L7" s="49">
        <v>0</v>
      </c>
      <c r="M7" s="49">
        <f t="shared" si="0"/>
        <v>23</v>
      </c>
      <c r="N7" s="50">
        <f t="shared" si="1"/>
        <v>95.833333333333343</v>
      </c>
      <c r="O7" s="49">
        <f t="shared" si="2"/>
        <v>24</v>
      </c>
      <c r="P7" s="50">
        <f t="shared" si="3"/>
        <v>100</v>
      </c>
    </row>
    <row r="8" spans="1:16" ht="13.5">
      <c r="A8" s="140" t="s">
        <v>28</v>
      </c>
      <c r="B8" s="141" t="s">
        <v>29</v>
      </c>
      <c r="C8" s="49">
        <f t="shared" si="4"/>
        <v>25</v>
      </c>
      <c r="D8" s="49" cm="1">
        <f t="array" ref="D8:L8">TRANSPOSE([5]MASTER!$Q$44:$Q$52)</f>
        <v>0</v>
      </c>
      <c r="E8" s="49">
        <v>0</v>
      </c>
      <c r="F8" s="49">
        <v>2</v>
      </c>
      <c r="G8" s="49">
        <v>4</v>
      </c>
      <c r="H8" s="49">
        <v>8</v>
      </c>
      <c r="I8" s="49">
        <v>5</v>
      </c>
      <c r="J8" s="49">
        <v>5</v>
      </c>
      <c r="K8" s="49">
        <v>0</v>
      </c>
      <c r="L8" s="49">
        <v>1</v>
      </c>
      <c r="M8" s="49">
        <f t="shared" si="0"/>
        <v>19</v>
      </c>
      <c r="N8" s="50">
        <f t="shared" si="1"/>
        <v>76</v>
      </c>
      <c r="O8" s="49">
        <f t="shared" si="2"/>
        <v>24</v>
      </c>
      <c r="P8" s="50">
        <f t="shared" si="3"/>
        <v>96</v>
      </c>
    </row>
    <row r="9" spans="1:16" ht="13.5">
      <c r="A9" s="140" t="s">
        <v>30</v>
      </c>
      <c r="B9" s="141" t="s">
        <v>22</v>
      </c>
      <c r="C9" s="49">
        <f t="shared" si="4"/>
        <v>24</v>
      </c>
      <c r="D9" s="49" cm="1">
        <f t="array" ref="D9:L9">TRANSPOSE([6]MASTER!$Q$56:$Q$64)</f>
        <v>0</v>
      </c>
      <c r="E9" s="49">
        <v>0</v>
      </c>
      <c r="F9" s="49">
        <v>0</v>
      </c>
      <c r="G9" s="49">
        <v>3</v>
      </c>
      <c r="H9" s="49">
        <v>5</v>
      </c>
      <c r="I9" s="49">
        <v>8</v>
      </c>
      <c r="J9" s="49">
        <v>5</v>
      </c>
      <c r="K9" s="49">
        <v>3</v>
      </c>
      <c r="L9" s="49">
        <v>0</v>
      </c>
      <c r="M9" s="49">
        <f t="shared" si="0"/>
        <v>16</v>
      </c>
      <c r="N9" s="50">
        <f t="shared" si="1"/>
        <v>66.666666666666657</v>
      </c>
      <c r="O9" s="49">
        <f t="shared" si="2"/>
        <v>24</v>
      </c>
      <c r="P9" s="50">
        <f t="shared" si="3"/>
        <v>100</v>
      </c>
    </row>
    <row r="10" spans="1:16" ht="13.5">
      <c r="A10" s="140" t="s">
        <v>31</v>
      </c>
      <c r="B10" s="141" t="s">
        <v>32</v>
      </c>
      <c r="C10" s="49">
        <f t="shared" si="4"/>
        <v>15</v>
      </c>
      <c r="D10" s="49" cm="1">
        <f t="array" ref="D10:L10">TRANSPOSE([7]MASTER!$Q$29:$Q$37)</f>
        <v>0</v>
      </c>
      <c r="E10" s="49">
        <v>0</v>
      </c>
      <c r="F10" s="49">
        <v>0</v>
      </c>
      <c r="G10" s="49">
        <v>0</v>
      </c>
      <c r="H10" s="49">
        <v>2</v>
      </c>
      <c r="I10" s="49">
        <v>3</v>
      </c>
      <c r="J10" s="49">
        <v>7</v>
      </c>
      <c r="K10" s="49">
        <v>1</v>
      </c>
      <c r="L10" s="49">
        <v>2</v>
      </c>
      <c r="M10" s="49">
        <f t="shared" si="0"/>
        <v>5</v>
      </c>
      <c r="N10" s="50">
        <f t="shared" si="1"/>
        <v>33.333333333333329</v>
      </c>
      <c r="O10" s="49">
        <f t="shared" si="2"/>
        <v>13</v>
      </c>
      <c r="P10" s="50">
        <f t="shared" si="3"/>
        <v>86.666666666666671</v>
      </c>
    </row>
    <row r="11" spans="1:16" ht="13.5">
      <c r="A11" s="140" t="s">
        <v>33</v>
      </c>
      <c r="B11" s="142" t="s">
        <v>24</v>
      </c>
      <c r="C11" s="49">
        <f t="shared" si="4"/>
        <v>12</v>
      </c>
      <c r="D11" s="49" cm="1">
        <f t="array" ref="D11:L11">TRANSPOSE([8]MASTER!$Q$26:$Q$34)</f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6</v>
      </c>
      <c r="K11" s="49">
        <v>4</v>
      </c>
      <c r="L11" s="49">
        <v>2</v>
      </c>
      <c r="M11" s="49">
        <f t="shared" si="0"/>
        <v>0</v>
      </c>
      <c r="N11" s="50">
        <f t="shared" si="1"/>
        <v>0</v>
      </c>
      <c r="O11" s="49">
        <f t="shared" si="2"/>
        <v>10</v>
      </c>
      <c r="P11" s="50">
        <f t="shared" si="3"/>
        <v>83.333333333333343</v>
      </c>
    </row>
    <row r="12" spans="1:16" ht="13.5">
      <c r="A12" s="51"/>
      <c r="B12" s="52" t="s">
        <v>34</v>
      </c>
      <c r="C12" s="47">
        <f t="shared" ref="C12:L12" si="5">SUM(C4:C10)</f>
        <v>163</v>
      </c>
      <c r="D12" s="47">
        <f t="shared" si="5"/>
        <v>0</v>
      </c>
      <c r="E12" s="47">
        <f t="shared" si="5"/>
        <v>3</v>
      </c>
      <c r="F12" s="47">
        <f t="shared" si="5"/>
        <v>25</v>
      </c>
      <c r="G12" s="47">
        <f t="shared" si="5"/>
        <v>35</v>
      </c>
      <c r="H12" s="47">
        <f t="shared" si="5"/>
        <v>35</v>
      </c>
      <c r="I12" s="47">
        <f t="shared" si="5"/>
        <v>26</v>
      </c>
      <c r="J12" s="47">
        <f t="shared" si="5"/>
        <v>20</v>
      </c>
      <c r="K12" s="47">
        <f t="shared" si="5"/>
        <v>4</v>
      </c>
      <c r="L12" s="47">
        <f t="shared" si="5"/>
        <v>15</v>
      </c>
      <c r="M12" s="47">
        <f>SUM(D12:I12)</f>
        <v>124</v>
      </c>
      <c r="N12" s="53">
        <f>((M12/C12)*100)</f>
        <v>76.073619631901849</v>
      </c>
      <c r="O12" s="47">
        <f t="shared" si="2"/>
        <v>148</v>
      </c>
      <c r="P12" s="53">
        <f>((O12/C12)*100)</f>
        <v>90.797546012269933</v>
      </c>
    </row>
    <row r="13" spans="1:16" ht="11.2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5"/>
      <c r="O13" s="54"/>
      <c r="P13" s="55"/>
    </row>
    <row r="14" spans="1:16" ht="15.95">
      <c r="A14" s="45" t="s">
        <v>35</v>
      </c>
    </row>
    <row r="15" spans="1:16" s="48" customFormat="1" ht="14.25" customHeight="1">
      <c r="A15" s="46"/>
      <c r="B15" s="46"/>
      <c r="C15" s="46"/>
      <c r="D15" s="154" t="s">
        <v>1</v>
      </c>
      <c r="E15" s="155"/>
      <c r="F15" s="154" t="s">
        <v>2</v>
      </c>
      <c r="G15" s="158"/>
      <c r="H15" s="158"/>
      <c r="I15" s="155"/>
      <c r="J15" s="156" t="s">
        <v>3</v>
      </c>
      <c r="K15" s="157"/>
      <c r="L15" s="82" t="s">
        <v>4</v>
      </c>
      <c r="M15" s="46"/>
      <c r="N15" s="46"/>
      <c r="O15" s="46"/>
      <c r="P15" s="46"/>
    </row>
    <row r="16" spans="1:16" ht="26.1">
      <c r="A16" s="80" t="s">
        <v>5</v>
      </c>
      <c r="B16" s="80" t="s">
        <v>6</v>
      </c>
      <c r="C16" s="80" t="s">
        <v>7</v>
      </c>
      <c r="D16" s="80" t="s">
        <v>8</v>
      </c>
      <c r="E16" s="80" t="s">
        <v>9</v>
      </c>
      <c r="F16" s="80" t="s">
        <v>10</v>
      </c>
      <c r="G16" s="80" t="s">
        <v>11</v>
      </c>
      <c r="H16" s="80" t="s">
        <v>12</v>
      </c>
      <c r="I16" s="80" t="s">
        <v>13</v>
      </c>
      <c r="J16" s="80" t="s">
        <v>14</v>
      </c>
      <c r="K16" s="80" t="s">
        <v>15</v>
      </c>
      <c r="L16" s="80" t="s">
        <v>16</v>
      </c>
      <c r="M16" s="81" t="s">
        <v>17</v>
      </c>
      <c r="N16" s="81" t="s">
        <v>18</v>
      </c>
      <c r="O16" s="81" t="s">
        <v>19</v>
      </c>
      <c r="P16" s="81" t="s">
        <v>20</v>
      </c>
    </row>
    <row r="17" spans="1:16" ht="13.5">
      <c r="A17" s="138" t="s">
        <v>21</v>
      </c>
      <c r="B17" s="139" t="s">
        <v>36</v>
      </c>
      <c r="C17" s="49">
        <f>SUM(D17:L17)</f>
        <v>20</v>
      </c>
      <c r="D17" s="61" cm="1">
        <f t="array" ref="D17:L17">TRANSPOSE([1]MASTER!$Z$34:$Z$42)</f>
        <v>3</v>
      </c>
      <c r="E17" s="61">
        <v>11</v>
      </c>
      <c r="F17" s="61">
        <v>6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49">
        <f t="shared" ref="M17" si="6">SUM(D17:I17)</f>
        <v>20</v>
      </c>
      <c r="N17" s="50">
        <f t="shared" ref="N17" si="7">((M17/C17)*100)</f>
        <v>100</v>
      </c>
      <c r="O17" s="49">
        <f t="shared" ref="O17:O25" si="8">SUM(D17:K17)</f>
        <v>20</v>
      </c>
      <c r="P17" s="50">
        <f t="shared" ref="P17:P24" si="9">((O17/C17)*100)</f>
        <v>100</v>
      </c>
    </row>
    <row r="18" spans="1:16" ht="13.5">
      <c r="A18" s="140" t="s">
        <v>23</v>
      </c>
      <c r="B18" s="141" t="s">
        <v>37</v>
      </c>
      <c r="C18" s="49">
        <f t="shared" ref="C18:C24" si="10">SUM(D18:L18)</f>
        <v>20</v>
      </c>
      <c r="D18" s="62" cm="1">
        <f t="array" ref="D18:L18">TRANSPOSE([2]MASTER!$Z$34:$Z$42)</f>
        <v>1</v>
      </c>
      <c r="E18" s="62">
        <v>10</v>
      </c>
      <c r="F18" s="62">
        <v>1</v>
      </c>
      <c r="G18" s="62">
        <v>5</v>
      </c>
      <c r="H18" s="62">
        <v>3</v>
      </c>
      <c r="I18" s="62">
        <v>0</v>
      </c>
      <c r="J18" s="62">
        <v>0</v>
      </c>
      <c r="K18" s="62">
        <v>0</v>
      </c>
      <c r="L18" s="62">
        <v>0</v>
      </c>
      <c r="M18" s="49">
        <f t="shared" ref="M18:M24" si="11">SUM(D18:I18)</f>
        <v>20</v>
      </c>
      <c r="N18" s="50">
        <f t="shared" ref="N18:N24" si="12">((M18/C18)*100)</f>
        <v>100</v>
      </c>
      <c r="O18" s="49">
        <f t="shared" si="8"/>
        <v>20</v>
      </c>
      <c r="P18" s="50">
        <f t="shared" si="9"/>
        <v>100</v>
      </c>
    </row>
    <row r="19" spans="1:16" ht="13.5">
      <c r="A19" s="140" t="s">
        <v>25</v>
      </c>
      <c r="B19" s="141" t="s">
        <v>36</v>
      </c>
      <c r="C19" s="49">
        <f t="shared" si="10"/>
        <v>23</v>
      </c>
      <c r="D19" s="62" cm="1">
        <f t="array" ref="D19:L19">TRANSPOSE([3]MASTER!$Z$49:$Z$57)</f>
        <v>0</v>
      </c>
      <c r="E19" s="62">
        <v>3</v>
      </c>
      <c r="F19" s="62">
        <v>14</v>
      </c>
      <c r="G19" s="62">
        <v>6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49">
        <f t="shared" si="11"/>
        <v>23</v>
      </c>
      <c r="N19" s="50">
        <f t="shared" si="12"/>
        <v>100</v>
      </c>
      <c r="O19" s="49">
        <f t="shared" si="8"/>
        <v>23</v>
      </c>
      <c r="P19" s="50">
        <f t="shared" si="9"/>
        <v>100</v>
      </c>
    </row>
    <row r="20" spans="1:16" ht="13.5">
      <c r="A20" s="140" t="s">
        <v>27</v>
      </c>
      <c r="B20" s="141" t="s">
        <v>37</v>
      </c>
      <c r="C20" s="49">
        <f t="shared" si="10"/>
        <v>24</v>
      </c>
      <c r="D20" s="62" cm="1">
        <f t="array" ref="D20:L20">TRANSPOSE([4]MASTER!$Z$56:$Z$64)</f>
        <v>0</v>
      </c>
      <c r="E20" s="62">
        <v>6</v>
      </c>
      <c r="F20" s="62">
        <v>3</v>
      </c>
      <c r="G20" s="62">
        <v>8</v>
      </c>
      <c r="H20" s="62">
        <v>5</v>
      </c>
      <c r="I20" s="62">
        <v>1</v>
      </c>
      <c r="J20" s="62">
        <v>1</v>
      </c>
      <c r="K20" s="62">
        <v>0</v>
      </c>
      <c r="L20" s="62">
        <v>0</v>
      </c>
      <c r="M20" s="49">
        <f t="shared" si="11"/>
        <v>23</v>
      </c>
      <c r="N20" s="50">
        <f t="shared" si="12"/>
        <v>95.833333333333343</v>
      </c>
      <c r="O20" s="49">
        <f t="shared" si="8"/>
        <v>24</v>
      </c>
      <c r="P20" s="50">
        <f t="shared" si="9"/>
        <v>100</v>
      </c>
    </row>
    <row r="21" spans="1:16" ht="13.5">
      <c r="A21" s="140" t="s">
        <v>28</v>
      </c>
      <c r="B21" s="141" t="s">
        <v>36</v>
      </c>
      <c r="C21" s="49">
        <f t="shared" si="10"/>
        <v>25</v>
      </c>
      <c r="D21" s="62" cm="1">
        <f t="array" ref="D21:L21">TRANSPOSE([5]MASTER!$Z$44:$Z$52)</f>
        <v>0</v>
      </c>
      <c r="E21" s="62">
        <v>4</v>
      </c>
      <c r="F21" s="62">
        <v>6</v>
      </c>
      <c r="G21" s="62">
        <v>5</v>
      </c>
      <c r="H21" s="62">
        <v>6</v>
      </c>
      <c r="I21" s="62">
        <v>1</v>
      </c>
      <c r="J21" s="62">
        <v>3</v>
      </c>
      <c r="K21" s="62">
        <v>0</v>
      </c>
      <c r="L21" s="62">
        <v>0</v>
      </c>
      <c r="M21" s="49">
        <f t="shared" si="11"/>
        <v>22</v>
      </c>
      <c r="N21" s="50">
        <f t="shared" si="12"/>
        <v>88</v>
      </c>
      <c r="O21" s="49">
        <f>SUM(D21:K21)</f>
        <v>25</v>
      </c>
      <c r="P21" s="50">
        <f>((O21/C21)*100)</f>
        <v>100</v>
      </c>
    </row>
    <row r="22" spans="1:16" ht="13.5">
      <c r="A22" s="140" t="s">
        <v>30</v>
      </c>
      <c r="B22" s="141" t="s">
        <v>38</v>
      </c>
      <c r="C22" s="49">
        <f t="shared" si="10"/>
        <v>24</v>
      </c>
      <c r="D22" s="62" cm="1">
        <f t="array" ref="D22:L22">TRANSPOSE([6]MASTER!$Z$56:$Z$64)</f>
        <v>0</v>
      </c>
      <c r="E22" s="62">
        <v>0</v>
      </c>
      <c r="F22" s="62">
        <v>2</v>
      </c>
      <c r="G22" s="62">
        <v>6</v>
      </c>
      <c r="H22" s="62">
        <v>6</v>
      </c>
      <c r="I22" s="62">
        <v>2</v>
      </c>
      <c r="J22" s="62">
        <v>8</v>
      </c>
      <c r="K22" s="62">
        <v>0</v>
      </c>
      <c r="L22" s="62">
        <v>0</v>
      </c>
      <c r="M22" s="49">
        <f t="shared" si="11"/>
        <v>16</v>
      </c>
      <c r="N22" s="50">
        <f t="shared" si="12"/>
        <v>66.666666666666657</v>
      </c>
      <c r="O22" s="49">
        <f t="shared" si="8"/>
        <v>24</v>
      </c>
      <c r="P22" s="50">
        <f t="shared" si="9"/>
        <v>100</v>
      </c>
    </row>
    <row r="23" spans="1:16" ht="13.5">
      <c r="A23" s="140" t="s">
        <v>31</v>
      </c>
      <c r="B23" s="141" t="s">
        <v>39</v>
      </c>
      <c r="C23" s="49">
        <f t="shared" si="10"/>
        <v>15</v>
      </c>
      <c r="D23" s="62" cm="1">
        <f t="array" ref="D23:L23">TRANSPOSE([7]MASTER!$Z$29:$Z$37)</f>
        <v>0</v>
      </c>
      <c r="E23" s="62">
        <v>0</v>
      </c>
      <c r="F23" s="62">
        <v>0</v>
      </c>
      <c r="G23" s="62">
        <v>1</v>
      </c>
      <c r="H23" s="62">
        <v>1</v>
      </c>
      <c r="I23" s="62">
        <v>3</v>
      </c>
      <c r="J23" s="62">
        <v>7</v>
      </c>
      <c r="K23" s="62">
        <v>2</v>
      </c>
      <c r="L23" s="62">
        <v>1</v>
      </c>
      <c r="M23" s="49">
        <f t="shared" si="11"/>
        <v>5</v>
      </c>
      <c r="N23" s="50">
        <f t="shared" si="12"/>
        <v>33.333333333333329</v>
      </c>
      <c r="O23" s="49">
        <f t="shared" si="8"/>
        <v>14</v>
      </c>
      <c r="P23" s="50">
        <f t="shared" si="9"/>
        <v>93.333333333333329</v>
      </c>
    </row>
    <row r="24" spans="1:16" ht="13.5">
      <c r="A24" s="140" t="s">
        <v>33</v>
      </c>
      <c r="B24" s="141" t="s">
        <v>38</v>
      </c>
      <c r="C24" s="49">
        <f t="shared" si="10"/>
        <v>12</v>
      </c>
      <c r="D24" s="62" cm="1">
        <f t="array" ref="D24:L24">TRANSPOSE([8]MASTER!$Z$26:$Z$34)</f>
        <v>0</v>
      </c>
      <c r="E24" s="62">
        <v>0</v>
      </c>
      <c r="F24" s="62">
        <v>0</v>
      </c>
      <c r="G24" s="62">
        <v>0</v>
      </c>
      <c r="H24" s="62">
        <v>1</v>
      </c>
      <c r="I24" s="62">
        <v>1</v>
      </c>
      <c r="J24" s="62">
        <v>1</v>
      </c>
      <c r="K24" s="62">
        <v>5</v>
      </c>
      <c r="L24" s="62">
        <v>4</v>
      </c>
      <c r="M24" s="49">
        <f t="shared" si="11"/>
        <v>2</v>
      </c>
      <c r="N24" s="50">
        <f t="shared" si="12"/>
        <v>16.666666666666664</v>
      </c>
      <c r="O24" s="49">
        <f t="shared" si="8"/>
        <v>8</v>
      </c>
      <c r="P24" s="50">
        <f t="shared" si="9"/>
        <v>66.666666666666657</v>
      </c>
    </row>
    <row r="25" spans="1:16">
      <c r="A25" s="51"/>
      <c r="B25" s="52" t="s">
        <v>34</v>
      </c>
      <c r="C25" s="47">
        <f t="shared" ref="C25:L25" si="13">SUM(C17:C23)</f>
        <v>151</v>
      </c>
      <c r="D25" s="47">
        <f t="shared" si="13"/>
        <v>4</v>
      </c>
      <c r="E25" s="47">
        <f t="shared" si="13"/>
        <v>34</v>
      </c>
      <c r="F25" s="47">
        <f t="shared" si="13"/>
        <v>32</v>
      </c>
      <c r="G25" s="47">
        <f t="shared" si="13"/>
        <v>31</v>
      </c>
      <c r="H25" s="47">
        <f t="shared" si="13"/>
        <v>21</v>
      </c>
      <c r="I25" s="47">
        <f t="shared" si="13"/>
        <v>7</v>
      </c>
      <c r="J25" s="47">
        <f t="shared" si="13"/>
        <v>19</v>
      </c>
      <c r="K25" s="47">
        <f t="shared" si="13"/>
        <v>2</v>
      </c>
      <c r="L25" s="47">
        <f t="shared" si="13"/>
        <v>1</v>
      </c>
      <c r="M25" s="47">
        <f t="shared" ref="M25" si="14">SUM(D25:I25)</f>
        <v>129</v>
      </c>
      <c r="N25" s="53">
        <f>((M25/C25)*100)</f>
        <v>85.430463576158942</v>
      </c>
      <c r="O25" s="47">
        <f t="shared" si="8"/>
        <v>150</v>
      </c>
      <c r="P25" s="53">
        <f>((O25/C25)*100)</f>
        <v>99.337748344370851</v>
      </c>
    </row>
    <row r="26" spans="1:1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5"/>
      <c r="O26" s="54"/>
      <c r="P26" s="55"/>
    </row>
    <row r="27" spans="1:16" ht="15.95">
      <c r="A27" s="45" t="s">
        <v>40</v>
      </c>
    </row>
    <row r="28" spans="1:16" s="48" customFormat="1" ht="14.25" customHeight="1">
      <c r="A28" s="46"/>
      <c r="B28" s="46"/>
      <c r="C28" s="46"/>
      <c r="D28" s="154" t="s">
        <v>1</v>
      </c>
      <c r="E28" s="155"/>
      <c r="F28" s="154" t="s">
        <v>2</v>
      </c>
      <c r="G28" s="158"/>
      <c r="H28" s="158"/>
      <c r="I28" s="155"/>
      <c r="J28" s="156" t="s">
        <v>3</v>
      </c>
      <c r="K28" s="157"/>
      <c r="L28" s="82" t="s">
        <v>4</v>
      </c>
      <c r="M28" s="46"/>
      <c r="N28" s="46"/>
      <c r="O28" s="46"/>
      <c r="P28" s="46"/>
    </row>
    <row r="29" spans="1:16" ht="26.1">
      <c r="A29" s="80" t="s">
        <v>5</v>
      </c>
      <c r="B29" s="80" t="s">
        <v>6</v>
      </c>
      <c r="C29" s="80" t="s">
        <v>7</v>
      </c>
      <c r="D29" s="80" t="s">
        <v>8</v>
      </c>
      <c r="E29" s="80" t="s">
        <v>9</v>
      </c>
      <c r="F29" s="80" t="s">
        <v>10</v>
      </c>
      <c r="G29" s="80" t="s">
        <v>11</v>
      </c>
      <c r="H29" s="80" t="s">
        <v>12</v>
      </c>
      <c r="I29" s="80" t="s">
        <v>13</v>
      </c>
      <c r="J29" s="80" t="s">
        <v>14</v>
      </c>
      <c r="K29" s="80" t="s">
        <v>15</v>
      </c>
      <c r="L29" s="80" t="s">
        <v>16</v>
      </c>
      <c r="M29" s="81" t="s">
        <v>17</v>
      </c>
      <c r="N29" s="81" t="s">
        <v>18</v>
      </c>
      <c r="O29" s="81" t="s">
        <v>19</v>
      </c>
      <c r="P29" s="81" t="s">
        <v>20</v>
      </c>
    </row>
    <row r="30" spans="1:16" ht="13.5">
      <c r="A30" s="138" t="s">
        <v>21</v>
      </c>
      <c r="B30" s="139" t="s">
        <v>41</v>
      </c>
      <c r="C30" s="49">
        <f>SUM(D30:L30)</f>
        <v>20</v>
      </c>
      <c r="D30" s="49" cm="1">
        <f t="array" ref="D30:L30">TRANSPOSE([1]MASTER!$BA$34:$BA$42)</f>
        <v>2</v>
      </c>
      <c r="E30" s="49">
        <v>6</v>
      </c>
      <c r="F30" s="49">
        <v>10</v>
      </c>
      <c r="G30" s="49">
        <v>1</v>
      </c>
      <c r="H30" s="49">
        <v>1</v>
      </c>
      <c r="I30" s="49">
        <v>0</v>
      </c>
      <c r="J30" s="49">
        <v>0</v>
      </c>
      <c r="K30" s="49">
        <v>0</v>
      </c>
      <c r="L30" s="49">
        <v>0</v>
      </c>
      <c r="M30" s="49">
        <f t="shared" ref="M30:M38" si="15">SUM(D30:I30)</f>
        <v>20</v>
      </c>
      <c r="N30" s="50">
        <f t="shared" ref="N30:N37" si="16">((M30/C30)*100)</f>
        <v>100</v>
      </c>
      <c r="O30" s="49">
        <f t="shared" ref="O30:O38" si="17">SUM(D30:K30)</f>
        <v>20</v>
      </c>
      <c r="P30" s="50">
        <f t="shared" ref="P30:P37" si="18">((O30/C30)*100)</f>
        <v>100</v>
      </c>
    </row>
    <row r="31" spans="1:16" ht="13.5">
      <c r="A31" s="140" t="s">
        <v>23</v>
      </c>
      <c r="B31" s="141" t="s">
        <v>41</v>
      </c>
      <c r="C31" s="49">
        <f t="shared" ref="C31:C37" si="19">SUM(D31:L31)</f>
        <v>20</v>
      </c>
      <c r="D31" s="49" cm="1">
        <f t="array" ref="D31:L31">TRANSPOSE([2]MASTER!$BA$34:$BA$42)</f>
        <v>2</v>
      </c>
      <c r="E31" s="49">
        <v>10</v>
      </c>
      <c r="F31" s="49">
        <v>1</v>
      </c>
      <c r="G31" s="49">
        <v>2</v>
      </c>
      <c r="H31" s="49">
        <v>1</v>
      </c>
      <c r="I31" s="49">
        <v>2</v>
      </c>
      <c r="J31" s="49">
        <v>1</v>
      </c>
      <c r="K31" s="49">
        <v>1</v>
      </c>
      <c r="L31" s="49">
        <v>0</v>
      </c>
      <c r="M31" s="49">
        <f t="shared" si="15"/>
        <v>18</v>
      </c>
      <c r="N31" s="50">
        <f t="shared" si="16"/>
        <v>90</v>
      </c>
      <c r="O31" s="49">
        <f t="shared" si="17"/>
        <v>20</v>
      </c>
      <c r="P31" s="50">
        <f t="shared" si="18"/>
        <v>100</v>
      </c>
    </row>
    <row r="32" spans="1:16" ht="13.5">
      <c r="A32" s="140" t="s">
        <v>25</v>
      </c>
      <c r="B32" s="141" t="s">
        <v>42</v>
      </c>
      <c r="C32" s="49">
        <f t="shared" si="19"/>
        <v>35</v>
      </c>
      <c r="D32" s="49" cm="1">
        <f t="array" ref="D32:L32">TRANSPOSE([3]MASTER!$BA$49:$BA$57)</f>
        <v>0</v>
      </c>
      <c r="E32" s="49">
        <v>9</v>
      </c>
      <c r="F32" s="49">
        <v>3</v>
      </c>
      <c r="G32" s="49">
        <v>7</v>
      </c>
      <c r="H32" s="49">
        <v>1</v>
      </c>
      <c r="I32" s="49">
        <v>2</v>
      </c>
      <c r="J32" s="49">
        <v>1</v>
      </c>
      <c r="K32" s="49">
        <v>0</v>
      </c>
      <c r="L32" s="49">
        <v>12</v>
      </c>
      <c r="M32" s="49">
        <f t="shared" si="15"/>
        <v>22</v>
      </c>
      <c r="N32" s="50">
        <f t="shared" si="16"/>
        <v>62.857142857142854</v>
      </c>
      <c r="O32" s="49">
        <f t="shared" si="17"/>
        <v>23</v>
      </c>
      <c r="P32" s="50">
        <f t="shared" si="18"/>
        <v>65.714285714285708</v>
      </c>
    </row>
    <row r="33" spans="1:16" ht="13.5">
      <c r="A33" s="140" t="s">
        <v>27</v>
      </c>
      <c r="B33" s="141" t="s">
        <v>42</v>
      </c>
      <c r="C33" s="49">
        <f t="shared" si="19"/>
        <v>24</v>
      </c>
      <c r="D33" s="49" cm="1">
        <f t="array" ref="D33:L33">TRANSPOSE([4]MASTER!$BA$56:$BA$64)</f>
        <v>1</v>
      </c>
      <c r="E33" s="49">
        <v>3</v>
      </c>
      <c r="F33" s="49">
        <v>2</v>
      </c>
      <c r="G33" s="49">
        <v>5</v>
      </c>
      <c r="H33" s="49">
        <v>3</v>
      </c>
      <c r="I33" s="49">
        <v>2</v>
      </c>
      <c r="J33" s="49">
        <v>5</v>
      </c>
      <c r="K33" s="49">
        <v>2</v>
      </c>
      <c r="L33" s="49">
        <v>1</v>
      </c>
      <c r="M33" s="49">
        <f t="shared" si="15"/>
        <v>16</v>
      </c>
      <c r="N33" s="50">
        <f t="shared" si="16"/>
        <v>66.666666666666657</v>
      </c>
      <c r="O33" s="49">
        <f t="shared" si="17"/>
        <v>23</v>
      </c>
      <c r="P33" s="50">
        <f t="shared" si="18"/>
        <v>95.833333333333343</v>
      </c>
    </row>
    <row r="34" spans="1:16" ht="13.5">
      <c r="A34" s="140" t="s">
        <v>28</v>
      </c>
      <c r="B34" s="141" t="s">
        <v>41</v>
      </c>
      <c r="C34" s="49">
        <f t="shared" si="19"/>
        <v>25</v>
      </c>
      <c r="D34" s="49" cm="1">
        <f t="array" ref="D34:L34">TRANSPOSE([5]MASTER!$BA$44:$BA$52)</f>
        <v>2</v>
      </c>
      <c r="E34" s="49">
        <v>2</v>
      </c>
      <c r="F34" s="49">
        <v>2</v>
      </c>
      <c r="G34" s="49">
        <v>4</v>
      </c>
      <c r="H34" s="49">
        <v>2</v>
      </c>
      <c r="I34" s="49">
        <v>1</v>
      </c>
      <c r="J34" s="49">
        <v>7</v>
      </c>
      <c r="K34" s="49">
        <v>1</v>
      </c>
      <c r="L34" s="49">
        <v>4</v>
      </c>
      <c r="M34" s="49">
        <f t="shared" si="15"/>
        <v>13</v>
      </c>
      <c r="N34" s="50">
        <f t="shared" si="16"/>
        <v>52</v>
      </c>
      <c r="O34" s="49">
        <f t="shared" si="17"/>
        <v>21</v>
      </c>
      <c r="P34" s="50">
        <f t="shared" si="18"/>
        <v>84</v>
      </c>
    </row>
    <row r="35" spans="1:16" ht="13.5">
      <c r="A35" s="140" t="s">
        <v>30</v>
      </c>
      <c r="B35" s="141" t="s">
        <v>42</v>
      </c>
      <c r="C35" s="49">
        <f t="shared" si="19"/>
        <v>24</v>
      </c>
      <c r="D35" s="49" cm="1">
        <f t="array" ref="D35:L35">TRANSPOSE([6]MASTER!$BA$56:$BA$64)</f>
        <v>0</v>
      </c>
      <c r="E35" s="49">
        <v>1</v>
      </c>
      <c r="F35" s="49">
        <v>2</v>
      </c>
      <c r="G35" s="49">
        <v>3</v>
      </c>
      <c r="H35" s="49">
        <v>0</v>
      </c>
      <c r="I35" s="49">
        <v>5</v>
      </c>
      <c r="J35" s="49">
        <v>7</v>
      </c>
      <c r="K35" s="49">
        <v>2</v>
      </c>
      <c r="L35" s="49">
        <v>4</v>
      </c>
      <c r="M35" s="49">
        <f>SUM(D35:I35)</f>
        <v>11</v>
      </c>
      <c r="N35" s="50">
        <f t="shared" si="16"/>
        <v>45.833333333333329</v>
      </c>
      <c r="O35" s="49">
        <f t="shared" si="17"/>
        <v>20</v>
      </c>
      <c r="P35" s="50">
        <f t="shared" si="18"/>
        <v>83.333333333333343</v>
      </c>
    </row>
    <row r="36" spans="1:16" ht="13.5">
      <c r="A36" s="140" t="s">
        <v>31</v>
      </c>
      <c r="B36" s="141" t="s">
        <v>41</v>
      </c>
      <c r="C36" s="49">
        <f t="shared" si="19"/>
        <v>15</v>
      </c>
      <c r="D36" s="49" cm="1">
        <f t="array" ref="D36:L36">TRANSPOSE([7]MASTER!$BA$29:$BA$37)</f>
        <v>0</v>
      </c>
      <c r="E36" s="49">
        <v>0</v>
      </c>
      <c r="F36" s="49">
        <v>0</v>
      </c>
      <c r="G36" s="49">
        <v>0</v>
      </c>
      <c r="H36" s="49">
        <v>2</v>
      </c>
      <c r="I36" s="49">
        <v>0</v>
      </c>
      <c r="J36" s="49">
        <v>2</v>
      </c>
      <c r="K36" s="49">
        <v>5</v>
      </c>
      <c r="L36" s="49">
        <v>6</v>
      </c>
      <c r="M36" s="49">
        <v>9</v>
      </c>
      <c r="N36" s="50">
        <f t="shared" si="16"/>
        <v>60</v>
      </c>
      <c r="O36" s="49">
        <f t="shared" si="17"/>
        <v>9</v>
      </c>
      <c r="P36" s="50">
        <f t="shared" si="18"/>
        <v>60</v>
      </c>
    </row>
    <row r="37" spans="1:16" ht="13.5">
      <c r="A37" s="140" t="s">
        <v>33</v>
      </c>
      <c r="B37" s="141" t="s">
        <v>42</v>
      </c>
      <c r="C37" s="49">
        <f t="shared" si="19"/>
        <v>12</v>
      </c>
      <c r="D37" s="49" cm="1">
        <f t="array" ref="D37:L37">TRANSPOSE([8]MASTER!$BA$26:$BA$34)</f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2</v>
      </c>
      <c r="K37" s="49">
        <v>1</v>
      </c>
      <c r="L37" s="49">
        <v>9</v>
      </c>
      <c r="M37" s="49">
        <v>9</v>
      </c>
      <c r="N37" s="50">
        <f t="shared" si="16"/>
        <v>75</v>
      </c>
      <c r="O37" s="49">
        <f t="shared" si="17"/>
        <v>3</v>
      </c>
      <c r="P37" s="50">
        <f t="shared" si="18"/>
        <v>25</v>
      </c>
    </row>
    <row r="38" spans="1:16">
      <c r="A38" s="51"/>
      <c r="B38" s="52" t="s">
        <v>34</v>
      </c>
      <c r="C38" s="47">
        <f>SUM(C30:C36)</f>
        <v>163</v>
      </c>
      <c r="D38" s="47">
        <f t="shared" ref="D38:L38" si="20">SUM(D30:D36)</f>
        <v>7</v>
      </c>
      <c r="E38" s="47">
        <f t="shared" si="20"/>
        <v>31</v>
      </c>
      <c r="F38" s="47">
        <f t="shared" si="20"/>
        <v>20</v>
      </c>
      <c r="G38" s="47">
        <f t="shared" si="20"/>
        <v>22</v>
      </c>
      <c r="H38" s="47">
        <f t="shared" si="20"/>
        <v>10</v>
      </c>
      <c r="I38" s="47">
        <f t="shared" si="20"/>
        <v>12</v>
      </c>
      <c r="J38" s="47">
        <f t="shared" si="20"/>
        <v>23</v>
      </c>
      <c r="K38" s="47">
        <f t="shared" si="20"/>
        <v>11</v>
      </c>
      <c r="L38" s="47">
        <f t="shared" si="20"/>
        <v>27</v>
      </c>
      <c r="M38" s="47">
        <f t="shared" si="15"/>
        <v>102</v>
      </c>
      <c r="N38" s="53">
        <f>((M38/C38)*100)</f>
        <v>62.576687116564422</v>
      </c>
      <c r="O38" s="47">
        <f t="shared" si="17"/>
        <v>136</v>
      </c>
      <c r="P38" s="53">
        <f>((O38/C38)*100)</f>
        <v>83.435582822085891</v>
      </c>
    </row>
    <row r="39" spans="1:16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4"/>
      <c r="P39" s="55"/>
    </row>
    <row r="40" spans="1:16" ht="15.95">
      <c r="A40" s="45" t="s">
        <v>43</v>
      </c>
    </row>
    <row r="41" spans="1:16" s="48" customFormat="1" ht="14.25" customHeight="1">
      <c r="A41" s="46"/>
      <c r="B41" s="46"/>
      <c r="C41" s="46"/>
      <c r="D41" s="154" t="s">
        <v>1</v>
      </c>
      <c r="E41" s="155"/>
      <c r="F41" s="154" t="s">
        <v>2</v>
      </c>
      <c r="G41" s="158"/>
      <c r="H41" s="158"/>
      <c r="I41" s="155"/>
      <c r="J41" s="156" t="s">
        <v>3</v>
      </c>
      <c r="K41" s="157"/>
      <c r="L41" s="82" t="s">
        <v>4</v>
      </c>
      <c r="M41" s="46"/>
      <c r="N41" s="46"/>
      <c r="O41" s="46"/>
      <c r="P41" s="46"/>
    </row>
    <row r="42" spans="1:16" ht="26.1">
      <c r="A42" s="80" t="s">
        <v>5</v>
      </c>
      <c r="B42" s="80" t="s">
        <v>6</v>
      </c>
      <c r="C42" s="80" t="s">
        <v>7</v>
      </c>
      <c r="D42" s="80" t="s">
        <v>8</v>
      </c>
      <c r="E42" s="80" t="s">
        <v>9</v>
      </c>
      <c r="F42" s="80" t="s">
        <v>10</v>
      </c>
      <c r="G42" s="80" t="s">
        <v>11</v>
      </c>
      <c r="H42" s="80" t="s">
        <v>12</v>
      </c>
      <c r="I42" s="80" t="s">
        <v>13</v>
      </c>
      <c r="J42" s="80" t="s">
        <v>14</v>
      </c>
      <c r="K42" s="80" t="s">
        <v>15</v>
      </c>
      <c r="L42" s="80" t="s">
        <v>16</v>
      </c>
      <c r="M42" s="81" t="s">
        <v>17</v>
      </c>
      <c r="N42" s="81" t="s">
        <v>18</v>
      </c>
      <c r="O42" s="81" t="s">
        <v>19</v>
      </c>
      <c r="P42" s="81" t="s">
        <v>20</v>
      </c>
    </row>
    <row r="43" spans="1:16" ht="14.25">
      <c r="A43" s="138" t="s">
        <v>21</v>
      </c>
      <c r="B43" s="143" t="s">
        <v>44</v>
      </c>
      <c r="C43" s="49">
        <f>SUM(D43:L43)</f>
        <v>20</v>
      </c>
      <c r="D43" s="56" cm="1">
        <f t="array" ref="D43:L43">TRANSPOSE([1]MASTER!$BS$34:$BS$42)</f>
        <v>0</v>
      </c>
      <c r="E43" s="56">
        <v>5</v>
      </c>
      <c r="F43" s="56">
        <v>6</v>
      </c>
      <c r="G43" s="56">
        <v>7</v>
      </c>
      <c r="H43" s="56">
        <v>1</v>
      </c>
      <c r="I43" s="56">
        <v>1</v>
      </c>
      <c r="J43" s="56">
        <v>0</v>
      </c>
      <c r="K43" s="56">
        <v>0</v>
      </c>
      <c r="L43" s="56">
        <v>0</v>
      </c>
      <c r="M43" s="56">
        <f t="shared" ref="M43:M50" si="21">SUM(D43:I43)</f>
        <v>20</v>
      </c>
      <c r="N43" s="57">
        <f t="shared" ref="N43:N50" si="22">((M43/C43)*100)</f>
        <v>100</v>
      </c>
      <c r="O43" s="56">
        <f t="shared" ref="O43:O51" si="23">SUM(D43:K43)</f>
        <v>20</v>
      </c>
      <c r="P43" s="57">
        <f t="shared" ref="P43:P50" si="24">((O43/C43)*100)</f>
        <v>100</v>
      </c>
    </row>
    <row r="44" spans="1:16" ht="14.25">
      <c r="A44" s="140" t="s">
        <v>23</v>
      </c>
      <c r="B44" s="143" t="s">
        <v>45</v>
      </c>
      <c r="C44" s="49">
        <f t="shared" ref="C44:C50" si="25">SUM(D44:L44)</f>
        <v>20</v>
      </c>
      <c r="D44" s="56" cm="1">
        <f t="array" ref="D44:L44">TRANSPOSE([2]MASTER!$BS$34:$BS$42)</f>
        <v>2</v>
      </c>
      <c r="E44" s="56">
        <v>8</v>
      </c>
      <c r="F44" s="56">
        <v>2</v>
      </c>
      <c r="G44" s="56">
        <v>4</v>
      </c>
      <c r="H44" s="56">
        <v>3</v>
      </c>
      <c r="I44" s="56">
        <v>0</v>
      </c>
      <c r="J44" s="56">
        <v>1</v>
      </c>
      <c r="K44" s="56">
        <v>0</v>
      </c>
      <c r="L44" s="56">
        <v>0</v>
      </c>
      <c r="M44" s="56">
        <f t="shared" si="21"/>
        <v>19</v>
      </c>
      <c r="N44" s="57">
        <f>((M44/C44)*100)</f>
        <v>95</v>
      </c>
      <c r="O44" s="56">
        <f t="shared" si="23"/>
        <v>20</v>
      </c>
      <c r="P44" s="57">
        <f t="shared" si="24"/>
        <v>100</v>
      </c>
    </row>
    <row r="45" spans="1:16" ht="14.25">
      <c r="A45" s="140" t="s">
        <v>25</v>
      </c>
      <c r="B45" s="143" t="s">
        <v>46</v>
      </c>
      <c r="C45" s="49">
        <f t="shared" si="25"/>
        <v>35</v>
      </c>
      <c r="D45" s="56" cm="1">
        <f t="array" ref="D45:L45">TRANSPOSE([3]MASTER!$BS$49:$BS$57)</f>
        <v>1</v>
      </c>
      <c r="E45" s="56">
        <v>14</v>
      </c>
      <c r="F45" s="56">
        <v>4</v>
      </c>
      <c r="G45" s="56">
        <v>4</v>
      </c>
      <c r="H45" s="56">
        <v>0</v>
      </c>
      <c r="I45" s="56">
        <v>0</v>
      </c>
      <c r="J45" s="56">
        <v>0</v>
      </c>
      <c r="K45" s="56">
        <v>0</v>
      </c>
      <c r="L45" s="56">
        <v>12</v>
      </c>
      <c r="M45" s="56">
        <f t="shared" si="21"/>
        <v>23</v>
      </c>
      <c r="N45" s="57">
        <f t="shared" si="22"/>
        <v>65.714285714285708</v>
      </c>
      <c r="O45" s="56">
        <f t="shared" si="23"/>
        <v>23</v>
      </c>
      <c r="P45" s="57">
        <f t="shared" si="24"/>
        <v>65.714285714285708</v>
      </c>
    </row>
    <row r="46" spans="1:16" ht="14.25">
      <c r="A46" s="140" t="s">
        <v>27</v>
      </c>
      <c r="B46" s="143" t="s">
        <v>44</v>
      </c>
      <c r="C46" s="49">
        <f t="shared" si="25"/>
        <v>24</v>
      </c>
      <c r="D46" s="56" cm="1">
        <f t="array" ref="D46:L46">TRANSPOSE([4]MASTER!$BS$56:$BS$64)</f>
        <v>0</v>
      </c>
      <c r="E46" s="56">
        <v>0</v>
      </c>
      <c r="F46" s="56">
        <v>0</v>
      </c>
      <c r="G46" s="56">
        <v>3</v>
      </c>
      <c r="H46" s="56">
        <v>4</v>
      </c>
      <c r="I46" s="56">
        <v>4</v>
      </c>
      <c r="J46" s="56">
        <v>9</v>
      </c>
      <c r="K46" s="56">
        <v>4</v>
      </c>
      <c r="L46" s="56">
        <v>0</v>
      </c>
      <c r="M46" s="56">
        <f>SUM(D46:I46)</f>
        <v>11</v>
      </c>
      <c r="N46" s="57">
        <f>((M46/C46)*100)</f>
        <v>45.833333333333329</v>
      </c>
      <c r="O46" s="56">
        <f>SUM(D46:K46)</f>
        <v>24</v>
      </c>
      <c r="P46" s="57">
        <f>((O46/C46)*100)</f>
        <v>100</v>
      </c>
    </row>
    <row r="47" spans="1:16" ht="14.25">
      <c r="A47" s="140" t="s">
        <v>28</v>
      </c>
      <c r="B47" s="143" t="s">
        <v>46</v>
      </c>
      <c r="C47" s="49">
        <f t="shared" si="25"/>
        <v>25</v>
      </c>
      <c r="D47" s="56" cm="1">
        <f t="array" ref="D47:L47">TRANSPOSE([5]MASTER!$BS$44:$BS$52)</f>
        <v>0</v>
      </c>
      <c r="E47" s="56">
        <v>2</v>
      </c>
      <c r="F47" s="56">
        <v>3</v>
      </c>
      <c r="G47" s="56">
        <v>3</v>
      </c>
      <c r="H47" s="56">
        <v>1</v>
      </c>
      <c r="I47" s="56">
        <v>3</v>
      </c>
      <c r="J47" s="56">
        <v>8</v>
      </c>
      <c r="K47" s="56">
        <v>4</v>
      </c>
      <c r="L47" s="56">
        <v>1</v>
      </c>
      <c r="M47" s="56">
        <f t="shared" si="21"/>
        <v>12</v>
      </c>
      <c r="N47" s="57">
        <f t="shared" si="22"/>
        <v>48</v>
      </c>
      <c r="O47" s="56">
        <f t="shared" si="23"/>
        <v>24</v>
      </c>
      <c r="P47" s="57">
        <f t="shared" si="24"/>
        <v>96</v>
      </c>
    </row>
    <row r="48" spans="1:16" ht="14.25">
      <c r="A48" s="140" t="s">
        <v>30</v>
      </c>
      <c r="B48" s="143" t="s">
        <v>46</v>
      </c>
      <c r="C48" s="49">
        <f t="shared" si="25"/>
        <v>24</v>
      </c>
      <c r="D48" s="56" cm="1">
        <f t="array" ref="D48:L48">TRANSPOSE([6]MASTER!$BS$56:$BS$64)</f>
        <v>0</v>
      </c>
      <c r="E48" s="56">
        <v>6</v>
      </c>
      <c r="F48" s="56">
        <v>4</v>
      </c>
      <c r="G48" s="56">
        <v>4</v>
      </c>
      <c r="H48" s="56">
        <v>7</v>
      </c>
      <c r="I48" s="56">
        <v>2</v>
      </c>
      <c r="J48" s="56">
        <v>1</v>
      </c>
      <c r="K48" s="56">
        <v>0</v>
      </c>
      <c r="L48" s="56">
        <v>0</v>
      </c>
      <c r="M48" s="56">
        <f t="shared" si="21"/>
        <v>23</v>
      </c>
      <c r="N48" s="57">
        <f t="shared" si="22"/>
        <v>95.833333333333343</v>
      </c>
      <c r="O48" s="56">
        <f t="shared" si="23"/>
        <v>24</v>
      </c>
      <c r="P48" s="57">
        <f t="shared" si="24"/>
        <v>100</v>
      </c>
    </row>
    <row r="49" spans="1:16" ht="14.25">
      <c r="A49" s="140" t="s">
        <v>31</v>
      </c>
      <c r="B49" s="143" t="s">
        <v>47</v>
      </c>
      <c r="C49" s="49">
        <f t="shared" si="25"/>
        <v>15</v>
      </c>
      <c r="D49" s="56" cm="1">
        <f t="array" ref="D49:L49">TRANSPOSE([7]MASTER!$BS$29:$BS$37)</f>
        <v>0</v>
      </c>
      <c r="E49" s="56">
        <v>0</v>
      </c>
      <c r="F49" s="56">
        <v>1</v>
      </c>
      <c r="G49" s="56">
        <v>0</v>
      </c>
      <c r="H49" s="56">
        <v>0</v>
      </c>
      <c r="I49" s="56">
        <v>5</v>
      </c>
      <c r="J49" s="56">
        <v>7</v>
      </c>
      <c r="K49" s="56">
        <v>1</v>
      </c>
      <c r="L49" s="56">
        <v>1</v>
      </c>
      <c r="M49" s="56">
        <f t="shared" si="21"/>
        <v>6</v>
      </c>
      <c r="N49" s="57">
        <f t="shared" si="22"/>
        <v>40</v>
      </c>
      <c r="O49" s="56">
        <f t="shared" si="23"/>
        <v>14</v>
      </c>
      <c r="P49" s="57">
        <f t="shared" si="24"/>
        <v>93.333333333333329</v>
      </c>
    </row>
    <row r="50" spans="1:16" ht="14.25">
      <c r="A50" s="140" t="s">
        <v>33</v>
      </c>
      <c r="B50" s="143" t="s">
        <v>45</v>
      </c>
      <c r="C50" s="49">
        <f t="shared" si="25"/>
        <v>12</v>
      </c>
      <c r="D50" s="56" cm="1">
        <f t="array" ref="D50:L50">TRANSPOSE([8]MASTER!$BS$26:$BS$34)</f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4</v>
      </c>
      <c r="L50" s="56">
        <v>8</v>
      </c>
      <c r="M50" s="56">
        <f t="shared" si="21"/>
        <v>0</v>
      </c>
      <c r="N50" s="57">
        <f t="shared" si="22"/>
        <v>0</v>
      </c>
      <c r="O50" s="56">
        <f t="shared" si="23"/>
        <v>4</v>
      </c>
      <c r="P50" s="57">
        <f t="shared" si="24"/>
        <v>33.333333333333329</v>
      </c>
    </row>
    <row r="51" spans="1:16">
      <c r="A51" s="51"/>
      <c r="B51" s="52" t="s">
        <v>34</v>
      </c>
      <c r="C51" s="47">
        <f t="shared" ref="C51:L51" si="26">SUM(C43:C49)</f>
        <v>163</v>
      </c>
      <c r="D51" s="47">
        <f t="shared" si="26"/>
        <v>3</v>
      </c>
      <c r="E51" s="47">
        <f t="shared" si="26"/>
        <v>35</v>
      </c>
      <c r="F51" s="47">
        <f t="shared" si="26"/>
        <v>20</v>
      </c>
      <c r="G51" s="47">
        <f t="shared" si="26"/>
        <v>25</v>
      </c>
      <c r="H51" s="47">
        <f t="shared" si="26"/>
        <v>16</v>
      </c>
      <c r="I51" s="47">
        <f t="shared" si="26"/>
        <v>15</v>
      </c>
      <c r="J51" s="47">
        <f t="shared" si="26"/>
        <v>26</v>
      </c>
      <c r="K51" s="47">
        <f t="shared" si="26"/>
        <v>9</v>
      </c>
      <c r="L51" s="47">
        <f t="shared" si="26"/>
        <v>14</v>
      </c>
      <c r="M51" s="47">
        <f>SUM(D51:I51)</f>
        <v>114</v>
      </c>
      <c r="N51" s="53">
        <f>((M51/C51)*100)</f>
        <v>69.938650306748457</v>
      </c>
      <c r="O51" s="47">
        <f t="shared" si="23"/>
        <v>149</v>
      </c>
      <c r="P51" s="53">
        <f>((O51/C51)*100)</f>
        <v>91.411042944785279</v>
      </c>
    </row>
    <row r="52" spans="1:16" ht="10.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5"/>
      <c r="O52" s="54"/>
      <c r="P52" s="55"/>
    </row>
    <row r="53" spans="1:16" ht="15.95">
      <c r="A53" s="45" t="s">
        <v>48</v>
      </c>
    </row>
    <row r="54" spans="1:16" s="48" customFormat="1" ht="14.25" customHeight="1">
      <c r="A54" s="46"/>
      <c r="B54" s="46"/>
      <c r="C54" s="46"/>
      <c r="D54" s="154" t="s">
        <v>1</v>
      </c>
      <c r="E54" s="155"/>
      <c r="F54" s="154" t="s">
        <v>2</v>
      </c>
      <c r="G54" s="158"/>
      <c r="H54" s="158"/>
      <c r="I54" s="155"/>
      <c r="J54" s="156" t="s">
        <v>3</v>
      </c>
      <c r="K54" s="157"/>
      <c r="L54" s="82" t="s">
        <v>4</v>
      </c>
      <c r="M54" s="46"/>
      <c r="N54" s="46"/>
      <c r="O54" s="46"/>
      <c r="P54" s="46"/>
    </row>
    <row r="55" spans="1:16" ht="26.1">
      <c r="A55" s="80" t="s">
        <v>5</v>
      </c>
      <c r="B55" s="80" t="s">
        <v>6</v>
      </c>
      <c r="C55" s="80" t="s">
        <v>7</v>
      </c>
      <c r="D55" s="80" t="s">
        <v>8</v>
      </c>
      <c r="E55" s="80" t="s">
        <v>9</v>
      </c>
      <c r="F55" s="80" t="s">
        <v>10</v>
      </c>
      <c r="G55" s="80" t="s">
        <v>11</v>
      </c>
      <c r="H55" s="80" t="s">
        <v>12</v>
      </c>
      <c r="I55" s="80" t="s">
        <v>13</v>
      </c>
      <c r="J55" s="80" t="s">
        <v>14</v>
      </c>
      <c r="K55" s="80" t="s">
        <v>15</v>
      </c>
      <c r="L55" s="80" t="s">
        <v>16</v>
      </c>
      <c r="M55" s="81" t="s">
        <v>17</v>
      </c>
      <c r="N55" s="81" t="s">
        <v>18</v>
      </c>
      <c r="O55" s="81" t="s">
        <v>19</v>
      </c>
      <c r="P55" s="81" t="s">
        <v>20</v>
      </c>
    </row>
    <row r="56" spans="1:16" ht="13.5">
      <c r="A56" s="138" t="s">
        <v>21</v>
      </c>
      <c r="B56" s="144" t="s">
        <v>49</v>
      </c>
      <c r="C56" s="49">
        <f t="shared" ref="C56:C63" si="27">SUM(D56:L56)</f>
        <v>20</v>
      </c>
      <c r="D56" s="58" cm="1">
        <f t="array" ref="D56:L56">TRANSPOSE([1]MASTER!$AI$34:$AI$42)</f>
        <v>0</v>
      </c>
      <c r="E56" s="58">
        <v>3</v>
      </c>
      <c r="F56" s="58">
        <v>5</v>
      </c>
      <c r="G56" s="58">
        <v>8</v>
      </c>
      <c r="H56" s="58">
        <v>1</v>
      </c>
      <c r="I56" s="58">
        <v>1</v>
      </c>
      <c r="J56" s="58">
        <v>2</v>
      </c>
      <c r="K56" s="58">
        <v>0</v>
      </c>
      <c r="L56" s="58">
        <v>0</v>
      </c>
      <c r="M56" s="49">
        <f t="shared" ref="M56:M64" si="28">SUM(D56:I56)</f>
        <v>18</v>
      </c>
      <c r="N56" s="50">
        <f t="shared" ref="N56:N63" si="29">((M56/C56)*100)</f>
        <v>90</v>
      </c>
      <c r="O56" s="49">
        <f t="shared" ref="O56:O64" si="30">SUM(D56:K56)</f>
        <v>20</v>
      </c>
      <c r="P56" s="50">
        <f t="shared" ref="P56:P63" si="31">((O56/C56)*100)</f>
        <v>100</v>
      </c>
    </row>
    <row r="57" spans="1:16" ht="13.5">
      <c r="A57" s="140" t="s">
        <v>23</v>
      </c>
      <c r="B57" s="144" t="s">
        <v>50</v>
      </c>
      <c r="C57" s="49">
        <f t="shared" si="27"/>
        <v>20</v>
      </c>
      <c r="D57" s="59" cm="1">
        <f t="array" ref="D57:L57">TRANSPOSE([2]MASTER!$AI$34:$AI$42)</f>
        <v>0</v>
      </c>
      <c r="E57" s="59">
        <v>2</v>
      </c>
      <c r="F57" s="59">
        <v>5</v>
      </c>
      <c r="G57" s="59">
        <v>3</v>
      </c>
      <c r="H57" s="59">
        <v>3</v>
      </c>
      <c r="I57" s="59">
        <v>2</v>
      </c>
      <c r="J57" s="59">
        <v>3</v>
      </c>
      <c r="K57" s="59">
        <v>2</v>
      </c>
      <c r="L57" s="59">
        <v>0</v>
      </c>
      <c r="M57" s="49">
        <f t="shared" si="28"/>
        <v>15</v>
      </c>
      <c r="N57" s="50">
        <f t="shared" si="29"/>
        <v>75</v>
      </c>
      <c r="O57" s="49">
        <f t="shared" si="30"/>
        <v>20</v>
      </c>
      <c r="P57" s="50">
        <f t="shared" si="31"/>
        <v>100</v>
      </c>
    </row>
    <row r="58" spans="1:16" ht="13.5">
      <c r="A58" s="140" t="s">
        <v>25</v>
      </c>
      <c r="B58" s="144" t="s">
        <v>51</v>
      </c>
      <c r="C58" s="49">
        <f t="shared" si="27"/>
        <v>35</v>
      </c>
      <c r="D58" s="59" cm="1">
        <f t="array" ref="D58:L58">TRANSPOSE([3]MASTER!$AI$49:$AI$57)</f>
        <v>0</v>
      </c>
      <c r="E58" s="59">
        <v>0</v>
      </c>
      <c r="F58" s="59">
        <v>1</v>
      </c>
      <c r="G58" s="59">
        <v>3</v>
      </c>
      <c r="H58" s="59">
        <v>4</v>
      </c>
      <c r="I58" s="59">
        <v>3</v>
      </c>
      <c r="J58" s="59">
        <v>7</v>
      </c>
      <c r="K58" s="59">
        <v>3</v>
      </c>
      <c r="L58" s="59">
        <v>14</v>
      </c>
      <c r="M58" s="49">
        <f t="shared" si="28"/>
        <v>11</v>
      </c>
      <c r="N58" s="50">
        <f t="shared" si="29"/>
        <v>31.428571428571427</v>
      </c>
      <c r="O58" s="49">
        <f t="shared" si="30"/>
        <v>21</v>
      </c>
      <c r="P58" s="50">
        <f t="shared" si="31"/>
        <v>60</v>
      </c>
    </row>
    <row r="59" spans="1:16" ht="13.5">
      <c r="A59" s="140" t="s">
        <v>27</v>
      </c>
      <c r="B59" s="144" t="s">
        <v>52</v>
      </c>
      <c r="C59" s="49">
        <f t="shared" si="27"/>
        <v>24</v>
      </c>
      <c r="D59" s="59" cm="1">
        <f t="array" ref="D59:L59">TRANSPOSE([4]MASTER!$AI$56:$AI$64)</f>
        <v>0</v>
      </c>
      <c r="E59" s="59">
        <v>0</v>
      </c>
      <c r="F59" s="59">
        <v>1</v>
      </c>
      <c r="G59" s="59">
        <v>0</v>
      </c>
      <c r="H59" s="59">
        <v>0</v>
      </c>
      <c r="I59" s="59">
        <v>3</v>
      </c>
      <c r="J59" s="59">
        <v>3</v>
      </c>
      <c r="K59" s="59">
        <v>9</v>
      </c>
      <c r="L59" s="59">
        <v>8</v>
      </c>
      <c r="M59" s="49">
        <f>SUM(D59:I59)</f>
        <v>4</v>
      </c>
      <c r="N59" s="50">
        <f>((M59/C59)*100)</f>
        <v>16.666666666666664</v>
      </c>
      <c r="O59" s="49">
        <f>SUM(D59:K59)</f>
        <v>16</v>
      </c>
      <c r="P59" s="50">
        <f>((O59/C59)*100)</f>
        <v>66.666666666666657</v>
      </c>
    </row>
    <row r="60" spans="1:16" ht="13.5">
      <c r="A60" s="140" t="s">
        <v>28</v>
      </c>
      <c r="B60" s="144" t="s">
        <v>50</v>
      </c>
      <c r="C60" s="49">
        <f t="shared" si="27"/>
        <v>25</v>
      </c>
      <c r="D60" s="59" cm="1">
        <f t="array" ref="D60:L60">TRANSPOSE([5]MASTER!$AI$44:$AI$52)</f>
        <v>0</v>
      </c>
      <c r="E60" s="59">
        <v>0</v>
      </c>
      <c r="F60" s="59">
        <v>2</v>
      </c>
      <c r="G60" s="59">
        <v>0</v>
      </c>
      <c r="H60" s="59">
        <v>2</v>
      </c>
      <c r="I60" s="59">
        <v>0</v>
      </c>
      <c r="J60" s="59">
        <v>4</v>
      </c>
      <c r="K60" s="59">
        <v>9</v>
      </c>
      <c r="L60" s="59">
        <v>8</v>
      </c>
      <c r="M60" s="49">
        <f t="shared" si="28"/>
        <v>4</v>
      </c>
      <c r="N60" s="50">
        <f t="shared" si="29"/>
        <v>16</v>
      </c>
      <c r="O60" s="49">
        <f t="shared" si="30"/>
        <v>17</v>
      </c>
      <c r="P60" s="50">
        <f t="shared" si="31"/>
        <v>68</v>
      </c>
    </row>
    <row r="61" spans="1:16" ht="13.5">
      <c r="A61" s="140" t="s">
        <v>30</v>
      </c>
      <c r="B61" s="144" t="s">
        <v>53</v>
      </c>
      <c r="C61" s="49">
        <f t="shared" si="27"/>
        <v>24</v>
      </c>
      <c r="D61" s="59" cm="1">
        <f t="array" ref="D61:L61">TRANSPOSE([6]MASTER!$AI$56:$AI$64)</f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5</v>
      </c>
      <c r="K61" s="59">
        <v>6</v>
      </c>
      <c r="L61" s="59">
        <v>13</v>
      </c>
      <c r="M61" s="49">
        <f t="shared" si="28"/>
        <v>0</v>
      </c>
      <c r="N61" s="50">
        <f t="shared" si="29"/>
        <v>0</v>
      </c>
      <c r="O61" s="49">
        <f t="shared" si="30"/>
        <v>11</v>
      </c>
      <c r="P61" s="50">
        <f t="shared" si="31"/>
        <v>45.833333333333329</v>
      </c>
    </row>
    <row r="62" spans="1:16" ht="13.5">
      <c r="A62" s="140" t="s">
        <v>31</v>
      </c>
      <c r="B62" s="144" t="s">
        <v>52</v>
      </c>
      <c r="C62" s="49">
        <f t="shared" si="27"/>
        <v>15</v>
      </c>
      <c r="D62" s="59" cm="1">
        <f t="array" ref="D62:L62">TRANSPOSE([7]MASTER!$AI$29:$AI$37)</f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15</v>
      </c>
      <c r="M62" s="49">
        <f t="shared" si="28"/>
        <v>0</v>
      </c>
      <c r="N62" s="50">
        <f t="shared" si="29"/>
        <v>0</v>
      </c>
      <c r="O62" s="49">
        <f t="shared" si="30"/>
        <v>0</v>
      </c>
      <c r="P62" s="50">
        <f t="shared" si="31"/>
        <v>0</v>
      </c>
    </row>
    <row r="63" spans="1:16" ht="13.5">
      <c r="A63" s="140" t="s">
        <v>33</v>
      </c>
      <c r="B63" s="144" t="s">
        <v>50</v>
      </c>
      <c r="C63" s="49">
        <f t="shared" si="27"/>
        <v>12</v>
      </c>
      <c r="D63" s="59" cm="1">
        <f t="array" ref="D63:L63">TRANSPOSE([8]MASTER!$AI$26:$AI$34)</f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12</v>
      </c>
      <c r="M63" s="49">
        <f t="shared" si="28"/>
        <v>0</v>
      </c>
      <c r="N63" s="50">
        <f t="shared" si="29"/>
        <v>0</v>
      </c>
      <c r="O63" s="49">
        <f t="shared" si="30"/>
        <v>0</v>
      </c>
      <c r="P63" s="50">
        <f t="shared" si="31"/>
        <v>0</v>
      </c>
    </row>
    <row r="64" spans="1:16">
      <c r="A64" s="51"/>
      <c r="B64" s="52" t="s">
        <v>34</v>
      </c>
      <c r="C64" s="47">
        <f t="shared" ref="C64:L64" si="32">SUM(C56:C62)</f>
        <v>163</v>
      </c>
      <c r="D64" s="47">
        <f t="shared" si="32"/>
        <v>0</v>
      </c>
      <c r="E64" s="47">
        <f t="shared" si="32"/>
        <v>5</v>
      </c>
      <c r="F64" s="47">
        <f t="shared" si="32"/>
        <v>14</v>
      </c>
      <c r="G64" s="47">
        <f t="shared" si="32"/>
        <v>14</v>
      </c>
      <c r="H64" s="47">
        <f t="shared" si="32"/>
        <v>10</v>
      </c>
      <c r="I64" s="47">
        <f t="shared" si="32"/>
        <v>9</v>
      </c>
      <c r="J64" s="47">
        <f t="shared" si="32"/>
        <v>24</v>
      </c>
      <c r="K64" s="47">
        <f t="shared" si="32"/>
        <v>29</v>
      </c>
      <c r="L64" s="47">
        <f t="shared" si="32"/>
        <v>58</v>
      </c>
      <c r="M64" s="47">
        <f t="shared" si="28"/>
        <v>52</v>
      </c>
      <c r="N64" s="53">
        <f>((M64/C64)*100)</f>
        <v>31.901840490797547</v>
      </c>
      <c r="O64" s="47">
        <f t="shared" si="30"/>
        <v>105</v>
      </c>
      <c r="P64" s="53">
        <f>((O64/C64)*100)</f>
        <v>64.417177914110425</v>
      </c>
    </row>
    <row r="65" spans="1:16" ht="13.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5"/>
      <c r="O65" s="54"/>
      <c r="P65" s="55"/>
    </row>
    <row r="66" spans="1:16" ht="15.95">
      <c r="A66" s="45" t="s">
        <v>54</v>
      </c>
    </row>
    <row r="67" spans="1:16" s="48" customFormat="1" ht="14.25" customHeight="1">
      <c r="A67" s="46"/>
      <c r="B67" s="46"/>
      <c r="C67" s="46"/>
      <c r="D67" s="154" t="s">
        <v>1</v>
      </c>
      <c r="E67" s="155"/>
      <c r="F67" s="154" t="s">
        <v>2</v>
      </c>
      <c r="G67" s="158"/>
      <c r="H67" s="158"/>
      <c r="I67" s="155"/>
      <c r="J67" s="156" t="s">
        <v>3</v>
      </c>
      <c r="K67" s="157"/>
      <c r="L67" s="82" t="s">
        <v>4</v>
      </c>
      <c r="M67" s="46"/>
      <c r="N67" s="46"/>
      <c r="O67" s="46"/>
      <c r="P67" s="46"/>
    </row>
    <row r="68" spans="1:16" ht="26.1">
      <c r="A68" s="80" t="s">
        <v>5</v>
      </c>
      <c r="B68" s="80" t="s">
        <v>6</v>
      </c>
      <c r="C68" s="80" t="s">
        <v>7</v>
      </c>
      <c r="D68" s="80" t="s">
        <v>8</v>
      </c>
      <c r="E68" s="80" t="s">
        <v>9</v>
      </c>
      <c r="F68" s="80" t="s">
        <v>10</v>
      </c>
      <c r="G68" s="80" t="s">
        <v>11</v>
      </c>
      <c r="H68" s="80" t="s">
        <v>12</v>
      </c>
      <c r="I68" s="80" t="s">
        <v>13</v>
      </c>
      <c r="J68" s="80" t="s">
        <v>14</v>
      </c>
      <c r="K68" s="80" t="s">
        <v>15</v>
      </c>
      <c r="L68" s="80" t="s">
        <v>16</v>
      </c>
      <c r="M68" s="81" t="s">
        <v>17</v>
      </c>
      <c r="N68" s="81" t="s">
        <v>18</v>
      </c>
      <c r="O68" s="81" t="s">
        <v>19</v>
      </c>
      <c r="P68" s="81" t="s">
        <v>20</v>
      </c>
    </row>
    <row r="69" spans="1:16" ht="13.5">
      <c r="A69" s="138" t="s">
        <v>21</v>
      </c>
      <c r="B69" s="139" t="s">
        <v>55</v>
      </c>
      <c r="C69" s="49">
        <f t="shared" ref="C69:C76" si="33">SUM(D69:L69)</f>
        <v>20</v>
      </c>
      <c r="D69" s="49" cm="1">
        <f t="array" ref="D69:L69">TRANSPOSE([1]MASTER!$AR$34:$AR$42)</f>
        <v>0</v>
      </c>
      <c r="E69" s="49">
        <v>0</v>
      </c>
      <c r="F69" s="49">
        <v>0</v>
      </c>
      <c r="G69" s="49">
        <v>2</v>
      </c>
      <c r="H69" s="49">
        <v>5</v>
      </c>
      <c r="I69" s="49">
        <v>7</v>
      </c>
      <c r="J69" s="49">
        <v>6</v>
      </c>
      <c r="K69" s="49">
        <v>0</v>
      </c>
      <c r="L69" s="49">
        <v>0</v>
      </c>
      <c r="M69" s="49">
        <f t="shared" ref="M69:M77" si="34">SUM(D69:I69)</f>
        <v>14</v>
      </c>
      <c r="N69" s="50">
        <f t="shared" ref="N69:N76" si="35">((M69/C69)*100)</f>
        <v>70</v>
      </c>
      <c r="O69" s="49">
        <f>SUM(D69:K69)</f>
        <v>20</v>
      </c>
      <c r="P69" s="50">
        <f t="shared" ref="P69:P74" si="36">((O69/C69)*100)</f>
        <v>100</v>
      </c>
    </row>
    <row r="70" spans="1:16" ht="13.5">
      <c r="A70" s="140" t="s">
        <v>23</v>
      </c>
      <c r="B70" s="141" t="s">
        <v>56</v>
      </c>
      <c r="C70" s="49">
        <f t="shared" si="33"/>
        <v>20</v>
      </c>
      <c r="D70" s="49" cm="1">
        <f t="array" ref="D70:L70">TRANSPOSE([2]MASTER!$AR$34:$AR$42)</f>
        <v>0</v>
      </c>
      <c r="E70" s="49">
        <v>0</v>
      </c>
      <c r="F70" s="49">
        <v>3</v>
      </c>
      <c r="G70" s="49">
        <v>2</v>
      </c>
      <c r="H70" s="49">
        <v>3</v>
      </c>
      <c r="I70" s="49">
        <v>6</v>
      </c>
      <c r="J70" s="49">
        <v>6</v>
      </c>
      <c r="K70" s="49">
        <v>0</v>
      </c>
      <c r="L70" s="49">
        <v>0</v>
      </c>
      <c r="M70" s="49">
        <f t="shared" si="34"/>
        <v>14</v>
      </c>
      <c r="N70" s="50">
        <f t="shared" si="35"/>
        <v>70</v>
      </c>
      <c r="O70" s="49">
        <f t="shared" ref="O70:O77" si="37">SUM(D70:K70)</f>
        <v>20</v>
      </c>
      <c r="P70" s="50">
        <f t="shared" si="36"/>
        <v>100</v>
      </c>
    </row>
    <row r="71" spans="1:16" ht="13.5">
      <c r="A71" s="140" t="s">
        <v>25</v>
      </c>
      <c r="B71" s="141" t="s">
        <v>55</v>
      </c>
      <c r="C71" s="49">
        <f t="shared" si="33"/>
        <v>35</v>
      </c>
      <c r="D71" s="49" cm="1">
        <f t="array" ref="D71:L71">TRANSPOSE([3]MASTER!$AR$49:$AR$57)</f>
        <v>0</v>
      </c>
      <c r="E71" s="49">
        <v>0</v>
      </c>
      <c r="F71" s="49">
        <v>0</v>
      </c>
      <c r="G71" s="49">
        <v>0</v>
      </c>
      <c r="H71" s="49">
        <v>1</v>
      </c>
      <c r="I71" s="49">
        <v>5</v>
      </c>
      <c r="J71" s="49">
        <v>11</v>
      </c>
      <c r="K71" s="49">
        <v>4</v>
      </c>
      <c r="L71" s="49">
        <v>14</v>
      </c>
      <c r="M71" s="49">
        <f>SUM(D71:I71)</f>
        <v>6</v>
      </c>
      <c r="N71" s="50">
        <f>((M71/C71)*100)</f>
        <v>17.142857142857142</v>
      </c>
      <c r="O71" s="49">
        <f>SUM(D71:K71)</f>
        <v>21</v>
      </c>
      <c r="P71" s="50">
        <f>((O71/C71)*100)</f>
        <v>60</v>
      </c>
    </row>
    <row r="72" spans="1:16" ht="13.5">
      <c r="A72" s="140" t="s">
        <v>27</v>
      </c>
      <c r="B72" s="141" t="s">
        <v>56</v>
      </c>
      <c r="C72" s="49">
        <f t="shared" si="33"/>
        <v>24</v>
      </c>
      <c r="D72" s="49" cm="1">
        <f t="array" ref="D72:L72">TRANSPOSE([4]MASTER!$AR$56:$AR$64)</f>
        <v>0</v>
      </c>
      <c r="E72" s="49">
        <v>0</v>
      </c>
      <c r="F72" s="49">
        <v>1</v>
      </c>
      <c r="G72" s="49">
        <v>0</v>
      </c>
      <c r="H72" s="49">
        <v>0</v>
      </c>
      <c r="I72" s="49">
        <v>4</v>
      </c>
      <c r="J72" s="49">
        <v>11</v>
      </c>
      <c r="K72" s="49">
        <v>7</v>
      </c>
      <c r="L72" s="49">
        <v>1</v>
      </c>
      <c r="M72" s="49">
        <f t="shared" si="34"/>
        <v>5</v>
      </c>
      <c r="N72" s="50">
        <f t="shared" si="35"/>
        <v>20.833333333333336</v>
      </c>
      <c r="O72" s="49">
        <f t="shared" si="37"/>
        <v>23</v>
      </c>
      <c r="P72" s="50">
        <f t="shared" si="36"/>
        <v>95.833333333333343</v>
      </c>
    </row>
    <row r="73" spans="1:16" ht="13.5">
      <c r="A73" s="140" t="s">
        <v>28</v>
      </c>
      <c r="B73" s="141" t="s">
        <v>55</v>
      </c>
      <c r="C73" s="49">
        <f t="shared" si="33"/>
        <v>25</v>
      </c>
      <c r="D73" s="49" cm="1">
        <f t="array" ref="D73:L73">TRANSPOSE([5]MASTER!$AR$44:$AR$52)</f>
        <v>0</v>
      </c>
      <c r="E73" s="49">
        <v>0</v>
      </c>
      <c r="F73" s="49">
        <v>0</v>
      </c>
      <c r="G73" s="49">
        <v>1</v>
      </c>
      <c r="H73" s="49">
        <v>0</v>
      </c>
      <c r="I73" s="49">
        <v>2</v>
      </c>
      <c r="J73" s="49">
        <v>2</v>
      </c>
      <c r="K73" s="49">
        <v>7</v>
      </c>
      <c r="L73" s="49">
        <v>13</v>
      </c>
      <c r="M73" s="49">
        <f t="shared" si="34"/>
        <v>3</v>
      </c>
      <c r="N73" s="50">
        <f t="shared" si="35"/>
        <v>12</v>
      </c>
      <c r="O73" s="49">
        <f>SUM(D73:K73)</f>
        <v>12</v>
      </c>
      <c r="P73" s="50">
        <f t="shared" si="36"/>
        <v>48</v>
      </c>
    </row>
    <row r="74" spans="1:16" ht="13.5">
      <c r="A74" s="140" t="s">
        <v>30</v>
      </c>
      <c r="B74" s="141" t="s">
        <v>56</v>
      </c>
      <c r="C74" s="49">
        <f t="shared" si="33"/>
        <v>24</v>
      </c>
      <c r="D74" s="49" cm="1">
        <f t="array" ref="D74:L74">TRANSPOSE([6]MASTER!$AR$56:$AR$64)</f>
        <v>0</v>
      </c>
      <c r="E74" s="49">
        <v>0</v>
      </c>
      <c r="F74" s="49">
        <v>0</v>
      </c>
      <c r="G74" s="49">
        <v>0</v>
      </c>
      <c r="H74" s="49">
        <v>1</v>
      </c>
      <c r="I74" s="49">
        <v>2</v>
      </c>
      <c r="J74" s="49">
        <v>4</v>
      </c>
      <c r="K74" s="49">
        <v>10</v>
      </c>
      <c r="L74" s="49">
        <v>7</v>
      </c>
      <c r="M74" s="49">
        <f t="shared" si="34"/>
        <v>3</v>
      </c>
      <c r="N74" s="50">
        <f t="shared" si="35"/>
        <v>12.5</v>
      </c>
      <c r="O74" s="49">
        <f t="shared" si="37"/>
        <v>17</v>
      </c>
      <c r="P74" s="50">
        <f t="shared" si="36"/>
        <v>70.833333333333343</v>
      </c>
    </row>
    <row r="75" spans="1:16" ht="13.5">
      <c r="A75" s="140" t="s">
        <v>31</v>
      </c>
      <c r="B75" s="141" t="s">
        <v>55</v>
      </c>
      <c r="C75" s="49">
        <f t="shared" si="33"/>
        <v>15</v>
      </c>
      <c r="D75" s="49" cm="1">
        <f t="array" ref="D75:L75">TRANSPOSE([7]MASTER!$AR$29:$AR$37)</f>
        <v>0</v>
      </c>
      <c r="E75" s="49">
        <v>0</v>
      </c>
      <c r="F75" s="49">
        <v>0</v>
      </c>
      <c r="G75" s="49">
        <v>0</v>
      </c>
      <c r="H75" s="49">
        <v>0</v>
      </c>
      <c r="I75" s="49">
        <v>0</v>
      </c>
      <c r="J75" s="49">
        <v>0</v>
      </c>
      <c r="K75" s="49">
        <v>1</v>
      </c>
      <c r="L75" s="49">
        <v>14</v>
      </c>
      <c r="M75" s="49">
        <f t="shared" si="34"/>
        <v>0</v>
      </c>
      <c r="N75" s="50">
        <f t="shared" si="35"/>
        <v>0</v>
      </c>
      <c r="O75" s="49">
        <f t="shared" si="37"/>
        <v>1</v>
      </c>
    </row>
    <row r="76" spans="1:16" ht="13.5">
      <c r="A76" s="140" t="s">
        <v>33</v>
      </c>
      <c r="B76" s="141" t="s">
        <v>55</v>
      </c>
      <c r="C76" s="49">
        <f t="shared" si="33"/>
        <v>12</v>
      </c>
      <c r="D76" s="49" cm="1">
        <f t="array" ref="D76:L76">TRANSPOSE([8]MASTER!$AR$26:$AR$34)</f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12</v>
      </c>
      <c r="M76" s="49">
        <f t="shared" si="34"/>
        <v>0</v>
      </c>
      <c r="N76" s="50">
        <f t="shared" si="35"/>
        <v>0</v>
      </c>
      <c r="O76" s="49">
        <f t="shared" si="37"/>
        <v>0</v>
      </c>
      <c r="P76" s="50">
        <f>((O75/C75)*100)</f>
        <v>6.666666666666667</v>
      </c>
    </row>
    <row r="77" spans="1:16">
      <c r="A77" s="51"/>
      <c r="B77" s="52" t="s">
        <v>34</v>
      </c>
      <c r="C77" s="47">
        <f t="shared" ref="C77:L77" si="38">SUM(C69:C75)</f>
        <v>163</v>
      </c>
      <c r="D77" s="47">
        <f t="shared" si="38"/>
        <v>0</v>
      </c>
      <c r="E77" s="47">
        <f t="shared" si="38"/>
        <v>0</v>
      </c>
      <c r="F77" s="47">
        <f t="shared" si="38"/>
        <v>4</v>
      </c>
      <c r="G77" s="47">
        <f t="shared" si="38"/>
        <v>5</v>
      </c>
      <c r="H77" s="47">
        <f t="shared" si="38"/>
        <v>10</v>
      </c>
      <c r="I77" s="47">
        <f t="shared" si="38"/>
        <v>26</v>
      </c>
      <c r="J77" s="47">
        <f t="shared" si="38"/>
        <v>40</v>
      </c>
      <c r="K77" s="47">
        <f t="shared" si="38"/>
        <v>29</v>
      </c>
      <c r="L77" s="47">
        <f t="shared" si="38"/>
        <v>49</v>
      </c>
      <c r="M77" s="47">
        <f t="shared" si="34"/>
        <v>45</v>
      </c>
      <c r="N77" s="53">
        <f>((M77/C77)*100)</f>
        <v>27.607361963190186</v>
      </c>
      <c r="O77" s="47">
        <f t="shared" si="37"/>
        <v>114</v>
      </c>
      <c r="P77" s="53">
        <f>((O77/C77)*100)</f>
        <v>69.938650306748457</v>
      </c>
    </row>
    <row r="78" spans="1:16" ht="23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5"/>
      <c r="O78" s="54"/>
      <c r="P78" s="55"/>
    </row>
    <row r="79" spans="1:16" ht="15.95">
      <c r="A79" s="45" t="s">
        <v>57</v>
      </c>
    </row>
    <row r="80" spans="1:16" s="48" customFormat="1" ht="14.25" customHeight="1">
      <c r="A80" s="46"/>
      <c r="B80" s="46"/>
      <c r="C80" s="46"/>
      <c r="D80" s="154" t="s">
        <v>1</v>
      </c>
      <c r="E80" s="155"/>
      <c r="F80" s="154" t="s">
        <v>2</v>
      </c>
      <c r="G80" s="158"/>
      <c r="H80" s="158"/>
      <c r="I80" s="155"/>
      <c r="J80" s="156" t="s">
        <v>3</v>
      </c>
      <c r="K80" s="157"/>
      <c r="L80" s="82" t="s">
        <v>4</v>
      </c>
      <c r="M80" s="46"/>
      <c r="N80" s="46"/>
      <c r="O80" s="46"/>
      <c r="P80" s="46"/>
    </row>
    <row r="81" spans="1:16" ht="26.1">
      <c r="A81" s="80" t="s">
        <v>5</v>
      </c>
      <c r="B81" s="80" t="s">
        <v>6</v>
      </c>
      <c r="C81" s="80" t="s">
        <v>7</v>
      </c>
      <c r="D81" s="80" t="s">
        <v>8</v>
      </c>
      <c r="E81" s="80" t="s">
        <v>9</v>
      </c>
      <c r="F81" s="80" t="s">
        <v>10</v>
      </c>
      <c r="G81" s="80" t="s">
        <v>11</v>
      </c>
      <c r="H81" s="80" t="s">
        <v>12</v>
      </c>
      <c r="I81" s="80" t="s">
        <v>13</v>
      </c>
      <c r="J81" s="80" t="s">
        <v>14</v>
      </c>
      <c r="K81" s="80" t="s">
        <v>15</v>
      </c>
      <c r="L81" s="80" t="s">
        <v>16</v>
      </c>
      <c r="M81" s="81" t="s">
        <v>17</v>
      </c>
      <c r="N81" s="81" t="s">
        <v>18</v>
      </c>
      <c r="O81" s="81" t="s">
        <v>19</v>
      </c>
      <c r="P81" s="81" t="s">
        <v>20</v>
      </c>
    </row>
    <row r="82" spans="1:16" ht="13.5">
      <c r="A82" s="138" t="s">
        <v>25</v>
      </c>
      <c r="B82" s="139" t="s">
        <v>58</v>
      </c>
      <c r="C82" s="49">
        <f t="shared" ref="C82" si="39">SUM(D82:L82)</f>
        <v>35</v>
      </c>
      <c r="D82" s="49" cm="1">
        <f t="array" ref="D82:L82">TRANSPOSE([3]MASTER!$CK$49:$CK$57)</f>
        <v>0</v>
      </c>
      <c r="E82" s="49">
        <v>3</v>
      </c>
      <c r="F82" s="49">
        <v>4</v>
      </c>
      <c r="G82" s="49">
        <v>3</v>
      </c>
      <c r="H82" s="49">
        <v>2</v>
      </c>
      <c r="I82" s="49">
        <v>6</v>
      </c>
      <c r="J82" s="49">
        <v>4</v>
      </c>
      <c r="K82" s="49">
        <v>1</v>
      </c>
      <c r="L82" s="49">
        <v>12</v>
      </c>
      <c r="M82" s="49">
        <f t="shared" ref="M82:M85" si="40">SUM(D82:I82)</f>
        <v>18</v>
      </c>
      <c r="N82" s="50">
        <f t="shared" ref="N82:N85" si="41">((M82/C82)*100)</f>
        <v>51.428571428571423</v>
      </c>
      <c r="O82" s="49">
        <f t="shared" ref="O82:O85" si="42">SUM(D82:K82)</f>
        <v>23</v>
      </c>
      <c r="P82" s="50">
        <f t="shared" ref="P82:P85" si="43">((O82/C82)*100)</f>
        <v>65.714285714285708</v>
      </c>
    </row>
    <row r="83" spans="1:16" ht="13.5">
      <c r="A83" s="140" t="s">
        <v>27</v>
      </c>
      <c r="B83" s="141" t="s">
        <v>58</v>
      </c>
      <c r="C83" s="49">
        <f t="shared" ref="C82:C84" si="44">SUM(D83:L83)</f>
        <v>24</v>
      </c>
      <c r="D83" s="49" cm="1">
        <f t="array" ref="D83:L83">TRANSPOSE([4]MASTER!$CK$56:$CK$64)</f>
        <v>0</v>
      </c>
      <c r="E83" s="49">
        <v>2</v>
      </c>
      <c r="F83" s="49">
        <v>2</v>
      </c>
      <c r="G83" s="49">
        <v>7</v>
      </c>
      <c r="H83" s="49">
        <v>3</v>
      </c>
      <c r="I83" s="49">
        <v>6</v>
      </c>
      <c r="J83" s="49">
        <v>3</v>
      </c>
      <c r="K83" s="49">
        <v>1</v>
      </c>
      <c r="L83" s="49">
        <v>0</v>
      </c>
      <c r="M83" s="49">
        <f t="shared" si="40"/>
        <v>20</v>
      </c>
      <c r="N83" s="50">
        <f t="shared" si="41"/>
        <v>83.333333333333343</v>
      </c>
      <c r="O83" s="49">
        <f t="shared" si="42"/>
        <v>24</v>
      </c>
      <c r="P83" s="50">
        <f t="shared" si="43"/>
        <v>100</v>
      </c>
    </row>
    <row r="84" spans="1:16" ht="13.5">
      <c r="A84" s="140" t="s">
        <v>28</v>
      </c>
      <c r="B84" s="141" t="s">
        <v>58</v>
      </c>
      <c r="C84" s="49">
        <f t="shared" si="44"/>
        <v>25</v>
      </c>
      <c r="D84" s="49" cm="1">
        <f t="array" ref="D84:L84">TRANSPOSE([5]MASTER!$CK$44:$CK$52)</f>
        <v>0</v>
      </c>
      <c r="E84" s="49">
        <v>1</v>
      </c>
      <c r="F84" s="49">
        <v>1</v>
      </c>
      <c r="G84" s="49">
        <v>3</v>
      </c>
      <c r="H84" s="49">
        <v>3</v>
      </c>
      <c r="I84" s="49">
        <v>4</v>
      </c>
      <c r="J84" s="49">
        <v>4</v>
      </c>
      <c r="K84" s="49">
        <v>7</v>
      </c>
      <c r="L84" s="49">
        <v>2</v>
      </c>
      <c r="M84" s="49">
        <f t="shared" si="40"/>
        <v>12</v>
      </c>
      <c r="N84" s="50">
        <f t="shared" si="41"/>
        <v>48</v>
      </c>
      <c r="O84" s="49">
        <f t="shared" si="42"/>
        <v>23</v>
      </c>
      <c r="P84" s="50">
        <f t="shared" si="43"/>
        <v>92</v>
      </c>
    </row>
    <row r="85" spans="1:16">
      <c r="A85" s="51"/>
      <c r="B85" s="52" t="s">
        <v>34</v>
      </c>
      <c r="C85" s="47">
        <f>SUM(C82:C84)</f>
        <v>84</v>
      </c>
      <c r="D85" s="47">
        <f>SUM(D82:D84)</f>
        <v>0</v>
      </c>
      <c r="E85" s="47">
        <f>SUM(E82:E84)</f>
        <v>6</v>
      </c>
      <c r="F85" s="47">
        <f>SUM(F82:F84)</f>
        <v>7</v>
      </c>
      <c r="G85" s="47">
        <f>SUM(G82:G84)</f>
        <v>13</v>
      </c>
      <c r="H85" s="47">
        <f>SUM(H82:H84)</f>
        <v>8</v>
      </c>
      <c r="I85" s="47">
        <f>SUM(I82:I84)</f>
        <v>16</v>
      </c>
      <c r="J85" s="47">
        <f>SUM(J82:J84)</f>
        <v>11</v>
      </c>
      <c r="K85" s="47">
        <f>SUM(K82:K84)</f>
        <v>9</v>
      </c>
      <c r="L85" s="47">
        <f>SUM(L82:L84)</f>
        <v>14</v>
      </c>
      <c r="M85" s="47">
        <f t="shared" si="40"/>
        <v>50</v>
      </c>
      <c r="N85" s="53">
        <f t="shared" si="41"/>
        <v>59.523809523809526</v>
      </c>
      <c r="O85" s="47">
        <f t="shared" si="42"/>
        <v>70</v>
      </c>
      <c r="P85" s="53">
        <f t="shared" si="43"/>
        <v>83.333333333333343</v>
      </c>
    </row>
    <row r="86" spans="1:16" ht="28.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5"/>
      <c r="O86" s="54"/>
      <c r="P86" s="55"/>
    </row>
    <row r="87" spans="1:16" ht="15.95">
      <c r="A87" s="45" t="s">
        <v>59</v>
      </c>
    </row>
    <row r="88" spans="1:16" s="48" customFormat="1" ht="14.25" customHeight="1">
      <c r="A88" s="46"/>
      <c r="B88" s="46"/>
      <c r="C88" s="46"/>
      <c r="D88" s="154" t="s">
        <v>1</v>
      </c>
      <c r="E88" s="155"/>
      <c r="F88" s="154" t="s">
        <v>2</v>
      </c>
      <c r="G88" s="158"/>
      <c r="H88" s="158"/>
      <c r="I88" s="155"/>
      <c r="J88" s="156" t="s">
        <v>3</v>
      </c>
      <c r="K88" s="157"/>
      <c r="L88" s="82" t="s">
        <v>4</v>
      </c>
      <c r="M88" s="46"/>
      <c r="N88" s="46"/>
      <c r="O88" s="46"/>
      <c r="P88" s="46"/>
    </row>
    <row r="89" spans="1:16" ht="26.1">
      <c r="A89" s="80" t="s">
        <v>5</v>
      </c>
      <c r="B89" s="80" t="s">
        <v>6</v>
      </c>
      <c r="C89" s="80" t="s">
        <v>7</v>
      </c>
      <c r="D89" s="80" t="s">
        <v>8</v>
      </c>
      <c r="E89" s="80" t="s">
        <v>9</v>
      </c>
      <c r="F89" s="80" t="s">
        <v>10</v>
      </c>
      <c r="G89" s="80" t="s">
        <v>11</v>
      </c>
      <c r="H89" s="80" t="s">
        <v>12</v>
      </c>
      <c r="I89" s="80" t="s">
        <v>13</v>
      </c>
      <c r="J89" s="80" t="s">
        <v>14</v>
      </c>
      <c r="K89" s="80" t="s">
        <v>15</v>
      </c>
      <c r="L89" s="80" t="s">
        <v>16</v>
      </c>
      <c r="M89" s="81" t="s">
        <v>17</v>
      </c>
      <c r="N89" s="81" t="s">
        <v>18</v>
      </c>
      <c r="O89" s="81" t="s">
        <v>19</v>
      </c>
      <c r="P89" s="81" t="s">
        <v>20</v>
      </c>
    </row>
    <row r="90" spans="1:16" ht="13.5">
      <c r="A90" s="138" t="s">
        <v>21</v>
      </c>
      <c r="B90" s="139" t="s">
        <v>26</v>
      </c>
      <c r="C90" s="49">
        <f t="shared" ref="C90:C97" si="45">SUM(D90:L90)</f>
        <v>20</v>
      </c>
      <c r="D90" s="49" cm="1">
        <f t="array" ref="D90:L90">TRANSPOSE([1]MASTER!$BJ$34:$BJ$42)</f>
        <v>1</v>
      </c>
      <c r="E90" s="49">
        <v>11</v>
      </c>
      <c r="F90" s="49">
        <v>7</v>
      </c>
      <c r="G90" s="49">
        <v>1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f t="shared" ref="M90:M98" si="46">SUM(D90:I90)</f>
        <v>20</v>
      </c>
      <c r="N90" s="50">
        <f t="shared" ref="N90:N97" si="47">((M90/C90)*100)</f>
        <v>100</v>
      </c>
      <c r="O90" s="49">
        <f t="shared" ref="O90:P98" si="48">SUM(D90:K90)</f>
        <v>20</v>
      </c>
      <c r="P90" s="50">
        <f t="shared" ref="P90:P97" si="49">((O90/C90)*100)</f>
        <v>100</v>
      </c>
    </row>
    <row r="91" spans="1:16" ht="13.5">
      <c r="A91" s="140" t="s">
        <v>23</v>
      </c>
      <c r="B91" s="141" t="s">
        <v>60</v>
      </c>
      <c r="C91" s="49">
        <f t="shared" si="45"/>
        <v>20</v>
      </c>
      <c r="D91" s="49" cm="1">
        <f t="array" ref="D91:L91">TRANSPOSE([2]MASTER!$BJ$34:$BJ$42)</f>
        <v>0</v>
      </c>
      <c r="E91" s="49">
        <v>9</v>
      </c>
      <c r="F91" s="49">
        <v>8</v>
      </c>
      <c r="G91" s="49">
        <v>2</v>
      </c>
      <c r="H91" s="49">
        <v>0</v>
      </c>
      <c r="I91" s="49">
        <v>1</v>
      </c>
      <c r="J91" s="49">
        <v>0</v>
      </c>
      <c r="K91" s="49">
        <v>0</v>
      </c>
      <c r="L91" s="49">
        <v>0</v>
      </c>
      <c r="M91" s="49">
        <f t="shared" si="46"/>
        <v>20</v>
      </c>
      <c r="N91" s="50">
        <f t="shared" si="47"/>
        <v>100</v>
      </c>
      <c r="O91" s="49">
        <f t="shared" si="48"/>
        <v>20</v>
      </c>
      <c r="P91" s="50">
        <f t="shared" si="49"/>
        <v>100</v>
      </c>
    </row>
    <row r="92" spans="1:16" ht="13.5">
      <c r="A92" s="140" t="s">
        <v>25</v>
      </c>
      <c r="B92" s="141" t="s">
        <v>24</v>
      </c>
      <c r="C92" s="49">
        <f t="shared" si="45"/>
        <v>35</v>
      </c>
      <c r="D92" s="49" cm="1">
        <f t="array" ref="D92:L92">TRANSPOSE([3]MASTER!$BJ$49:$BJ$57)</f>
        <v>0</v>
      </c>
      <c r="E92" s="49">
        <v>3</v>
      </c>
      <c r="F92" s="49">
        <v>8</v>
      </c>
      <c r="G92" s="49">
        <v>6</v>
      </c>
      <c r="H92" s="49">
        <v>2</v>
      </c>
      <c r="I92" s="49">
        <v>2</v>
      </c>
      <c r="J92" s="49">
        <v>2</v>
      </c>
      <c r="K92" s="49">
        <v>0</v>
      </c>
      <c r="L92" s="49">
        <v>12</v>
      </c>
      <c r="M92" s="49">
        <f t="shared" si="46"/>
        <v>21</v>
      </c>
      <c r="N92" s="50">
        <f t="shared" si="47"/>
        <v>60</v>
      </c>
      <c r="O92" s="49">
        <f t="shared" si="48"/>
        <v>23</v>
      </c>
      <c r="P92" s="50">
        <f t="shared" si="49"/>
        <v>65.714285714285708</v>
      </c>
    </row>
    <row r="93" spans="1:16" ht="13.5">
      <c r="A93" s="140" t="s">
        <v>27</v>
      </c>
      <c r="B93" s="141" t="s">
        <v>60</v>
      </c>
      <c r="C93" s="49">
        <f t="shared" si="45"/>
        <v>24</v>
      </c>
      <c r="D93" s="49" cm="1">
        <f t="array" ref="D93:L93">TRANSPOSE([4]MASTER!$BJ$56:$BJ$64)</f>
        <v>0</v>
      </c>
      <c r="E93" s="49">
        <v>6</v>
      </c>
      <c r="F93" s="49">
        <v>4</v>
      </c>
      <c r="G93" s="49">
        <v>0</v>
      </c>
      <c r="H93" s="49">
        <v>10</v>
      </c>
      <c r="I93" s="49">
        <v>2</v>
      </c>
      <c r="J93" s="49">
        <v>2</v>
      </c>
      <c r="K93" s="49">
        <v>0</v>
      </c>
      <c r="L93" s="49">
        <v>0</v>
      </c>
      <c r="M93" s="49">
        <f t="shared" si="46"/>
        <v>22</v>
      </c>
      <c r="N93" s="50">
        <f>((M93/C93)*100)</f>
        <v>91.666666666666657</v>
      </c>
      <c r="O93" s="49">
        <f t="shared" si="48"/>
        <v>24</v>
      </c>
      <c r="P93" s="50">
        <f>((O93/C93)*100)</f>
        <v>100</v>
      </c>
    </row>
    <row r="94" spans="1:16" ht="13.5">
      <c r="A94" s="140" t="s">
        <v>28</v>
      </c>
      <c r="B94" s="141" t="s">
        <v>61</v>
      </c>
      <c r="C94" s="49">
        <f t="shared" si="45"/>
        <v>25</v>
      </c>
      <c r="D94" s="49" cm="1">
        <f t="array" ref="D94:L94">TRANSPOSE([5]MASTER!$BJ$44:$BJ$52)</f>
        <v>0</v>
      </c>
      <c r="E94" s="49">
        <v>2</v>
      </c>
      <c r="F94" s="49">
        <v>2</v>
      </c>
      <c r="G94" s="49">
        <v>3</v>
      </c>
      <c r="H94" s="49">
        <v>3</v>
      </c>
      <c r="I94" s="49">
        <v>4</v>
      </c>
      <c r="J94" s="49">
        <v>8</v>
      </c>
      <c r="K94" s="49">
        <v>0</v>
      </c>
      <c r="L94" s="49">
        <v>3</v>
      </c>
      <c r="M94" s="49">
        <f t="shared" si="46"/>
        <v>14</v>
      </c>
      <c r="N94" s="50">
        <f t="shared" si="47"/>
        <v>56.000000000000007</v>
      </c>
      <c r="O94" s="49">
        <f t="shared" si="48"/>
        <v>22</v>
      </c>
      <c r="P94" s="50">
        <f t="shared" si="49"/>
        <v>88</v>
      </c>
    </row>
    <row r="95" spans="1:16" ht="13.5">
      <c r="A95" s="140" t="s">
        <v>30</v>
      </c>
      <c r="B95" s="141" t="s">
        <v>61</v>
      </c>
      <c r="C95" s="49">
        <f t="shared" si="45"/>
        <v>24</v>
      </c>
      <c r="D95" s="49" cm="1">
        <f t="array" ref="D95:L95">TRANSPOSE([6]MASTER!$BJ$56:$BJ$64)</f>
        <v>0</v>
      </c>
      <c r="E95" s="49">
        <v>0</v>
      </c>
      <c r="F95" s="49">
        <v>1</v>
      </c>
      <c r="G95" s="49">
        <v>4</v>
      </c>
      <c r="H95" s="49">
        <v>6</v>
      </c>
      <c r="I95" s="49">
        <v>6</v>
      </c>
      <c r="J95" s="49">
        <v>3</v>
      </c>
      <c r="K95" s="49">
        <v>3</v>
      </c>
      <c r="L95" s="49">
        <v>1</v>
      </c>
      <c r="M95" s="49">
        <f t="shared" si="46"/>
        <v>17</v>
      </c>
      <c r="N95" s="50">
        <f t="shared" si="47"/>
        <v>70.833333333333343</v>
      </c>
      <c r="O95" s="49">
        <f t="shared" si="48"/>
        <v>23</v>
      </c>
      <c r="P95" s="50">
        <f t="shared" si="49"/>
        <v>95.833333333333343</v>
      </c>
    </row>
    <row r="96" spans="1:16" ht="13.5">
      <c r="A96" s="140" t="s">
        <v>31</v>
      </c>
      <c r="B96" s="141" t="s">
        <v>60</v>
      </c>
      <c r="C96" s="49">
        <f t="shared" si="45"/>
        <v>15</v>
      </c>
      <c r="D96" s="49" cm="1">
        <f t="array" ref="D96:L96">TRANSPOSE([7]MASTER!$BJ$29:$BJ$37)</f>
        <v>0</v>
      </c>
      <c r="E96" s="49">
        <v>0</v>
      </c>
      <c r="F96" s="49">
        <v>0</v>
      </c>
      <c r="G96" s="49">
        <v>3</v>
      </c>
      <c r="H96" s="49">
        <v>4</v>
      </c>
      <c r="I96" s="49">
        <v>1</v>
      </c>
      <c r="J96" s="49">
        <v>4</v>
      </c>
      <c r="K96" s="49">
        <v>2</v>
      </c>
      <c r="L96" s="49">
        <v>1</v>
      </c>
      <c r="M96" s="49">
        <f t="shared" si="46"/>
        <v>8</v>
      </c>
      <c r="N96" s="50">
        <f t="shared" si="47"/>
        <v>53.333333333333336</v>
      </c>
      <c r="O96" s="49">
        <f t="shared" si="48"/>
        <v>14</v>
      </c>
      <c r="P96" s="50">
        <f t="shared" si="49"/>
        <v>93.333333333333329</v>
      </c>
    </row>
    <row r="97" spans="1:16" ht="13.5">
      <c r="A97" s="140" t="s">
        <v>33</v>
      </c>
      <c r="B97" s="141" t="s">
        <v>60</v>
      </c>
      <c r="C97" s="49">
        <f t="shared" si="45"/>
        <v>12</v>
      </c>
      <c r="D97" s="49" cm="1">
        <f t="array" ref="D97:L97">TRANSPOSE([8]MASTER!$BJ$26:$BJ$34)</f>
        <v>0</v>
      </c>
      <c r="E97" s="49">
        <v>0</v>
      </c>
      <c r="F97" s="49">
        <v>0</v>
      </c>
      <c r="G97" s="49">
        <v>0</v>
      </c>
      <c r="H97" s="49">
        <v>2</v>
      </c>
      <c r="I97" s="49">
        <v>2</v>
      </c>
      <c r="J97" s="49">
        <v>2</v>
      </c>
      <c r="K97" s="49">
        <v>2</v>
      </c>
      <c r="L97" s="49">
        <v>4</v>
      </c>
      <c r="M97" s="49">
        <f t="shared" si="46"/>
        <v>4</v>
      </c>
      <c r="N97" s="50">
        <f t="shared" si="47"/>
        <v>33.333333333333329</v>
      </c>
      <c r="O97" s="49">
        <f t="shared" si="48"/>
        <v>8</v>
      </c>
      <c r="P97" s="50">
        <f t="shared" si="49"/>
        <v>66.666666666666657</v>
      </c>
    </row>
    <row r="98" spans="1:16">
      <c r="A98" s="51"/>
      <c r="B98" s="52" t="s">
        <v>34</v>
      </c>
      <c r="C98" s="47">
        <f t="shared" ref="C98:L98" si="50">SUM(C90:C96)</f>
        <v>163</v>
      </c>
      <c r="D98" s="47">
        <f t="shared" si="50"/>
        <v>1</v>
      </c>
      <c r="E98" s="47">
        <f t="shared" si="50"/>
        <v>31</v>
      </c>
      <c r="F98" s="47">
        <f t="shared" si="50"/>
        <v>30</v>
      </c>
      <c r="G98" s="47">
        <f t="shared" si="50"/>
        <v>19</v>
      </c>
      <c r="H98" s="47">
        <f t="shared" si="50"/>
        <v>25</v>
      </c>
      <c r="I98" s="47">
        <f t="shared" si="50"/>
        <v>16</v>
      </c>
      <c r="J98" s="47">
        <f t="shared" si="50"/>
        <v>19</v>
      </c>
      <c r="K98" s="47">
        <f t="shared" si="50"/>
        <v>5</v>
      </c>
      <c r="L98" s="47">
        <f t="shared" si="50"/>
        <v>17</v>
      </c>
      <c r="M98" s="47">
        <f t="shared" si="46"/>
        <v>122</v>
      </c>
      <c r="N98" s="53">
        <f>((M98/C98)*100)</f>
        <v>74.846625766871171</v>
      </c>
      <c r="O98" s="47">
        <f t="shared" si="48"/>
        <v>146</v>
      </c>
      <c r="P98" s="53">
        <f>((O98/C98)*100)</f>
        <v>89.570552147239269</v>
      </c>
    </row>
    <row r="99" spans="1:16" ht="24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5"/>
      <c r="O99" s="54"/>
      <c r="P99" s="55"/>
    </row>
    <row r="100" spans="1:16" ht="15.95">
      <c r="A100" s="60" t="s">
        <v>62</v>
      </c>
    </row>
    <row r="101" spans="1:16" s="48" customFormat="1" ht="14.25" customHeight="1">
      <c r="A101" s="46"/>
      <c r="B101" s="46"/>
      <c r="C101" s="46"/>
      <c r="D101" s="154" t="s">
        <v>1</v>
      </c>
      <c r="E101" s="155"/>
      <c r="F101" s="154" t="s">
        <v>2</v>
      </c>
      <c r="G101" s="158"/>
      <c r="H101" s="158"/>
      <c r="I101" s="155"/>
      <c r="J101" s="156" t="s">
        <v>3</v>
      </c>
      <c r="K101" s="157"/>
      <c r="L101" s="82" t="s">
        <v>4</v>
      </c>
      <c r="M101" s="46"/>
      <c r="N101" s="46"/>
      <c r="O101" s="46"/>
      <c r="P101" s="46"/>
    </row>
    <row r="102" spans="1:16" ht="26.1">
      <c r="A102" s="80" t="s">
        <v>5</v>
      </c>
      <c r="B102" s="80" t="s">
        <v>6</v>
      </c>
      <c r="C102" s="80" t="s">
        <v>7</v>
      </c>
      <c r="D102" s="80" t="s">
        <v>8</v>
      </c>
      <c r="E102" s="80" t="s">
        <v>9</v>
      </c>
      <c r="F102" s="80" t="s">
        <v>10</v>
      </c>
      <c r="G102" s="80" t="s">
        <v>11</v>
      </c>
      <c r="H102" s="80" t="s">
        <v>12</v>
      </c>
      <c r="I102" s="80" t="s">
        <v>13</v>
      </c>
      <c r="J102" s="80" t="s">
        <v>14</v>
      </c>
      <c r="K102" s="80" t="s">
        <v>15</v>
      </c>
      <c r="L102" s="80" t="s">
        <v>16</v>
      </c>
      <c r="M102" s="81" t="s">
        <v>17</v>
      </c>
      <c r="N102" s="81" t="s">
        <v>18</v>
      </c>
      <c r="O102" s="81" t="s">
        <v>19</v>
      </c>
      <c r="P102" s="81" t="s">
        <v>20</v>
      </c>
    </row>
    <row r="103" spans="1:16" ht="13.5">
      <c r="A103" s="138" t="s">
        <v>21</v>
      </c>
      <c r="B103" s="145" t="s">
        <v>63</v>
      </c>
      <c r="C103" s="49">
        <f t="shared" ref="C103:C104" si="51">SUM(D103:L103)</f>
        <v>20</v>
      </c>
      <c r="D103" s="61" cm="1">
        <f t="array" ref="D103:L103">TRANSPOSE([1]MASTER!$CB$34:$CB$42)</f>
        <v>0</v>
      </c>
      <c r="E103" s="61">
        <v>12</v>
      </c>
      <c r="F103" s="61">
        <v>8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49">
        <f>SUM(D103:I103)</f>
        <v>20</v>
      </c>
      <c r="N103" s="50">
        <f t="shared" ref="N103:N104" si="52">((M103/C103)*100)</f>
        <v>100</v>
      </c>
      <c r="O103" s="49">
        <f t="shared" ref="O103:O104" si="53">SUM(D103:K103)</f>
        <v>20</v>
      </c>
      <c r="P103" s="50">
        <f t="shared" ref="P103:P104" si="54">((O103/C103)*100)</f>
        <v>100</v>
      </c>
    </row>
    <row r="104" spans="1:16" ht="13.5">
      <c r="A104" s="140" t="s">
        <v>23</v>
      </c>
      <c r="B104" s="146" t="s">
        <v>63</v>
      </c>
      <c r="C104" s="49">
        <f t="shared" si="51"/>
        <v>20</v>
      </c>
      <c r="D104" s="62" cm="1">
        <f t="array" ref="D104:L104">TRANSPOSE([2]MASTER!$CB$34:$CB$42)</f>
        <v>0</v>
      </c>
      <c r="E104" s="62">
        <v>11</v>
      </c>
      <c r="F104" s="62">
        <v>4</v>
      </c>
      <c r="G104" s="62">
        <v>4</v>
      </c>
      <c r="H104" s="62">
        <v>0</v>
      </c>
      <c r="I104" s="62">
        <v>1</v>
      </c>
      <c r="J104" s="62">
        <v>0</v>
      </c>
      <c r="K104" s="62">
        <v>0</v>
      </c>
      <c r="L104" s="62">
        <v>0</v>
      </c>
      <c r="M104" s="49">
        <f>SUM(D104:I104)</f>
        <v>20</v>
      </c>
      <c r="N104" s="50">
        <f t="shared" si="52"/>
        <v>100</v>
      </c>
      <c r="O104" s="49">
        <f t="shared" si="53"/>
        <v>20</v>
      </c>
      <c r="P104" s="50">
        <f t="shared" si="54"/>
        <v>100</v>
      </c>
    </row>
    <row r="105" spans="1:16">
      <c r="A105" s="51"/>
      <c r="B105" s="52" t="s">
        <v>34</v>
      </c>
      <c r="C105" s="47">
        <f t="shared" ref="C105:L105" si="55">SUM(C103:C104)</f>
        <v>40</v>
      </c>
      <c r="D105" s="47">
        <f t="shared" si="55"/>
        <v>0</v>
      </c>
      <c r="E105" s="47">
        <f t="shared" si="55"/>
        <v>23</v>
      </c>
      <c r="F105" s="47">
        <f t="shared" si="55"/>
        <v>12</v>
      </c>
      <c r="G105" s="47">
        <f t="shared" si="55"/>
        <v>4</v>
      </c>
      <c r="H105" s="47">
        <f t="shared" si="55"/>
        <v>0</v>
      </c>
      <c r="I105" s="47">
        <f t="shared" si="55"/>
        <v>1</v>
      </c>
      <c r="J105" s="47">
        <f t="shared" si="55"/>
        <v>0</v>
      </c>
      <c r="K105" s="47">
        <f t="shared" si="55"/>
        <v>0</v>
      </c>
      <c r="L105" s="47">
        <f t="shared" si="55"/>
        <v>0</v>
      </c>
      <c r="M105" s="47">
        <f t="shared" ref="M105" si="56">SUM(D105:I105)</f>
        <v>40</v>
      </c>
      <c r="N105" s="53">
        <f>((M105/C105)*100)</f>
        <v>100</v>
      </c>
      <c r="O105" s="47">
        <f t="shared" ref="O105" si="57">SUM(D105:K105)</f>
        <v>40</v>
      </c>
      <c r="P105" s="53">
        <f>((O105/C105)*100)</f>
        <v>100</v>
      </c>
    </row>
    <row r="106" spans="1:1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5"/>
      <c r="O106" s="54"/>
      <c r="P106" s="55"/>
    </row>
    <row r="107" spans="1:16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5"/>
      <c r="O107" s="54"/>
      <c r="P107" s="55"/>
    </row>
    <row r="108" spans="1:16" ht="23.45">
      <c r="A108" s="63" t="s">
        <v>64</v>
      </c>
      <c r="B108" s="64"/>
      <c r="C108" s="64"/>
      <c r="D108" s="64"/>
      <c r="E108" s="65"/>
      <c r="F108" s="65"/>
      <c r="G108" s="65"/>
      <c r="H108" s="65"/>
      <c r="I108" s="54"/>
      <c r="J108" s="54"/>
      <c r="K108" s="54"/>
      <c r="L108" s="54"/>
      <c r="M108" s="54"/>
      <c r="N108" s="55"/>
      <c r="O108" s="54"/>
      <c r="P108" s="55"/>
    </row>
    <row r="109" spans="1:16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5"/>
      <c r="O109" s="54"/>
      <c r="P109" s="55"/>
    </row>
    <row r="110" spans="1:16" ht="18.600000000000001">
      <c r="B110" s="66"/>
      <c r="C110" s="66"/>
      <c r="D110" s="161" t="s">
        <v>1</v>
      </c>
      <c r="E110" s="161"/>
      <c r="F110" s="161" t="s">
        <v>2</v>
      </c>
      <c r="G110" s="161"/>
      <c r="H110" s="161"/>
      <c r="I110" s="161"/>
      <c r="J110" s="161" t="s">
        <v>65</v>
      </c>
      <c r="K110" s="161"/>
      <c r="L110" s="85" t="s">
        <v>4</v>
      </c>
      <c r="M110" s="66"/>
      <c r="N110" s="66"/>
      <c r="O110" s="66"/>
      <c r="P110" s="66"/>
    </row>
    <row r="111" spans="1:16" ht="32.25" customHeight="1">
      <c r="A111" s="159" t="s">
        <v>66</v>
      </c>
      <c r="B111" s="159"/>
      <c r="C111" s="83" t="s">
        <v>7</v>
      </c>
      <c r="D111" s="83" t="s">
        <v>8</v>
      </c>
      <c r="E111" s="83" t="s">
        <v>9</v>
      </c>
      <c r="F111" s="83" t="s">
        <v>10</v>
      </c>
      <c r="G111" s="83" t="s">
        <v>11</v>
      </c>
      <c r="H111" s="83" t="s">
        <v>12</v>
      </c>
      <c r="I111" s="83" t="s">
        <v>13</v>
      </c>
      <c r="J111" s="83" t="s">
        <v>14</v>
      </c>
      <c r="K111" s="83" t="s">
        <v>15</v>
      </c>
      <c r="L111" s="83" t="s">
        <v>16</v>
      </c>
      <c r="M111" s="84" t="s">
        <v>17</v>
      </c>
      <c r="N111" s="84" t="s">
        <v>18</v>
      </c>
      <c r="O111" s="84" t="s">
        <v>19</v>
      </c>
      <c r="P111" s="84" t="s">
        <v>20</v>
      </c>
    </row>
    <row r="112" spans="1:16" ht="23.25" customHeight="1">
      <c r="A112" s="160" t="s">
        <v>67</v>
      </c>
      <c r="B112" s="160"/>
      <c r="C112" s="67">
        <f t="shared" ref="C112:P112" si="58">C12</f>
        <v>163</v>
      </c>
      <c r="D112" s="68">
        <f t="shared" si="58"/>
        <v>0</v>
      </c>
      <c r="E112" s="68">
        <f t="shared" si="58"/>
        <v>3</v>
      </c>
      <c r="F112" s="68">
        <f t="shared" si="58"/>
        <v>25</v>
      </c>
      <c r="G112" s="68">
        <f t="shared" si="58"/>
        <v>35</v>
      </c>
      <c r="H112" s="68">
        <f t="shared" si="58"/>
        <v>35</v>
      </c>
      <c r="I112" s="68">
        <f t="shared" si="58"/>
        <v>26</v>
      </c>
      <c r="J112" s="68">
        <f t="shared" si="58"/>
        <v>20</v>
      </c>
      <c r="K112" s="68">
        <f t="shared" si="58"/>
        <v>4</v>
      </c>
      <c r="L112" s="68">
        <f t="shared" si="58"/>
        <v>15</v>
      </c>
      <c r="M112" s="68">
        <f t="shared" si="58"/>
        <v>124</v>
      </c>
      <c r="N112" s="69">
        <f t="shared" si="58"/>
        <v>76.073619631901849</v>
      </c>
      <c r="O112" s="68">
        <f t="shared" si="58"/>
        <v>148</v>
      </c>
      <c r="P112" s="69">
        <f t="shared" si="58"/>
        <v>90.797546012269933</v>
      </c>
    </row>
    <row r="113" spans="1:16" ht="23.25" customHeight="1">
      <c r="A113" s="160" t="s">
        <v>68</v>
      </c>
      <c r="B113" s="160"/>
      <c r="C113" s="67">
        <f t="shared" ref="C113:P113" si="59">C25</f>
        <v>151</v>
      </c>
      <c r="D113" s="68">
        <f t="shared" si="59"/>
        <v>4</v>
      </c>
      <c r="E113" s="68">
        <f t="shared" si="59"/>
        <v>34</v>
      </c>
      <c r="F113" s="68">
        <f t="shared" si="59"/>
        <v>32</v>
      </c>
      <c r="G113" s="68">
        <f t="shared" si="59"/>
        <v>31</v>
      </c>
      <c r="H113" s="68">
        <f t="shared" si="59"/>
        <v>21</v>
      </c>
      <c r="I113" s="68">
        <f t="shared" si="59"/>
        <v>7</v>
      </c>
      <c r="J113" s="68">
        <f t="shared" si="59"/>
        <v>19</v>
      </c>
      <c r="K113" s="68">
        <f t="shared" si="59"/>
        <v>2</v>
      </c>
      <c r="L113" s="68">
        <f t="shared" si="59"/>
        <v>1</v>
      </c>
      <c r="M113" s="68">
        <f t="shared" si="59"/>
        <v>129</v>
      </c>
      <c r="N113" s="69">
        <f t="shared" si="59"/>
        <v>85.430463576158942</v>
      </c>
      <c r="O113" s="68">
        <f t="shared" si="59"/>
        <v>150</v>
      </c>
      <c r="P113" s="69">
        <f t="shared" si="59"/>
        <v>99.337748344370851</v>
      </c>
    </row>
    <row r="114" spans="1:16" ht="23.25" customHeight="1">
      <c r="A114" s="160" t="s">
        <v>69</v>
      </c>
      <c r="B114" s="160"/>
      <c r="C114" s="70">
        <f t="shared" ref="C114:P114" si="60">C38</f>
        <v>163</v>
      </c>
      <c r="D114" s="71">
        <f t="shared" si="60"/>
        <v>7</v>
      </c>
      <c r="E114" s="71">
        <f t="shared" si="60"/>
        <v>31</v>
      </c>
      <c r="F114" s="71">
        <f t="shared" si="60"/>
        <v>20</v>
      </c>
      <c r="G114" s="71">
        <f t="shared" si="60"/>
        <v>22</v>
      </c>
      <c r="H114" s="71">
        <f t="shared" si="60"/>
        <v>10</v>
      </c>
      <c r="I114" s="71">
        <f t="shared" si="60"/>
        <v>12</v>
      </c>
      <c r="J114" s="71">
        <f t="shared" si="60"/>
        <v>23</v>
      </c>
      <c r="K114" s="71">
        <f t="shared" si="60"/>
        <v>11</v>
      </c>
      <c r="L114" s="71">
        <f t="shared" si="60"/>
        <v>27</v>
      </c>
      <c r="M114" s="71">
        <f t="shared" si="60"/>
        <v>102</v>
      </c>
      <c r="N114" s="72">
        <f t="shared" si="60"/>
        <v>62.576687116564422</v>
      </c>
      <c r="O114" s="71">
        <f t="shared" si="60"/>
        <v>136</v>
      </c>
      <c r="P114" s="72">
        <f t="shared" si="60"/>
        <v>83.435582822085891</v>
      </c>
    </row>
    <row r="115" spans="1:16" ht="23.25" customHeight="1">
      <c r="A115" s="160" t="s">
        <v>70</v>
      </c>
      <c r="B115" s="160"/>
      <c r="C115" s="70">
        <f t="shared" ref="C115:P115" si="61">C51</f>
        <v>163</v>
      </c>
      <c r="D115" s="71">
        <f t="shared" si="61"/>
        <v>3</v>
      </c>
      <c r="E115" s="71">
        <f t="shared" si="61"/>
        <v>35</v>
      </c>
      <c r="F115" s="71">
        <f t="shared" si="61"/>
        <v>20</v>
      </c>
      <c r="G115" s="71">
        <f t="shared" si="61"/>
        <v>25</v>
      </c>
      <c r="H115" s="71">
        <f t="shared" si="61"/>
        <v>16</v>
      </c>
      <c r="I115" s="71">
        <f t="shared" si="61"/>
        <v>15</v>
      </c>
      <c r="J115" s="71">
        <f t="shared" si="61"/>
        <v>26</v>
      </c>
      <c r="K115" s="71">
        <f t="shared" si="61"/>
        <v>9</v>
      </c>
      <c r="L115" s="71">
        <f t="shared" si="61"/>
        <v>14</v>
      </c>
      <c r="M115" s="71">
        <f t="shared" si="61"/>
        <v>114</v>
      </c>
      <c r="N115" s="72">
        <f t="shared" si="61"/>
        <v>69.938650306748457</v>
      </c>
      <c r="O115" s="71">
        <f t="shared" si="61"/>
        <v>149</v>
      </c>
      <c r="P115" s="72">
        <f t="shared" si="61"/>
        <v>91.411042944785279</v>
      </c>
    </row>
    <row r="116" spans="1:16" ht="23.25" customHeight="1">
      <c r="A116" s="160" t="s">
        <v>71</v>
      </c>
      <c r="B116" s="160"/>
      <c r="C116" s="70">
        <f t="shared" ref="C116:P116" si="62">C64</f>
        <v>163</v>
      </c>
      <c r="D116" s="71">
        <f t="shared" si="62"/>
        <v>0</v>
      </c>
      <c r="E116" s="71">
        <f t="shared" si="62"/>
        <v>5</v>
      </c>
      <c r="F116" s="71">
        <f t="shared" si="62"/>
        <v>14</v>
      </c>
      <c r="G116" s="71">
        <f t="shared" si="62"/>
        <v>14</v>
      </c>
      <c r="H116" s="71">
        <f t="shared" si="62"/>
        <v>10</v>
      </c>
      <c r="I116" s="71">
        <f t="shared" si="62"/>
        <v>9</v>
      </c>
      <c r="J116" s="71">
        <f t="shared" si="62"/>
        <v>24</v>
      </c>
      <c r="K116" s="71">
        <f t="shared" si="62"/>
        <v>29</v>
      </c>
      <c r="L116" s="71">
        <f t="shared" si="62"/>
        <v>58</v>
      </c>
      <c r="M116" s="71">
        <f t="shared" si="62"/>
        <v>52</v>
      </c>
      <c r="N116" s="72">
        <f t="shared" si="62"/>
        <v>31.901840490797547</v>
      </c>
      <c r="O116" s="71">
        <f t="shared" si="62"/>
        <v>105</v>
      </c>
      <c r="P116" s="72">
        <f t="shared" si="62"/>
        <v>64.417177914110425</v>
      </c>
    </row>
    <row r="117" spans="1:16" ht="23.25" customHeight="1">
      <c r="A117" s="160" t="s">
        <v>72</v>
      </c>
      <c r="B117" s="160"/>
      <c r="C117" s="70">
        <f t="shared" ref="C117:P117" si="63">C77</f>
        <v>163</v>
      </c>
      <c r="D117" s="71">
        <f t="shared" si="63"/>
        <v>0</v>
      </c>
      <c r="E117" s="71">
        <f t="shared" si="63"/>
        <v>0</v>
      </c>
      <c r="F117" s="71">
        <f t="shared" si="63"/>
        <v>4</v>
      </c>
      <c r="G117" s="71">
        <f t="shared" si="63"/>
        <v>5</v>
      </c>
      <c r="H117" s="71">
        <f t="shared" si="63"/>
        <v>10</v>
      </c>
      <c r="I117" s="71">
        <f t="shared" si="63"/>
        <v>26</v>
      </c>
      <c r="J117" s="71">
        <f t="shared" si="63"/>
        <v>40</v>
      </c>
      <c r="K117" s="71">
        <f t="shared" si="63"/>
        <v>29</v>
      </c>
      <c r="L117" s="71">
        <f t="shared" si="63"/>
        <v>49</v>
      </c>
      <c r="M117" s="71">
        <f t="shared" si="63"/>
        <v>45</v>
      </c>
      <c r="N117" s="72">
        <f t="shared" si="63"/>
        <v>27.607361963190186</v>
      </c>
      <c r="O117" s="71">
        <f t="shared" si="63"/>
        <v>114</v>
      </c>
      <c r="P117" s="72">
        <f t="shared" si="63"/>
        <v>69.938650306748457</v>
      </c>
    </row>
    <row r="118" spans="1:16" ht="23.25" customHeight="1">
      <c r="A118" s="160" t="s">
        <v>73</v>
      </c>
      <c r="B118" s="160"/>
      <c r="C118" s="70">
        <f t="shared" ref="C118:P118" si="64">C85</f>
        <v>84</v>
      </c>
      <c r="D118" s="71">
        <f t="shared" si="64"/>
        <v>0</v>
      </c>
      <c r="E118" s="71">
        <f t="shared" si="64"/>
        <v>6</v>
      </c>
      <c r="F118" s="71">
        <f t="shared" si="64"/>
        <v>7</v>
      </c>
      <c r="G118" s="71">
        <f t="shared" si="64"/>
        <v>13</v>
      </c>
      <c r="H118" s="71">
        <f t="shared" si="64"/>
        <v>8</v>
      </c>
      <c r="I118" s="71">
        <f t="shared" si="64"/>
        <v>16</v>
      </c>
      <c r="J118" s="71">
        <f t="shared" si="64"/>
        <v>11</v>
      </c>
      <c r="K118" s="71">
        <f t="shared" si="64"/>
        <v>9</v>
      </c>
      <c r="L118" s="71">
        <f t="shared" si="64"/>
        <v>14</v>
      </c>
      <c r="M118" s="71">
        <f t="shared" si="64"/>
        <v>50</v>
      </c>
      <c r="N118" s="72">
        <f t="shared" si="64"/>
        <v>59.523809523809526</v>
      </c>
      <c r="O118" s="71">
        <f t="shared" si="64"/>
        <v>70</v>
      </c>
      <c r="P118" s="72">
        <f t="shared" si="64"/>
        <v>83.333333333333343</v>
      </c>
    </row>
    <row r="119" spans="1:16" ht="23.25" customHeight="1">
      <c r="A119" s="162" t="s">
        <v>74</v>
      </c>
      <c r="B119" s="163"/>
      <c r="C119" s="70">
        <f t="shared" ref="C119:P119" si="65">C105</f>
        <v>40</v>
      </c>
      <c r="D119" s="71">
        <f t="shared" si="65"/>
        <v>0</v>
      </c>
      <c r="E119" s="71">
        <f t="shared" si="65"/>
        <v>23</v>
      </c>
      <c r="F119" s="71">
        <f t="shared" si="65"/>
        <v>12</v>
      </c>
      <c r="G119" s="71">
        <f t="shared" si="65"/>
        <v>4</v>
      </c>
      <c r="H119" s="71">
        <f t="shared" si="65"/>
        <v>0</v>
      </c>
      <c r="I119" s="71">
        <f t="shared" si="65"/>
        <v>1</v>
      </c>
      <c r="J119" s="71">
        <f t="shared" si="65"/>
        <v>0</v>
      </c>
      <c r="K119" s="71">
        <f t="shared" si="65"/>
        <v>0</v>
      </c>
      <c r="L119" s="71">
        <f t="shared" si="65"/>
        <v>0</v>
      </c>
      <c r="M119" s="71">
        <f t="shared" si="65"/>
        <v>40</v>
      </c>
      <c r="N119" s="72">
        <f t="shared" si="65"/>
        <v>100</v>
      </c>
      <c r="O119" s="71">
        <f t="shared" si="65"/>
        <v>40</v>
      </c>
      <c r="P119" s="72">
        <f t="shared" si="65"/>
        <v>100</v>
      </c>
    </row>
    <row r="120" spans="1:16" ht="23.25" customHeight="1">
      <c r="A120" s="160" t="s">
        <v>75</v>
      </c>
      <c r="B120" s="160"/>
      <c r="C120" s="70">
        <f t="shared" ref="C120:P120" si="66">C98</f>
        <v>163</v>
      </c>
      <c r="D120" s="71">
        <f t="shared" si="66"/>
        <v>1</v>
      </c>
      <c r="E120" s="71">
        <f t="shared" si="66"/>
        <v>31</v>
      </c>
      <c r="F120" s="71">
        <f t="shared" si="66"/>
        <v>30</v>
      </c>
      <c r="G120" s="71">
        <f t="shared" si="66"/>
        <v>19</v>
      </c>
      <c r="H120" s="71">
        <f t="shared" si="66"/>
        <v>25</v>
      </c>
      <c r="I120" s="71">
        <f t="shared" si="66"/>
        <v>16</v>
      </c>
      <c r="J120" s="71">
        <f t="shared" si="66"/>
        <v>19</v>
      </c>
      <c r="K120" s="71">
        <f t="shared" si="66"/>
        <v>5</v>
      </c>
      <c r="L120" s="71">
        <f t="shared" si="66"/>
        <v>17</v>
      </c>
      <c r="M120" s="71">
        <f t="shared" si="66"/>
        <v>122</v>
      </c>
      <c r="N120" s="72">
        <f t="shared" si="66"/>
        <v>74.846625766871171</v>
      </c>
      <c r="O120" s="71">
        <f t="shared" si="66"/>
        <v>146</v>
      </c>
      <c r="P120" s="72">
        <f t="shared" si="66"/>
        <v>89.570552147239269</v>
      </c>
    </row>
    <row r="121" spans="1:16" ht="20.100000000000001" customHeight="1"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4"/>
      <c r="M121" s="73"/>
      <c r="N121" s="75">
        <f>AVERAGE(N112:N120)</f>
        <v>65.322117597338021</v>
      </c>
      <c r="O121" s="75"/>
      <c r="P121" s="75">
        <f>AVERAGE(P112:P120)</f>
        <v>85.804625980549261</v>
      </c>
    </row>
    <row r="122" spans="1:16" ht="9.75" customHeight="1">
      <c r="L122" s="76"/>
      <c r="N122" s="77"/>
      <c r="O122" s="77"/>
      <c r="P122" s="77"/>
    </row>
    <row r="123" spans="1:16" ht="36.75" customHeight="1"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9"/>
      <c r="O123" s="78"/>
      <c r="P123" s="79"/>
    </row>
    <row r="124" spans="1:16" ht="24" customHeight="1"/>
    <row r="125" spans="1:16" ht="24" customHeight="1"/>
    <row r="126" spans="1:16" ht="24" customHeight="1"/>
    <row r="127" spans="1:16" ht="24" customHeight="1"/>
    <row r="128" spans="1:16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6.25" customHeight="1"/>
    <row r="142" ht="13.5"/>
  </sheetData>
  <mergeCells count="40">
    <mergeCell ref="A120:B120"/>
    <mergeCell ref="A113:B113"/>
    <mergeCell ref="A114:B114"/>
    <mergeCell ref="A115:B115"/>
    <mergeCell ref="A116:B116"/>
    <mergeCell ref="A117:B117"/>
    <mergeCell ref="A119:B119"/>
    <mergeCell ref="A118:B118"/>
    <mergeCell ref="D67:E67"/>
    <mergeCell ref="J110:K110"/>
    <mergeCell ref="D110:E110"/>
    <mergeCell ref="F110:I110"/>
    <mergeCell ref="D80:E80"/>
    <mergeCell ref="J80:K80"/>
    <mergeCell ref="F80:I80"/>
    <mergeCell ref="J67:K67"/>
    <mergeCell ref="F67:I67"/>
    <mergeCell ref="A111:B111"/>
    <mergeCell ref="A112:B112"/>
    <mergeCell ref="J101:K101"/>
    <mergeCell ref="D88:E88"/>
    <mergeCell ref="J88:K88"/>
    <mergeCell ref="F101:I101"/>
    <mergeCell ref="F88:I88"/>
    <mergeCell ref="D101:E101"/>
    <mergeCell ref="D54:E54"/>
    <mergeCell ref="J54:K54"/>
    <mergeCell ref="D41:E41"/>
    <mergeCell ref="J41:K41"/>
    <mergeCell ref="F41:I41"/>
    <mergeCell ref="F54:I54"/>
    <mergeCell ref="D28:E28"/>
    <mergeCell ref="J28:K28"/>
    <mergeCell ref="D15:E15"/>
    <mergeCell ref="J15:K15"/>
    <mergeCell ref="D2:E2"/>
    <mergeCell ref="J2:K2"/>
    <mergeCell ref="F2:I2"/>
    <mergeCell ref="F15:I15"/>
    <mergeCell ref="F28:I28"/>
  </mergeCells>
  <phoneticPr fontId="0" type="noConversion"/>
  <pageMargins left="0.43447916666666703" right="0.13541666666666699" top="0.96354166666666696" bottom="0.444583333333333" header="0.45" footer="0.25"/>
  <pageSetup scale="95" firstPageNumber="17" orientation="landscape" useFirstPageNumber="1" horizontalDpi="360" verticalDpi="360" r:id="rId1"/>
  <headerFooter alignWithMargins="0">
    <oddHeader>&amp;C&amp;"Aptos Display,Bold"&amp;14SEKOLAH MENENGAH PENGIRAN ANAK PUTERI HAJAH MASNA
YEAR 8, STUDENT PROGRESS ASSESSMENT (SPA) 2024</oddHeader>
  </headerFooter>
  <rowBreaks count="1" manualBreakCount="1">
    <brk id="107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DBEE-D2D2-4A45-ADC2-68F42EFD4ED5}">
  <dimension ref="A1:P141"/>
  <sheetViews>
    <sheetView tabSelected="1" view="pageLayout" zoomScaleNormal="100" zoomScaleSheetLayoutView="100" workbookViewId="0">
      <selection activeCell="E5" sqref="D5:L5"/>
    </sheetView>
  </sheetViews>
  <sheetFormatPr defaultColWidth="8.42578125" defaultRowHeight="13.5"/>
  <cols>
    <col min="1" max="1" width="8.7109375" style="46" customWidth="1"/>
    <col min="2" max="2" width="21.85546875" style="46" customWidth="1"/>
    <col min="3" max="3" width="9.42578125" style="46" customWidth="1"/>
    <col min="4" max="5" width="6.42578125" style="46" customWidth="1"/>
    <col min="6" max="6" width="6.85546875" style="46" customWidth="1"/>
    <col min="7" max="7" width="6.42578125" style="46" customWidth="1"/>
    <col min="8" max="12" width="6.85546875" style="46" customWidth="1"/>
    <col min="13" max="13" width="7.85546875" style="46" customWidth="1"/>
    <col min="14" max="14" width="8.7109375" style="46" customWidth="1"/>
    <col min="15" max="15" width="7.85546875" style="46" customWidth="1"/>
    <col min="16" max="16" width="11.140625" style="46" bestFit="1" customWidth="1"/>
    <col min="17" max="16384" width="8.42578125" style="46"/>
  </cols>
  <sheetData>
    <row r="1" spans="1:16" ht="15.75">
      <c r="A1" s="45" t="s">
        <v>0</v>
      </c>
    </row>
    <row r="2" spans="1:16" s="48" customFormat="1" ht="14.25" customHeight="1">
      <c r="A2" s="46"/>
      <c r="B2" s="46"/>
      <c r="C2" s="46"/>
      <c r="D2" s="154" t="s">
        <v>1</v>
      </c>
      <c r="E2" s="155"/>
      <c r="F2" s="154" t="s">
        <v>2</v>
      </c>
      <c r="G2" s="158"/>
      <c r="H2" s="158"/>
      <c r="I2" s="155"/>
      <c r="J2" s="156" t="s">
        <v>3</v>
      </c>
      <c r="K2" s="157"/>
      <c r="L2" s="82" t="s">
        <v>4</v>
      </c>
      <c r="M2" s="46"/>
      <c r="N2" s="46"/>
      <c r="O2" s="46"/>
      <c r="P2" s="46"/>
    </row>
    <row r="3" spans="1:16" ht="25.5">
      <c r="A3" s="80" t="s">
        <v>5</v>
      </c>
      <c r="B3" s="80" t="s">
        <v>6</v>
      </c>
      <c r="C3" s="80" t="s">
        <v>7</v>
      </c>
      <c r="D3" s="80" t="s">
        <v>8</v>
      </c>
      <c r="E3" s="80" t="s">
        <v>9</v>
      </c>
      <c r="F3" s="80" t="s">
        <v>10</v>
      </c>
      <c r="G3" s="80" t="s">
        <v>11</v>
      </c>
      <c r="H3" s="80" t="s">
        <v>12</v>
      </c>
      <c r="I3" s="80" t="s">
        <v>13</v>
      </c>
      <c r="J3" s="80" t="s">
        <v>14</v>
      </c>
      <c r="K3" s="80" t="s">
        <v>15</v>
      </c>
      <c r="L3" s="80" t="s">
        <v>16</v>
      </c>
      <c r="M3" s="81" t="s">
        <v>17</v>
      </c>
      <c r="N3" s="81" t="s">
        <v>18</v>
      </c>
      <c r="O3" s="81" t="s">
        <v>19</v>
      </c>
      <c r="P3" s="81" t="s">
        <v>20</v>
      </c>
    </row>
    <row r="4" spans="1:16">
      <c r="A4" s="138" t="s">
        <v>21</v>
      </c>
      <c r="B4" s="139" t="s">
        <v>22</v>
      </c>
      <c r="C4" s="49">
        <f>SUM(D4:L4)</f>
        <v>20</v>
      </c>
      <c r="D4" s="49" cm="1">
        <f t="array" ref="D4:L4">TRANSPOSE([9]MASTER!$Q$34:$Q$42)</f>
        <v>0</v>
      </c>
      <c r="E4" s="49">
        <v>4</v>
      </c>
      <c r="F4" s="49">
        <v>11</v>
      </c>
      <c r="G4" s="49">
        <v>4</v>
      </c>
      <c r="H4" s="49">
        <v>1</v>
      </c>
      <c r="I4" s="49">
        <v>0</v>
      </c>
      <c r="J4" s="49">
        <v>0</v>
      </c>
      <c r="K4" s="49">
        <v>0</v>
      </c>
      <c r="L4" s="49">
        <v>0</v>
      </c>
      <c r="M4" s="49">
        <f t="shared" ref="M4:M11" si="0">SUM(D4:I4)</f>
        <v>20</v>
      </c>
      <c r="N4" s="50">
        <f t="shared" ref="N4:N11" si="1">((M4/C4)*100)</f>
        <v>100</v>
      </c>
      <c r="O4" s="49">
        <f t="shared" ref="O4:O12" si="2">SUM(D4:K4)</f>
        <v>20</v>
      </c>
      <c r="P4" s="50">
        <f t="shared" ref="P4:P11" si="3">((O4/C4)*100)</f>
        <v>100</v>
      </c>
    </row>
    <row r="5" spans="1:16">
      <c r="A5" s="140" t="s">
        <v>23</v>
      </c>
      <c r="B5" s="141" t="s">
        <v>24</v>
      </c>
      <c r="C5" s="49">
        <f>SUM(D5:L5)</f>
        <v>20</v>
      </c>
      <c r="D5" s="49" cm="1">
        <f t="array" ref="D5:L5">TRANSPOSE([12]MASTER!$Q$34:$Q$42)</f>
        <v>0</v>
      </c>
      <c r="E5" s="49">
        <v>0</v>
      </c>
      <c r="F5" s="49">
        <v>4</v>
      </c>
      <c r="G5" s="49">
        <v>7</v>
      </c>
      <c r="H5" s="49">
        <v>8</v>
      </c>
      <c r="I5" s="49">
        <v>1</v>
      </c>
      <c r="J5" s="49">
        <v>0</v>
      </c>
      <c r="K5" s="49">
        <v>0</v>
      </c>
      <c r="L5" s="49">
        <v>0</v>
      </c>
      <c r="M5" s="49">
        <f t="shared" si="0"/>
        <v>20</v>
      </c>
      <c r="N5" s="50">
        <f t="shared" si="1"/>
        <v>100</v>
      </c>
      <c r="O5" s="49">
        <f t="shared" si="2"/>
        <v>20</v>
      </c>
      <c r="P5" s="50">
        <f t="shared" si="3"/>
        <v>100</v>
      </c>
    </row>
    <row r="6" spans="1:16">
      <c r="A6" s="140" t="s">
        <v>25</v>
      </c>
      <c r="B6" s="141" t="s">
        <v>26</v>
      </c>
      <c r="C6" s="49">
        <f t="shared" ref="C5:C11" si="4">SUM(D6:L6)</f>
        <v>23</v>
      </c>
      <c r="D6" s="49" cm="1">
        <f t="array" ref="D6:L6">TRANSPOSE([10]MASTER!$Q$49:$Q$57)</f>
        <v>0</v>
      </c>
      <c r="E6" s="49">
        <v>0</v>
      </c>
      <c r="F6" s="49">
        <v>1</v>
      </c>
      <c r="G6" s="49">
        <v>5</v>
      </c>
      <c r="H6" s="49">
        <v>5</v>
      </c>
      <c r="I6" s="49">
        <v>8</v>
      </c>
      <c r="J6" s="49">
        <v>4</v>
      </c>
      <c r="K6" s="49">
        <v>0</v>
      </c>
      <c r="L6" s="49">
        <v>0</v>
      </c>
      <c r="M6" s="49">
        <f t="shared" si="0"/>
        <v>19</v>
      </c>
      <c r="N6" s="50">
        <f t="shared" si="1"/>
        <v>82.608695652173907</v>
      </c>
      <c r="O6" s="49">
        <f t="shared" si="2"/>
        <v>23</v>
      </c>
      <c r="P6" s="50">
        <f t="shared" si="3"/>
        <v>100</v>
      </c>
    </row>
    <row r="7" spans="1:16">
      <c r="A7" s="140" t="s">
        <v>27</v>
      </c>
      <c r="B7" s="141" t="s">
        <v>26</v>
      </c>
      <c r="C7" s="49">
        <f t="shared" si="4"/>
        <v>24</v>
      </c>
      <c r="D7" s="49" cm="1">
        <f t="array" ref="D7:L7">TRANSPOSE([11]MASTER!$Q$56:$Q$64)</f>
        <v>0</v>
      </c>
      <c r="E7" s="49">
        <v>2</v>
      </c>
      <c r="F7" s="49">
        <v>1</v>
      </c>
      <c r="G7" s="49">
        <v>6</v>
      </c>
      <c r="H7" s="49">
        <v>5</v>
      </c>
      <c r="I7" s="49">
        <v>6</v>
      </c>
      <c r="J7" s="49">
        <v>4</v>
      </c>
      <c r="K7" s="49">
        <v>0</v>
      </c>
      <c r="L7" s="49">
        <v>0</v>
      </c>
      <c r="M7" s="49">
        <f t="shared" si="0"/>
        <v>20</v>
      </c>
      <c r="N7" s="50">
        <f t="shared" si="1"/>
        <v>83.333333333333343</v>
      </c>
      <c r="O7" s="49">
        <f t="shared" si="2"/>
        <v>24</v>
      </c>
      <c r="P7" s="50">
        <f t="shared" si="3"/>
        <v>100</v>
      </c>
    </row>
    <row r="8" spans="1:16">
      <c r="A8" s="140" t="s">
        <v>28</v>
      </c>
      <c r="B8" s="141" t="s">
        <v>29</v>
      </c>
      <c r="C8" s="49">
        <f t="shared" si="4"/>
        <v>25</v>
      </c>
      <c r="D8" s="49" cm="1">
        <f t="array" ref="D8:L8">TRANSPOSE([13]MASTER!$Q$44:$Q$52)</f>
        <v>0</v>
      </c>
      <c r="E8" s="49">
        <v>0</v>
      </c>
      <c r="F8" s="49">
        <v>2</v>
      </c>
      <c r="G8" s="49">
        <v>4</v>
      </c>
      <c r="H8" s="49">
        <v>8</v>
      </c>
      <c r="I8" s="49">
        <v>5</v>
      </c>
      <c r="J8" s="49">
        <v>5</v>
      </c>
      <c r="K8" s="49">
        <v>0</v>
      </c>
      <c r="L8" s="49">
        <v>1</v>
      </c>
      <c r="M8" s="49">
        <f t="shared" si="0"/>
        <v>19</v>
      </c>
      <c r="N8" s="50">
        <f t="shared" si="1"/>
        <v>76</v>
      </c>
      <c r="O8" s="49">
        <f t="shared" si="2"/>
        <v>24</v>
      </c>
      <c r="P8" s="50">
        <f t="shared" si="3"/>
        <v>96</v>
      </c>
    </row>
    <row r="9" spans="1:16">
      <c r="A9" s="140" t="s">
        <v>30</v>
      </c>
      <c r="B9" s="141" t="s">
        <v>22</v>
      </c>
      <c r="C9" s="49">
        <f t="shared" si="4"/>
        <v>24</v>
      </c>
      <c r="D9" s="49" cm="1">
        <f t="array" ref="D9:L9">TRANSPOSE([14]MASTER!$Q$56:$Q$64)</f>
        <v>0</v>
      </c>
      <c r="E9" s="49">
        <v>0</v>
      </c>
      <c r="F9" s="49">
        <v>0</v>
      </c>
      <c r="G9" s="49">
        <v>4</v>
      </c>
      <c r="H9" s="49">
        <v>4</v>
      </c>
      <c r="I9" s="49">
        <v>9</v>
      </c>
      <c r="J9" s="49">
        <v>6</v>
      </c>
      <c r="K9" s="49">
        <v>1</v>
      </c>
      <c r="L9" s="49">
        <v>0</v>
      </c>
      <c r="M9" s="49">
        <f t="shared" si="0"/>
        <v>17</v>
      </c>
      <c r="N9" s="50">
        <f t="shared" si="1"/>
        <v>70.833333333333343</v>
      </c>
      <c r="O9" s="49">
        <f t="shared" si="2"/>
        <v>24</v>
      </c>
      <c r="P9" s="50">
        <f t="shared" si="3"/>
        <v>100</v>
      </c>
    </row>
    <row r="10" spans="1:16">
      <c r="A10" s="140" t="s">
        <v>31</v>
      </c>
      <c r="B10" s="141" t="s">
        <v>32</v>
      </c>
      <c r="C10" s="49">
        <f t="shared" si="4"/>
        <v>15</v>
      </c>
      <c r="D10" s="49" cm="1">
        <f t="array" ref="D10:L10">TRANSPOSE([15]MASTER!$Q$29:$Q$37)</f>
        <v>0</v>
      </c>
      <c r="E10" s="49">
        <v>0</v>
      </c>
      <c r="F10" s="49">
        <v>0</v>
      </c>
      <c r="G10" s="49">
        <v>0</v>
      </c>
      <c r="H10" s="49">
        <v>4</v>
      </c>
      <c r="I10" s="49">
        <v>2</v>
      </c>
      <c r="J10" s="49">
        <v>7</v>
      </c>
      <c r="K10" s="49">
        <v>0</v>
      </c>
      <c r="L10" s="49">
        <v>2</v>
      </c>
      <c r="M10" s="49">
        <f t="shared" si="0"/>
        <v>6</v>
      </c>
      <c r="N10" s="50">
        <f t="shared" si="1"/>
        <v>40</v>
      </c>
      <c r="O10" s="49">
        <f t="shared" si="2"/>
        <v>13</v>
      </c>
      <c r="P10" s="50">
        <f t="shared" si="3"/>
        <v>86.666666666666671</v>
      </c>
    </row>
    <row r="11" spans="1:16">
      <c r="A11" s="140" t="s">
        <v>33</v>
      </c>
      <c r="B11" s="142" t="s">
        <v>24</v>
      </c>
      <c r="C11" s="49">
        <f t="shared" si="4"/>
        <v>12</v>
      </c>
      <c r="D11" s="49" cm="1">
        <f t="array" ref="D11:L11">TRANSPOSE([16]MASTER!$Q$26:$Q$34)</f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6</v>
      </c>
      <c r="K11" s="49">
        <v>3</v>
      </c>
      <c r="L11" s="49">
        <v>3</v>
      </c>
      <c r="M11" s="49">
        <f t="shared" si="0"/>
        <v>0</v>
      </c>
      <c r="N11" s="50">
        <f t="shared" si="1"/>
        <v>0</v>
      </c>
      <c r="O11" s="49">
        <f t="shared" si="2"/>
        <v>9</v>
      </c>
      <c r="P11" s="50">
        <f t="shared" si="3"/>
        <v>75</v>
      </c>
    </row>
    <row r="12" spans="1:16">
      <c r="A12" s="51"/>
      <c r="B12" s="52" t="s">
        <v>34</v>
      </c>
      <c r="C12" s="47">
        <f>SUM(C4:C11)</f>
        <v>163</v>
      </c>
      <c r="D12" s="47">
        <f t="shared" ref="D12:L12" si="5">SUM(D4:D11)</f>
        <v>0</v>
      </c>
      <c r="E12" s="47">
        <f t="shared" si="5"/>
        <v>6</v>
      </c>
      <c r="F12" s="47">
        <f t="shared" si="5"/>
        <v>19</v>
      </c>
      <c r="G12" s="47">
        <f t="shared" si="5"/>
        <v>30</v>
      </c>
      <c r="H12" s="47">
        <f t="shared" si="5"/>
        <v>35</v>
      </c>
      <c r="I12" s="47">
        <f t="shared" si="5"/>
        <v>31</v>
      </c>
      <c r="J12" s="47">
        <f t="shared" si="5"/>
        <v>32</v>
      </c>
      <c r="K12" s="47">
        <f t="shared" si="5"/>
        <v>4</v>
      </c>
      <c r="L12" s="47">
        <f t="shared" si="5"/>
        <v>6</v>
      </c>
      <c r="M12" s="47">
        <f>SUM(D12:I12)</f>
        <v>121</v>
      </c>
      <c r="N12" s="53">
        <f>((M12/C12)*100)</f>
        <v>74.233128834355838</v>
      </c>
      <c r="O12" s="47">
        <f t="shared" si="2"/>
        <v>157</v>
      </c>
      <c r="P12" s="53">
        <f>((O12/C12)*100)</f>
        <v>96.319018404907979</v>
      </c>
    </row>
    <row r="13" spans="1:16" ht="11.2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5"/>
      <c r="O13" s="54"/>
      <c r="P13" s="55"/>
    </row>
    <row r="14" spans="1:16" ht="15.75">
      <c r="A14" s="45" t="s">
        <v>35</v>
      </c>
    </row>
    <row r="15" spans="1:16" s="48" customFormat="1" ht="14.25" customHeight="1">
      <c r="A15" s="46"/>
      <c r="B15" s="46"/>
      <c r="C15" s="46"/>
      <c r="D15" s="154" t="s">
        <v>1</v>
      </c>
      <c r="E15" s="155"/>
      <c r="F15" s="154" t="s">
        <v>2</v>
      </c>
      <c r="G15" s="158"/>
      <c r="H15" s="158"/>
      <c r="I15" s="155"/>
      <c r="J15" s="156" t="s">
        <v>3</v>
      </c>
      <c r="K15" s="157"/>
      <c r="L15" s="82" t="s">
        <v>4</v>
      </c>
      <c r="M15" s="46"/>
      <c r="N15" s="46"/>
      <c r="O15" s="46"/>
      <c r="P15" s="46"/>
    </row>
    <row r="16" spans="1:16" ht="25.5">
      <c r="A16" s="80" t="s">
        <v>5</v>
      </c>
      <c r="B16" s="80" t="s">
        <v>6</v>
      </c>
      <c r="C16" s="80" t="s">
        <v>7</v>
      </c>
      <c r="D16" s="80" t="s">
        <v>8</v>
      </c>
      <c r="E16" s="80" t="s">
        <v>9</v>
      </c>
      <c r="F16" s="80" t="s">
        <v>10</v>
      </c>
      <c r="G16" s="80" t="s">
        <v>11</v>
      </c>
      <c r="H16" s="80" t="s">
        <v>12</v>
      </c>
      <c r="I16" s="80" t="s">
        <v>13</v>
      </c>
      <c r="J16" s="80" t="s">
        <v>14</v>
      </c>
      <c r="K16" s="80" t="s">
        <v>15</v>
      </c>
      <c r="L16" s="80" t="s">
        <v>16</v>
      </c>
      <c r="M16" s="81" t="s">
        <v>17</v>
      </c>
      <c r="N16" s="81" t="s">
        <v>18</v>
      </c>
      <c r="O16" s="81" t="s">
        <v>19</v>
      </c>
      <c r="P16" s="81" t="s">
        <v>20</v>
      </c>
    </row>
    <row r="17" spans="1:16">
      <c r="A17" s="138" t="s">
        <v>21</v>
      </c>
      <c r="B17" s="139" t="s">
        <v>36</v>
      </c>
      <c r="C17" s="49">
        <f>SUM(D17:L17)</f>
        <v>20</v>
      </c>
      <c r="D17" s="61" cm="1">
        <f t="array" ref="D17:L17">TRANSPOSE([9]MASTER!$Z$34:$Z$42)</f>
        <v>8</v>
      </c>
      <c r="E17" s="61">
        <v>12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49">
        <f t="shared" ref="M17:M24" si="6">SUM(D17:I17)</f>
        <v>20</v>
      </c>
      <c r="N17" s="50">
        <f t="shared" ref="N17:N24" si="7">((M17/C17)*100)</f>
        <v>100</v>
      </c>
      <c r="O17" s="49">
        <f t="shared" ref="O17:O25" si="8">SUM(D17:K17)</f>
        <v>20</v>
      </c>
      <c r="P17" s="50">
        <f t="shared" ref="P17:P24" si="9">((O17/C17)*100)</f>
        <v>100</v>
      </c>
    </row>
    <row r="18" spans="1:16">
      <c r="A18" s="140" t="s">
        <v>23</v>
      </c>
      <c r="B18" s="141" t="s">
        <v>37</v>
      </c>
      <c r="C18" s="49">
        <f t="shared" ref="C18:C24" si="10">SUM(D18:L18)</f>
        <v>20</v>
      </c>
      <c r="D18" s="62" cm="1">
        <f t="array" ref="D18:L18">TRANSPOSE([12]MASTER!$Z$34:$Z$42)</f>
        <v>3</v>
      </c>
      <c r="E18" s="62">
        <v>8</v>
      </c>
      <c r="F18" s="62">
        <v>1</v>
      </c>
      <c r="G18" s="62">
        <v>6</v>
      </c>
      <c r="H18" s="62">
        <v>2</v>
      </c>
      <c r="I18" s="62">
        <v>0</v>
      </c>
      <c r="J18" s="62">
        <v>0</v>
      </c>
      <c r="K18" s="62">
        <v>0</v>
      </c>
      <c r="L18" s="62">
        <v>0</v>
      </c>
      <c r="M18" s="49">
        <f t="shared" si="6"/>
        <v>20</v>
      </c>
      <c r="N18" s="50">
        <f t="shared" si="7"/>
        <v>100</v>
      </c>
      <c r="O18" s="49">
        <f t="shared" si="8"/>
        <v>20</v>
      </c>
      <c r="P18" s="50">
        <f t="shared" si="9"/>
        <v>100</v>
      </c>
    </row>
    <row r="19" spans="1:16">
      <c r="A19" s="140" t="s">
        <v>25</v>
      </c>
      <c r="B19" s="141" t="s">
        <v>36</v>
      </c>
      <c r="C19" s="49">
        <f t="shared" si="10"/>
        <v>23</v>
      </c>
      <c r="D19" s="62" cm="1">
        <f t="array" ref="D19:L19">TRANSPOSE([10]MASTER!$Z$49:$Z$57)</f>
        <v>1</v>
      </c>
      <c r="E19" s="62">
        <v>17</v>
      </c>
      <c r="F19" s="62">
        <v>4</v>
      </c>
      <c r="G19" s="62">
        <v>1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49">
        <f t="shared" si="6"/>
        <v>23</v>
      </c>
      <c r="N19" s="50">
        <f t="shared" si="7"/>
        <v>100</v>
      </c>
      <c r="O19" s="49">
        <f t="shared" si="8"/>
        <v>23</v>
      </c>
      <c r="P19" s="50">
        <f t="shared" si="9"/>
        <v>100</v>
      </c>
    </row>
    <row r="20" spans="1:16">
      <c r="A20" s="140" t="s">
        <v>27</v>
      </c>
      <c r="B20" s="141" t="s">
        <v>37</v>
      </c>
      <c r="C20" s="49">
        <f t="shared" si="10"/>
        <v>24</v>
      </c>
      <c r="D20" s="62" cm="1">
        <f t="array" ref="D20:L20">TRANSPOSE([11]MASTER!$Z$56:$Z$64)</f>
        <v>3</v>
      </c>
      <c r="E20" s="62">
        <v>6</v>
      </c>
      <c r="F20" s="62">
        <v>7</v>
      </c>
      <c r="G20" s="62">
        <v>6</v>
      </c>
      <c r="H20" s="62">
        <v>1</v>
      </c>
      <c r="I20" s="62">
        <v>1</v>
      </c>
      <c r="J20" s="62">
        <v>0</v>
      </c>
      <c r="K20" s="62">
        <v>0</v>
      </c>
      <c r="L20" s="62">
        <v>0</v>
      </c>
      <c r="M20" s="49">
        <f t="shared" si="6"/>
        <v>24</v>
      </c>
      <c r="N20" s="50">
        <f t="shared" si="7"/>
        <v>100</v>
      </c>
      <c r="O20" s="49">
        <f t="shared" si="8"/>
        <v>24</v>
      </c>
      <c r="P20" s="50">
        <f t="shared" si="9"/>
        <v>100</v>
      </c>
    </row>
    <row r="21" spans="1:16">
      <c r="A21" s="140" t="s">
        <v>28</v>
      </c>
      <c r="B21" s="141" t="s">
        <v>36</v>
      </c>
      <c r="C21" s="49">
        <f t="shared" si="10"/>
        <v>25</v>
      </c>
      <c r="D21" s="62" cm="1">
        <f t="array" ref="D21:L21">TRANSPOSE([13]MASTER!$Z$44:$Z$52)</f>
        <v>0</v>
      </c>
      <c r="E21" s="62">
        <v>4</v>
      </c>
      <c r="F21" s="62">
        <v>6</v>
      </c>
      <c r="G21" s="62">
        <v>5</v>
      </c>
      <c r="H21" s="62">
        <v>6</v>
      </c>
      <c r="I21" s="62">
        <v>1</v>
      </c>
      <c r="J21" s="62">
        <v>3</v>
      </c>
      <c r="K21" s="62">
        <v>0</v>
      </c>
      <c r="L21" s="62">
        <v>0</v>
      </c>
      <c r="M21" s="49">
        <f t="shared" si="6"/>
        <v>22</v>
      </c>
      <c r="N21" s="50">
        <f t="shared" si="7"/>
        <v>88</v>
      </c>
      <c r="O21" s="49">
        <f>SUM(D21:K21)</f>
        <v>25</v>
      </c>
      <c r="P21" s="50">
        <f>((O21/C21)*100)</f>
        <v>100</v>
      </c>
    </row>
    <row r="22" spans="1:16">
      <c r="A22" s="140" t="s">
        <v>30</v>
      </c>
      <c r="B22" s="141" t="s">
        <v>38</v>
      </c>
      <c r="C22" s="49">
        <f t="shared" si="10"/>
        <v>24</v>
      </c>
      <c r="D22" s="62" cm="1">
        <f t="array" ref="D22:L22">TRANSPOSE([14]MASTER!$Z$56:$Z$64)</f>
        <v>0</v>
      </c>
      <c r="E22" s="62">
        <v>0</v>
      </c>
      <c r="F22" s="62">
        <v>3</v>
      </c>
      <c r="G22" s="62">
        <v>6</v>
      </c>
      <c r="H22" s="62">
        <v>5</v>
      </c>
      <c r="I22" s="62">
        <v>5</v>
      </c>
      <c r="J22" s="62">
        <v>5</v>
      </c>
      <c r="K22" s="62">
        <v>0</v>
      </c>
      <c r="L22" s="62">
        <v>0</v>
      </c>
      <c r="M22" s="49">
        <f t="shared" si="6"/>
        <v>19</v>
      </c>
      <c r="N22" s="50">
        <f t="shared" si="7"/>
        <v>79.166666666666657</v>
      </c>
      <c r="O22" s="49">
        <f t="shared" si="8"/>
        <v>24</v>
      </c>
      <c r="P22" s="50">
        <f t="shared" si="9"/>
        <v>100</v>
      </c>
    </row>
    <row r="23" spans="1:16">
      <c r="A23" s="140" t="s">
        <v>31</v>
      </c>
      <c r="B23" s="141" t="s">
        <v>39</v>
      </c>
      <c r="C23" s="49">
        <f t="shared" si="10"/>
        <v>15</v>
      </c>
      <c r="D23" s="62" cm="1">
        <f t="array" ref="D23:L23">TRANSPOSE([15]MASTER!$Z$29:$Z$37)</f>
        <v>0</v>
      </c>
      <c r="E23" s="62">
        <v>0</v>
      </c>
      <c r="F23" s="62">
        <v>1</v>
      </c>
      <c r="G23" s="62">
        <v>2</v>
      </c>
      <c r="H23" s="62">
        <v>1</v>
      </c>
      <c r="I23" s="62">
        <v>5</v>
      </c>
      <c r="J23" s="62">
        <v>5</v>
      </c>
      <c r="K23" s="62">
        <v>0</v>
      </c>
      <c r="L23" s="62">
        <v>1</v>
      </c>
      <c r="M23" s="49">
        <f t="shared" si="6"/>
        <v>9</v>
      </c>
      <c r="N23" s="50">
        <f t="shared" si="7"/>
        <v>60</v>
      </c>
      <c r="O23" s="49">
        <f t="shared" si="8"/>
        <v>14</v>
      </c>
      <c r="P23" s="50">
        <f t="shared" si="9"/>
        <v>93.333333333333329</v>
      </c>
    </row>
    <row r="24" spans="1:16">
      <c r="A24" s="140" t="s">
        <v>33</v>
      </c>
      <c r="B24" s="141" t="s">
        <v>38</v>
      </c>
      <c r="C24" s="49">
        <f t="shared" si="10"/>
        <v>12</v>
      </c>
      <c r="D24" s="62" cm="1">
        <f t="array" ref="D24:L24">TRANSPOSE([16]MASTER!$Z$26:$Z$34)</f>
        <v>0</v>
      </c>
      <c r="E24" s="62">
        <v>0</v>
      </c>
      <c r="F24" s="62">
        <v>0</v>
      </c>
      <c r="G24" s="62">
        <v>0</v>
      </c>
      <c r="H24" s="62">
        <v>2</v>
      </c>
      <c r="I24" s="62">
        <v>0</v>
      </c>
      <c r="J24" s="62">
        <v>2</v>
      </c>
      <c r="K24" s="62">
        <v>4</v>
      </c>
      <c r="L24" s="62">
        <v>4</v>
      </c>
      <c r="M24" s="49">
        <f t="shared" si="6"/>
        <v>2</v>
      </c>
      <c r="N24" s="50">
        <f t="shared" si="7"/>
        <v>16.666666666666664</v>
      </c>
      <c r="O24" s="49">
        <f t="shared" si="8"/>
        <v>8</v>
      </c>
      <c r="P24" s="50">
        <f t="shared" si="9"/>
        <v>66.666666666666657</v>
      </c>
    </row>
    <row r="25" spans="1:16">
      <c r="A25" s="51"/>
      <c r="B25" s="52" t="s">
        <v>34</v>
      </c>
      <c r="C25" s="47">
        <f>SUM(C17:C24)</f>
        <v>163</v>
      </c>
      <c r="D25" s="47">
        <f t="shared" ref="D25:L25" si="11">SUM(D17:D24)</f>
        <v>15</v>
      </c>
      <c r="E25" s="47">
        <f t="shared" si="11"/>
        <v>47</v>
      </c>
      <c r="F25" s="47">
        <f t="shared" si="11"/>
        <v>22</v>
      </c>
      <c r="G25" s="47">
        <f t="shared" si="11"/>
        <v>26</v>
      </c>
      <c r="H25" s="47">
        <f t="shared" si="11"/>
        <v>17</v>
      </c>
      <c r="I25" s="47">
        <f t="shared" si="11"/>
        <v>12</v>
      </c>
      <c r="J25" s="47">
        <f t="shared" si="11"/>
        <v>15</v>
      </c>
      <c r="K25" s="47">
        <f t="shared" si="11"/>
        <v>4</v>
      </c>
      <c r="L25" s="47">
        <f t="shared" si="11"/>
        <v>5</v>
      </c>
      <c r="M25" s="47">
        <f t="shared" ref="M25" si="12">SUM(D25:I25)</f>
        <v>139</v>
      </c>
      <c r="N25" s="53">
        <f>((M25/C25)*100)</f>
        <v>85.276073619631902</v>
      </c>
      <c r="O25" s="47">
        <f t="shared" si="8"/>
        <v>158</v>
      </c>
      <c r="P25" s="53">
        <f>((O25/C25)*100)</f>
        <v>96.932515337423311</v>
      </c>
    </row>
    <row r="26" spans="1:1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5"/>
      <c r="O26" s="54"/>
      <c r="P26" s="55"/>
    </row>
    <row r="27" spans="1:16" ht="15.75">
      <c r="A27" s="45" t="s">
        <v>40</v>
      </c>
    </row>
    <row r="28" spans="1:16" s="48" customFormat="1" ht="14.25" customHeight="1">
      <c r="A28" s="46"/>
      <c r="B28" s="46"/>
      <c r="C28" s="46"/>
      <c r="D28" s="154" t="s">
        <v>1</v>
      </c>
      <c r="E28" s="155"/>
      <c r="F28" s="154" t="s">
        <v>2</v>
      </c>
      <c r="G28" s="158"/>
      <c r="H28" s="158"/>
      <c r="I28" s="155"/>
      <c r="J28" s="156" t="s">
        <v>3</v>
      </c>
      <c r="K28" s="157"/>
      <c r="L28" s="82" t="s">
        <v>4</v>
      </c>
      <c r="M28" s="46"/>
      <c r="N28" s="46"/>
      <c r="O28" s="46"/>
      <c r="P28" s="46"/>
    </row>
    <row r="29" spans="1:16" ht="25.5">
      <c r="A29" s="80" t="s">
        <v>5</v>
      </c>
      <c r="B29" s="80" t="s">
        <v>6</v>
      </c>
      <c r="C29" s="80" t="s">
        <v>7</v>
      </c>
      <c r="D29" s="80" t="s">
        <v>8</v>
      </c>
      <c r="E29" s="80" t="s">
        <v>9</v>
      </c>
      <c r="F29" s="80" t="s">
        <v>10</v>
      </c>
      <c r="G29" s="80" t="s">
        <v>11</v>
      </c>
      <c r="H29" s="80" t="s">
        <v>12</v>
      </c>
      <c r="I29" s="80" t="s">
        <v>13</v>
      </c>
      <c r="J29" s="80" t="s">
        <v>14</v>
      </c>
      <c r="K29" s="80" t="s">
        <v>15</v>
      </c>
      <c r="L29" s="80" t="s">
        <v>16</v>
      </c>
      <c r="M29" s="81" t="s">
        <v>17</v>
      </c>
      <c r="N29" s="81" t="s">
        <v>18</v>
      </c>
      <c r="O29" s="81" t="s">
        <v>19</v>
      </c>
      <c r="P29" s="81" t="s">
        <v>20</v>
      </c>
    </row>
    <row r="30" spans="1:16">
      <c r="A30" s="138" t="s">
        <v>21</v>
      </c>
      <c r="B30" s="139" t="s">
        <v>41</v>
      </c>
      <c r="C30" s="49">
        <f>SUM(D30:L30)</f>
        <v>20</v>
      </c>
      <c r="D30" s="49" cm="1">
        <f t="array" ref="D30:L30">TRANSPOSE([9]MASTER!$BA$34:$BA$42)</f>
        <v>8</v>
      </c>
      <c r="E30" s="49">
        <v>8</v>
      </c>
      <c r="F30" s="49">
        <v>3</v>
      </c>
      <c r="G30" s="49">
        <v>1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f t="shared" ref="M30:M38" si="13">SUM(D30:I30)</f>
        <v>20</v>
      </c>
      <c r="N30" s="50">
        <f t="shared" ref="N30:N37" si="14">((M30/C30)*100)</f>
        <v>100</v>
      </c>
      <c r="O30" s="49">
        <f t="shared" ref="O30:O38" si="15">SUM(D30:K30)</f>
        <v>20</v>
      </c>
      <c r="P30" s="50">
        <f t="shared" ref="P30:P37" si="16">((O30/C30)*100)</f>
        <v>100</v>
      </c>
    </row>
    <row r="31" spans="1:16">
      <c r="A31" s="140" t="s">
        <v>23</v>
      </c>
      <c r="B31" s="141" t="s">
        <v>41</v>
      </c>
      <c r="C31" s="49">
        <f t="shared" ref="C31:C37" si="17">SUM(D31:L31)</f>
        <v>20</v>
      </c>
      <c r="D31" s="49" cm="1">
        <f t="array" ref="D31:L31">TRANSPOSE([12]MASTER!$BA$34:$BA$42)</f>
        <v>11</v>
      </c>
      <c r="E31" s="49">
        <v>4</v>
      </c>
      <c r="F31" s="49">
        <v>1</v>
      </c>
      <c r="G31" s="49">
        <v>1</v>
      </c>
      <c r="H31" s="49">
        <v>0</v>
      </c>
      <c r="I31" s="49">
        <v>0</v>
      </c>
      <c r="J31" s="49">
        <v>3</v>
      </c>
      <c r="K31" s="49">
        <v>0</v>
      </c>
      <c r="L31" s="49">
        <v>0</v>
      </c>
      <c r="M31" s="49">
        <f t="shared" si="13"/>
        <v>17</v>
      </c>
      <c r="N31" s="50">
        <f t="shared" si="14"/>
        <v>85</v>
      </c>
      <c r="O31" s="49">
        <f t="shared" si="15"/>
        <v>20</v>
      </c>
      <c r="P31" s="50">
        <f t="shared" si="16"/>
        <v>100</v>
      </c>
    </row>
    <row r="32" spans="1:16">
      <c r="A32" s="140" t="s">
        <v>25</v>
      </c>
      <c r="B32" s="141" t="s">
        <v>42</v>
      </c>
      <c r="C32" s="49">
        <f t="shared" si="17"/>
        <v>23</v>
      </c>
      <c r="D32" s="49" cm="1">
        <f t="array" ref="D32:L32">TRANSPOSE([10]MASTER!$BA$49:$BA$57)</f>
        <v>3</v>
      </c>
      <c r="E32" s="49">
        <v>12</v>
      </c>
      <c r="F32" s="49">
        <v>4</v>
      </c>
      <c r="G32" s="49">
        <v>2</v>
      </c>
      <c r="H32" s="49">
        <v>1</v>
      </c>
      <c r="I32" s="49">
        <v>0</v>
      </c>
      <c r="J32" s="49">
        <v>1</v>
      </c>
      <c r="K32" s="49">
        <v>0</v>
      </c>
      <c r="L32" s="49">
        <v>0</v>
      </c>
      <c r="M32" s="49">
        <f t="shared" si="13"/>
        <v>22</v>
      </c>
      <c r="N32" s="50">
        <f t="shared" si="14"/>
        <v>95.652173913043484</v>
      </c>
      <c r="O32" s="49">
        <f t="shared" si="15"/>
        <v>23</v>
      </c>
      <c r="P32" s="50">
        <f t="shared" si="16"/>
        <v>100</v>
      </c>
    </row>
    <row r="33" spans="1:16">
      <c r="A33" s="140" t="s">
        <v>27</v>
      </c>
      <c r="B33" s="141" t="s">
        <v>42</v>
      </c>
      <c r="C33" s="49">
        <f t="shared" si="17"/>
        <v>24</v>
      </c>
      <c r="D33" s="49" cm="1">
        <f t="array" ref="D33:L33">TRANSPOSE([11]MASTER!$BA$56:$BA$64)</f>
        <v>3</v>
      </c>
      <c r="E33" s="49">
        <v>6</v>
      </c>
      <c r="F33" s="49">
        <v>2</v>
      </c>
      <c r="G33" s="49">
        <v>3</v>
      </c>
      <c r="H33" s="49">
        <v>0</v>
      </c>
      <c r="I33" s="49">
        <v>2</v>
      </c>
      <c r="J33" s="49">
        <v>5</v>
      </c>
      <c r="K33" s="49">
        <v>2</v>
      </c>
      <c r="L33" s="49">
        <v>1</v>
      </c>
      <c r="M33" s="49">
        <f t="shared" si="13"/>
        <v>16</v>
      </c>
      <c r="N33" s="50">
        <f t="shared" si="14"/>
        <v>66.666666666666657</v>
      </c>
      <c r="O33" s="49">
        <f t="shared" si="15"/>
        <v>23</v>
      </c>
      <c r="P33" s="50">
        <f t="shared" si="16"/>
        <v>95.833333333333343</v>
      </c>
    </row>
    <row r="34" spans="1:16">
      <c r="A34" s="140" t="s">
        <v>28</v>
      </c>
      <c r="B34" s="141" t="s">
        <v>41</v>
      </c>
      <c r="C34" s="49">
        <f t="shared" si="17"/>
        <v>25</v>
      </c>
      <c r="D34" s="49" cm="1">
        <f t="array" ref="D34:L34">TRANSPOSE([13]MASTER!$BA$44:$BA$52)</f>
        <v>2</v>
      </c>
      <c r="E34" s="49">
        <v>2</v>
      </c>
      <c r="F34" s="49">
        <v>2</v>
      </c>
      <c r="G34" s="49">
        <v>4</v>
      </c>
      <c r="H34" s="49">
        <v>2</v>
      </c>
      <c r="I34" s="49">
        <v>1</v>
      </c>
      <c r="J34" s="49">
        <v>7</v>
      </c>
      <c r="K34" s="49">
        <v>1</v>
      </c>
      <c r="L34" s="49">
        <v>4</v>
      </c>
      <c r="M34" s="49">
        <f t="shared" si="13"/>
        <v>13</v>
      </c>
      <c r="N34" s="50">
        <f t="shared" si="14"/>
        <v>52</v>
      </c>
      <c r="O34" s="49">
        <f t="shared" si="15"/>
        <v>21</v>
      </c>
      <c r="P34" s="50">
        <f t="shared" si="16"/>
        <v>84</v>
      </c>
    </row>
    <row r="35" spans="1:16">
      <c r="A35" s="140" t="s">
        <v>30</v>
      </c>
      <c r="B35" s="141" t="s">
        <v>42</v>
      </c>
      <c r="C35" s="49">
        <f t="shared" si="17"/>
        <v>24</v>
      </c>
      <c r="D35" s="49" cm="1">
        <f t="array" ref="D35:L35">TRANSPOSE([14]MASTER!$BA$56:$BA$64)</f>
        <v>1</v>
      </c>
      <c r="E35" s="49">
        <v>5</v>
      </c>
      <c r="F35" s="49">
        <v>0</v>
      </c>
      <c r="G35" s="49">
        <v>1</v>
      </c>
      <c r="H35" s="49">
        <v>2</v>
      </c>
      <c r="I35" s="49">
        <v>5</v>
      </c>
      <c r="J35" s="49">
        <v>4</v>
      </c>
      <c r="K35" s="49">
        <v>3</v>
      </c>
      <c r="L35" s="49">
        <v>3</v>
      </c>
      <c r="M35" s="49">
        <f>SUM(D35:I35)</f>
        <v>14</v>
      </c>
      <c r="N35" s="50">
        <f t="shared" si="14"/>
        <v>58.333333333333336</v>
      </c>
      <c r="O35" s="49">
        <f t="shared" si="15"/>
        <v>21</v>
      </c>
      <c r="P35" s="50">
        <f t="shared" si="16"/>
        <v>87.5</v>
      </c>
    </row>
    <row r="36" spans="1:16">
      <c r="A36" s="140" t="s">
        <v>31</v>
      </c>
      <c r="B36" s="141" t="s">
        <v>41</v>
      </c>
      <c r="C36" s="49">
        <f t="shared" si="17"/>
        <v>15</v>
      </c>
      <c r="D36" s="49" cm="1">
        <f t="array" ref="D36:L36">TRANSPOSE([15]MASTER!$BA$29:$BA$37)</f>
        <v>0</v>
      </c>
      <c r="E36" s="49">
        <v>0</v>
      </c>
      <c r="F36" s="49">
        <v>0</v>
      </c>
      <c r="G36" s="49">
        <v>2</v>
      </c>
      <c r="H36" s="49">
        <v>1</v>
      </c>
      <c r="I36" s="49">
        <v>0</v>
      </c>
      <c r="J36" s="49">
        <v>3</v>
      </c>
      <c r="K36" s="49">
        <v>5</v>
      </c>
      <c r="L36" s="49">
        <v>4</v>
      </c>
      <c r="M36" s="49">
        <v>9</v>
      </c>
      <c r="N36" s="50">
        <f t="shared" si="14"/>
        <v>60</v>
      </c>
      <c r="O36" s="49">
        <f t="shared" si="15"/>
        <v>11</v>
      </c>
      <c r="P36" s="50">
        <f t="shared" si="16"/>
        <v>73.333333333333329</v>
      </c>
    </row>
    <row r="37" spans="1:16">
      <c r="A37" s="140" t="s">
        <v>33</v>
      </c>
      <c r="B37" s="141" t="s">
        <v>42</v>
      </c>
      <c r="C37" s="49">
        <f t="shared" si="17"/>
        <v>12</v>
      </c>
      <c r="D37" s="49" cm="1">
        <f t="array" ref="D37:L37">TRANSPOSE([16]MASTER!$BA$26:$BA$34)</f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1</v>
      </c>
      <c r="K37" s="49">
        <v>2</v>
      </c>
      <c r="L37" s="49">
        <v>9</v>
      </c>
      <c r="M37" s="49">
        <v>9</v>
      </c>
      <c r="N37" s="50">
        <f t="shared" si="14"/>
        <v>75</v>
      </c>
      <c r="O37" s="49">
        <f t="shared" si="15"/>
        <v>3</v>
      </c>
      <c r="P37" s="50">
        <f t="shared" si="16"/>
        <v>25</v>
      </c>
    </row>
    <row r="38" spans="1:16">
      <c r="A38" s="51"/>
      <c r="B38" s="52" t="s">
        <v>34</v>
      </c>
      <c r="C38" s="47">
        <f>SUM(C30:C37)</f>
        <v>163</v>
      </c>
      <c r="D38" s="47">
        <f t="shared" ref="D38:L38" si="18">SUM(D30:D37)</f>
        <v>28</v>
      </c>
      <c r="E38" s="47">
        <f t="shared" si="18"/>
        <v>37</v>
      </c>
      <c r="F38" s="47">
        <f t="shared" si="18"/>
        <v>12</v>
      </c>
      <c r="G38" s="47">
        <f t="shared" si="18"/>
        <v>14</v>
      </c>
      <c r="H38" s="47">
        <f t="shared" si="18"/>
        <v>6</v>
      </c>
      <c r="I38" s="47">
        <f t="shared" si="18"/>
        <v>8</v>
      </c>
      <c r="J38" s="47">
        <f t="shared" si="18"/>
        <v>24</v>
      </c>
      <c r="K38" s="47">
        <f t="shared" si="18"/>
        <v>13</v>
      </c>
      <c r="L38" s="47">
        <f t="shared" si="18"/>
        <v>21</v>
      </c>
      <c r="M38" s="47">
        <f t="shared" si="13"/>
        <v>105</v>
      </c>
      <c r="N38" s="53">
        <f>((M38/C38)*100)</f>
        <v>64.417177914110425</v>
      </c>
      <c r="O38" s="47">
        <f t="shared" si="15"/>
        <v>142</v>
      </c>
      <c r="P38" s="53">
        <f>((O38/C38)*100)</f>
        <v>87.116564417177912</v>
      </c>
    </row>
    <row r="39" spans="1:16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4"/>
      <c r="P39" s="55"/>
    </row>
    <row r="40" spans="1:16" ht="15.75">
      <c r="A40" s="45" t="s">
        <v>43</v>
      </c>
    </row>
    <row r="41" spans="1:16" s="48" customFormat="1" ht="14.25" customHeight="1">
      <c r="A41" s="46"/>
      <c r="B41" s="46"/>
      <c r="C41" s="46"/>
      <c r="D41" s="154" t="s">
        <v>1</v>
      </c>
      <c r="E41" s="155"/>
      <c r="F41" s="154" t="s">
        <v>2</v>
      </c>
      <c r="G41" s="158"/>
      <c r="H41" s="158"/>
      <c r="I41" s="155"/>
      <c r="J41" s="156" t="s">
        <v>3</v>
      </c>
      <c r="K41" s="157"/>
      <c r="L41" s="82" t="s">
        <v>4</v>
      </c>
      <c r="M41" s="46"/>
      <c r="N41" s="46"/>
      <c r="O41" s="46"/>
      <c r="P41" s="46"/>
    </row>
    <row r="42" spans="1:16" ht="25.5">
      <c r="A42" s="80" t="s">
        <v>5</v>
      </c>
      <c r="B42" s="80" t="s">
        <v>6</v>
      </c>
      <c r="C42" s="80" t="s">
        <v>7</v>
      </c>
      <c r="D42" s="80" t="s">
        <v>8</v>
      </c>
      <c r="E42" s="80" t="s">
        <v>9</v>
      </c>
      <c r="F42" s="80" t="s">
        <v>10</v>
      </c>
      <c r="G42" s="80" t="s">
        <v>11</v>
      </c>
      <c r="H42" s="80" t="s">
        <v>12</v>
      </c>
      <c r="I42" s="80" t="s">
        <v>13</v>
      </c>
      <c r="J42" s="80" t="s">
        <v>14</v>
      </c>
      <c r="K42" s="80" t="s">
        <v>15</v>
      </c>
      <c r="L42" s="80" t="s">
        <v>16</v>
      </c>
      <c r="M42" s="81" t="s">
        <v>17</v>
      </c>
      <c r="N42" s="81" t="s">
        <v>18</v>
      </c>
      <c r="O42" s="81" t="s">
        <v>19</v>
      </c>
      <c r="P42" s="81" t="s">
        <v>20</v>
      </c>
    </row>
    <row r="43" spans="1:16" ht="14.25">
      <c r="A43" s="138" t="s">
        <v>21</v>
      </c>
      <c r="B43" s="143" t="s">
        <v>44</v>
      </c>
      <c r="C43" s="49">
        <f>SUM(D43:L43)</f>
        <v>20</v>
      </c>
      <c r="D43" s="56" cm="1">
        <f t="array" ref="D43:L43">TRANSPOSE([9]MASTER!$BS$34:$BS$42)</f>
        <v>0</v>
      </c>
      <c r="E43" s="56">
        <v>4</v>
      </c>
      <c r="F43" s="56">
        <v>5</v>
      </c>
      <c r="G43" s="56">
        <v>3</v>
      </c>
      <c r="H43" s="56">
        <v>5</v>
      </c>
      <c r="I43" s="56">
        <v>1</v>
      </c>
      <c r="J43" s="56">
        <v>2</v>
      </c>
      <c r="K43" s="56">
        <v>0</v>
      </c>
      <c r="L43" s="56">
        <v>0</v>
      </c>
      <c r="M43" s="56">
        <f t="shared" ref="M43:M50" si="19">SUM(D43:I43)</f>
        <v>18</v>
      </c>
      <c r="N43" s="57">
        <f t="shared" ref="N43:N50" si="20">((M43/C43)*100)</f>
        <v>90</v>
      </c>
      <c r="O43" s="56">
        <f t="shared" ref="O43:O51" si="21">SUM(D43:K43)</f>
        <v>20</v>
      </c>
      <c r="P43" s="57">
        <f t="shared" ref="P43:P50" si="22">((O43/C43)*100)</f>
        <v>100</v>
      </c>
    </row>
    <row r="44" spans="1:16" ht="14.25">
      <c r="A44" s="140" t="s">
        <v>23</v>
      </c>
      <c r="B44" s="143" t="s">
        <v>45</v>
      </c>
      <c r="C44" s="49">
        <f t="shared" ref="C44:C50" si="23">SUM(D44:L44)</f>
        <v>20</v>
      </c>
      <c r="D44" s="56" cm="1">
        <f t="array" ref="D44:L44">TRANSPOSE([12]MASTER!$BS$34:$BS$42)</f>
        <v>3</v>
      </c>
      <c r="E44" s="56">
        <v>6</v>
      </c>
      <c r="F44" s="56">
        <v>3</v>
      </c>
      <c r="G44" s="56">
        <v>6</v>
      </c>
      <c r="H44" s="56">
        <v>1</v>
      </c>
      <c r="I44" s="56">
        <v>1</v>
      </c>
      <c r="J44" s="56">
        <v>0</v>
      </c>
      <c r="K44" s="56">
        <v>0</v>
      </c>
      <c r="L44" s="56">
        <v>0</v>
      </c>
      <c r="M44" s="56">
        <f t="shared" si="19"/>
        <v>20</v>
      </c>
      <c r="N44" s="57">
        <f>((M44/C44)*100)</f>
        <v>100</v>
      </c>
      <c r="O44" s="56">
        <f t="shared" si="21"/>
        <v>20</v>
      </c>
      <c r="P44" s="57">
        <f t="shared" si="22"/>
        <v>100</v>
      </c>
    </row>
    <row r="45" spans="1:16" ht="14.25">
      <c r="A45" s="140" t="s">
        <v>25</v>
      </c>
      <c r="B45" s="143" t="s">
        <v>46</v>
      </c>
      <c r="C45" s="49">
        <f t="shared" si="23"/>
        <v>23</v>
      </c>
      <c r="D45" s="56" cm="1">
        <f t="array" ref="D45:L45">TRANSPOSE([10]MASTER!$BS$49:$BS$57)</f>
        <v>4</v>
      </c>
      <c r="E45" s="56">
        <v>11</v>
      </c>
      <c r="F45" s="56">
        <v>1</v>
      </c>
      <c r="G45" s="56">
        <v>3</v>
      </c>
      <c r="H45" s="56">
        <v>3</v>
      </c>
      <c r="I45" s="56">
        <v>1</v>
      </c>
      <c r="J45" s="56">
        <v>0</v>
      </c>
      <c r="K45" s="56">
        <v>0</v>
      </c>
      <c r="L45" s="56">
        <v>0</v>
      </c>
      <c r="M45" s="56">
        <f t="shared" si="19"/>
        <v>23</v>
      </c>
      <c r="N45" s="57">
        <f t="shared" si="20"/>
        <v>100</v>
      </c>
      <c r="O45" s="56">
        <f t="shared" si="21"/>
        <v>23</v>
      </c>
      <c r="P45" s="57">
        <f t="shared" si="22"/>
        <v>100</v>
      </c>
    </row>
    <row r="46" spans="1:16" ht="14.25">
      <c r="A46" s="140" t="s">
        <v>27</v>
      </c>
      <c r="B46" s="143" t="s">
        <v>44</v>
      </c>
      <c r="C46" s="49">
        <f t="shared" si="23"/>
        <v>24</v>
      </c>
      <c r="D46" s="56" cm="1">
        <f t="array" ref="D46:L46">TRANSPOSE([11]MASTER!$BS$56:$BS$64)</f>
        <v>0</v>
      </c>
      <c r="E46" s="56">
        <v>0</v>
      </c>
      <c r="F46" s="56">
        <v>1</v>
      </c>
      <c r="G46" s="56">
        <v>1</v>
      </c>
      <c r="H46" s="56">
        <v>2</v>
      </c>
      <c r="I46" s="56">
        <v>1</v>
      </c>
      <c r="J46" s="56">
        <v>13</v>
      </c>
      <c r="K46" s="56">
        <v>5</v>
      </c>
      <c r="L46" s="56">
        <v>1</v>
      </c>
      <c r="M46" s="56">
        <f>SUM(D46:I46)</f>
        <v>5</v>
      </c>
      <c r="N46" s="57">
        <f>((M46/C46)*100)</f>
        <v>20.833333333333336</v>
      </c>
      <c r="O46" s="56">
        <f>SUM(D46:K46)</f>
        <v>23</v>
      </c>
      <c r="P46" s="57">
        <f>((O46/C46)*100)</f>
        <v>95.833333333333343</v>
      </c>
    </row>
    <row r="47" spans="1:16" ht="14.25">
      <c r="A47" s="140" t="s">
        <v>28</v>
      </c>
      <c r="B47" s="143" t="s">
        <v>46</v>
      </c>
      <c r="C47" s="49">
        <f t="shared" si="23"/>
        <v>25</v>
      </c>
      <c r="D47" s="56" cm="1">
        <f t="array" ref="D47:L47">TRANSPOSE([13]MASTER!$BS$44:$BS$52)</f>
        <v>0</v>
      </c>
      <c r="E47" s="56">
        <v>2</v>
      </c>
      <c r="F47" s="56">
        <v>3</v>
      </c>
      <c r="G47" s="56">
        <v>3</v>
      </c>
      <c r="H47" s="56">
        <v>1</v>
      </c>
      <c r="I47" s="56">
        <v>3</v>
      </c>
      <c r="J47" s="56">
        <v>8</v>
      </c>
      <c r="K47" s="56">
        <v>4</v>
      </c>
      <c r="L47" s="56">
        <v>1</v>
      </c>
      <c r="M47" s="56">
        <f t="shared" si="19"/>
        <v>12</v>
      </c>
      <c r="N47" s="57">
        <f t="shared" si="20"/>
        <v>48</v>
      </c>
      <c r="O47" s="56">
        <f t="shared" si="21"/>
        <v>24</v>
      </c>
      <c r="P47" s="57">
        <f t="shared" si="22"/>
        <v>96</v>
      </c>
    </row>
    <row r="48" spans="1:16" ht="14.25">
      <c r="A48" s="140" t="s">
        <v>30</v>
      </c>
      <c r="B48" s="143" t="s">
        <v>46</v>
      </c>
      <c r="C48" s="49">
        <f t="shared" si="23"/>
        <v>24</v>
      </c>
      <c r="D48" s="56" cm="1">
        <f t="array" ref="D48:L48">TRANSPOSE([14]MASTER!$BS$56:$BS$64)</f>
        <v>1</v>
      </c>
      <c r="E48" s="56">
        <v>6</v>
      </c>
      <c r="F48" s="56">
        <v>3</v>
      </c>
      <c r="G48" s="56">
        <v>5</v>
      </c>
      <c r="H48" s="56">
        <v>3</v>
      </c>
      <c r="I48" s="56">
        <v>2</v>
      </c>
      <c r="J48" s="56">
        <v>4</v>
      </c>
      <c r="K48" s="56">
        <v>0</v>
      </c>
      <c r="L48" s="56">
        <v>0</v>
      </c>
      <c r="M48" s="56">
        <f t="shared" si="19"/>
        <v>20</v>
      </c>
      <c r="N48" s="57">
        <f t="shared" si="20"/>
        <v>83.333333333333343</v>
      </c>
      <c r="O48" s="56">
        <f t="shared" si="21"/>
        <v>24</v>
      </c>
      <c r="P48" s="57">
        <f t="shared" si="22"/>
        <v>100</v>
      </c>
    </row>
    <row r="49" spans="1:16" ht="14.25">
      <c r="A49" s="140" t="s">
        <v>31</v>
      </c>
      <c r="B49" s="143" t="s">
        <v>47</v>
      </c>
      <c r="C49" s="49">
        <f t="shared" si="23"/>
        <v>15</v>
      </c>
      <c r="D49" s="56" cm="1">
        <f t="array" ref="D49:L49">TRANSPOSE([15]MASTER!$BS$29:$BS$37)</f>
        <v>0</v>
      </c>
      <c r="E49" s="56">
        <v>0</v>
      </c>
      <c r="F49" s="56">
        <v>1</v>
      </c>
      <c r="G49" s="56">
        <v>0</v>
      </c>
      <c r="H49" s="56">
        <v>1</v>
      </c>
      <c r="I49" s="56">
        <v>1</v>
      </c>
      <c r="J49" s="56">
        <v>10</v>
      </c>
      <c r="K49" s="56">
        <v>1</v>
      </c>
      <c r="L49" s="56">
        <v>1</v>
      </c>
      <c r="M49" s="56">
        <f t="shared" si="19"/>
        <v>3</v>
      </c>
      <c r="N49" s="57">
        <f t="shared" si="20"/>
        <v>20</v>
      </c>
      <c r="O49" s="56">
        <f t="shared" si="21"/>
        <v>14</v>
      </c>
      <c r="P49" s="57">
        <f t="shared" si="22"/>
        <v>93.333333333333329</v>
      </c>
    </row>
    <row r="50" spans="1:16" ht="14.25">
      <c r="A50" s="140" t="s">
        <v>33</v>
      </c>
      <c r="B50" s="143" t="s">
        <v>45</v>
      </c>
      <c r="C50" s="49">
        <f t="shared" si="23"/>
        <v>12</v>
      </c>
      <c r="D50" s="56" cm="1">
        <f t="array" ref="D50:L50">TRANSPOSE([16]MASTER!$BS$26:$BS$34)</f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2</v>
      </c>
      <c r="K50" s="56">
        <v>2</v>
      </c>
      <c r="L50" s="56">
        <v>8</v>
      </c>
      <c r="M50" s="56">
        <f t="shared" si="19"/>
        <v>0</v>
      </c>
      <c r="N50" s="57">
        <f t="shared" si="20"/>
        <v>0</v>
      </c>
      <c r="O50" s="56">
        <f t="shared" si="21"/>
        <v>4</v>
      </c>
      <c r="P50" s="57">
        <f t="shared" si="22"/>
        <v>33.333333333333329</v>
      </c>
    </row>
    <row r="51" spans="1:16">
      <c r="A51" s="51"/>
      <c r="B51" s="52" t="s">
        <v>34</v>
      </c>
      <c r="C51" s="47">
        <f>SUM(C43:C50)</f>
        <v>163</v>
      </c>
      <c r="D51" s="47">
        <f t="shared" ref="D51:L51" si="24">SUM(D43:D50)</f>
        <v>8</v>
      </c>
      <c r="E51" s="47">
        <f t="shared" si="24"/>
        <v>29</v>
      </c>
      <c r="F51" s="47">
        <f t="shared" si="24"/>
        <v>17</v>
      </c>
      <c r="G51" s="47">
        <f t="shared" si="24"/>
        <v>21</v>
      </c>
      <c r="H51" s="47">
        <f t="shared" si="24"/>
        <v>16</v>
      </c>
      <c r="I51" s="47">
        <f t="shared" si="24"/>
        <v>10</v>
      </c>
      <c r="J51" s="47">
        <f t="shared" si="24"/>
        <v>39</v>
      </c>
      <c r="K51" s="47">
        <f t="shared" si="24"/>
        <v>12</v>
      </c>
      <c r="L51" s="47">
        <f t="shared" si="24"/>
        <v>11</v>
      </c>
      <c r="M51" s="47">
        <f>SUM(D51:I51)</f>
        <v>101</v>
      </c>
      <c r="N51" s="53">
        <f>((M51/C51)*100)</f>
        <v>61.963190184049076</v>
      </c>
      <c r="O51" s="47">
        <f t="shared" si="21"/>
        <v>152</v>
      </c>
      <c r="P51" s="53">
        <f>((O51/C51)*100)</f>
        <v>93.251533742331276</v>
      </c>
    </row>
    <row r="52" spans="1:16" ht="10.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5"/>
      <c r="O52" s="54"/>
      <c r="P52" s="55"/>
    </row>
    <row r="53" spans="1:16" ht="15.75">
      <c r="A53" s="45" t="s">
        <v>48</v>
      </c>
    </row>
    <row r="54" spans="1:16" s="48" customFormat="1" ht="14.25" customHeight="1">
      <c r="A54" s="46"/>
      <c r="B54" s="46"/>
      <c r="C54" s="46"/>
      <c r="D54" s="154" t="s">
        <v>1</v>
      </c>
      <c r="E54" s="155"/>
      <c r="F54" s="154" t="s">
        <v>2</v>
      </c>
      <c r="G54" s="158"/>
      <c r="H54" s="158"/>
      <c r="I54" s="155"/>
      <c r="J54" s="156" t="s">
        <v>3</v>
      </c>
      <c r="K54" s="157"/>
      <c r="L54" s="82" t="s">
        <v>4</v>
      </c>
      <c r="M54" s="46"/>
      <c r="N54" s="46"/>
      <c r="O54" s="46"/>
      <c r="P54" s="46"/>
    </row>
    <row r="55" spans="1:16" ht="25.5">
      <c r="A55" s="80" t="s">
        <v>5</v>
      </c>
      <c r="B55" s="80" t="s">
        <v>6</v>
      </c>
      <c r="C55" s="80" t="s">
        <v>7</v>
      </c>
      <c r="D55" s="80" t="s">
        <v>8</v>
      </c>
      <c r="E55" s="80" t="s">
        <v>9</v>
      </c>
      <c r="F55" s="80" t="s">
        <v>10</v>
      </c>
      <c r="G55" s="80" t="s">
        <v>11</v>
      </c>
      <c r="H55" s="80" t="s">
        <v>12</v>
      </c>
      <c r="I55" s="80" t="s">
        <v>13</v>
      </c>
      <c r="J55" s="80" t="s">
        <v>14</v>
      </c>
      <c r="K55" s="80" t="s">
        <v>15</v>
      </c>
      <c r="L55" s="80" t="s">
        <v>16</v>
      </c>
      <c r="M55" s="81" t="s">
        <v>17</v>
      </c>
      <c r="N55" s="81" t="s">
        <v>18</v>
      </c>
      <c r="O55" s="81" t="s">
        <v>19</v>
      </c>
      <c r="P55" s="81" t="s">
        <v>20</v>
      </c>
    </row>
    <row r="56" spans="1:16">
      <c r="A56" s="138" t="s">
        <v>21</v>
      </c>
      <c r="B56" s="144" t="s">
        <v>49</v>
      </c>
      <c r="C56" s="49">
        <f>SUM(D56:L56)</f>
        <v>20</v>
      </c>
      <c r="D56" s="58" cm="1">
        <f t="array" ref="D56:L56">TRANSPOSE([9]MASTER!$AI$34:$AI$42)</f>
        <v>0</v>
      </c>
      <c r="E56" s="58">
        <v>10</v>
      </c>
      <c r="F56" s="58">
        <v>6</v>
      </c>
      <c r="G56" s="58">
        <v>2</v>
      </c>
      <c r="H56" s="58">
        <v>2</v>
      </c>
      <c r="I56" s="58">
        <v>0</v>
      </c>
      <c r="J56" s="58">
        <v>0</v>
      </c>
      <c r="K56" s="58">
        <v>0</v>
      </c>
      <c r="L56" s="58">
        <v>0</v>
      </c>
      <c r="M56" s="49">
        <f t="shared" ref="M56:M64" si="25">SUM(D56:I56)</f>
        <v>20</v>
      </c>
      <c r="N56" s="50">
        <f t="shared" ref="N56:N63" si="26">((M56/C56)*100)</f>
        <v>100</v>
      </c>
      <c r="O56" s="49">
        <f t="shared" ref="O56:O64" si="27">SUM(D56:K56)</f>
        <v>20</v>
      </c>
      <c r="P56" s="50">
        <f t="shared" ref="P56:P63" si="28">((O56/C56)*100)</f>
        <v>100</v>
      </c>
    </row>
    <row r="57" spans="1:16">
      <c r="A57" s="140" t="s">
        <v>23</v>
      </c>
      <c r="B57" s="144" t="s">
        <v>50</v>
      </c>
      <c r="C57" s="49">
        <f t="shared" ref="C57:C63" si="29">SUM(D57:L57)</f>
        <v>20</v>
      </c>
      <c r="D57" s="59" cm="1">
        <f t="array" ref="D57:L57">TRANSPOSE([12]MASTER!$AI$34:$AI$42)</f>
        <v>0</v>
      </c>
      <c r="E57" s="59">
        <v>1</v>
      </c>
      <c r="F57" s="59">
        <v>3</v>
      </c>
      <c r="G57" s="59">
        <v>7</v>
      </c>
      <c r="H57" s="59">
        <v>2</v>
      </c>
      <c r="I57" s="59">
        <v>2</v>
      </c>
      <c r="J57" s="59">
        <v>3</v>
      </c>
      <c r="K57" s="59">
        <v>2</v>
      </c>
      <c r="L57" s="59">
        <v>0</v>
      </c>
      <c r="M57" s="49">
        <f t="shared" si="25"/>
        <v>15</v>
      </c>
      <c r="N57" s="50">
        <f t="shared" si="26"/>
        <v>75</v>
      </c>
      <c r="O57" s="49">
        <f t="shared" si="27"/>
        <v>20</v>
      </c>
      <c r="P57" s="50">
        <f t="shared" si="28"/>
        <v>100</v>
      </c>
    </row>
    <row r="58" spans="1:16">
      <c r="A58" s="140" t="s">
        <v>25</v>
      </c>
      <c r="B58" s="144" t="s">
        <v>51</v>
      </c>
      <c r="C58" s="49">
        <f t="shared" si="29"/>
        <v>23</v>
      </c>
      <c r="D58" s="59" cm="1">
        <f t="array" ref="D58:L58">TRANSPOSE([10]MASTER!$AI$49:$AI$57)</f>
        <v>0</v>
      </c>
      <c r="E58" s="59">
        <v>0</v>
      </c>
      <c r="F58" s="59">
        <v>3</v>
      </c>
      <c r="G58" s="59">
        <v>3</v>
      </c>
      <c r="H58" s="59">
        <v>3</v>
      </c>
      <c r="I58" s="59">
        <v>4</v>
      </c>
      <c r="J58" s="59">
        <v>5</v>
      </c>
      <c r="K58" s="59">
        <v>3</v>
      </c>
      <c r="L58" s="59">
        <v>2</v>
      </c>
      <c r="M58" s="49">
        <f t="shared" si="25"/>
        <v>13</v>
      </c>
      <c r="N58" s="50">
        <f t="shared" si="26"/>
        <v>56.521739130434781</v>
      </c>
      <c r="O58" s="49">
        <f t="shared" si="27"/>
        <v>21</v>
      </c>
      <c r="P58" s="50">
        <f t="shared" si="28"/>
        <v>91.304347826086953</v>
      </c>
    </row>
    <row r="59" spans="1:16">
      <c r="A59" s="140" t="s">
        <v>27</v>
      </c>
      <c r="B59" s="144" t="s">
        <v>52</v>
      </c>
      <c r="C59" s="49">
        <f t="shared" si="29"/>
        <v>24</v>
      </c>
      <c r="D59" s="59" cm="1">
        <f t="array" ref="D59:L59">TRANSPOSE([11]MASTER!$AI$56:$AI$64)</f>
        <v>0</v>
      </c>
      <c r="E59" s="59">
        <v>1</v>
      </c>
      <c r="F59" s="59">
        <v>0</v>
      </c>
      <c r="G59" s="59">
        <v>0</v>
      </c>
      <c r="H59" s="59">
        <v>1</v>
      </c>
      <c r="I59" s="59">
        <v>1</v>
      </c>
      <c r="J59" s="59">
        <v>6</v>
      </c>
      <c r="K59" s="59">
        <v>12</v>
      </c>
      <c r="L59" s="59">
        <v>3</v>
      </c>
      <c r="M59" s="49">
        <f>SUM(D59:I59)</f>
        <v>3</v>
      </c>
      <c r="N59" s="50">
        <f>((M59/C59)*100)</f>
        <v>12.5</v>
      </c>
      <c r="O59" s="49">
        <f>SUM(D59:K59)</f>
        <v>21</v>
      </c>
      <c r="P59" s="50">
        <f>((O59/C59)*100)</f>
        <v>87.5</v>
      </c>
    </row>
    <row r="60" spans="1:16">
      <c r="A60" s="140" t="s">
        <v>28</v>
      </c>
      <c r="B60" s="144" t="s">
        <v>50</v>
      </c>
      <c r="C60" s="49">
        <f t="shared" si="29"/>
        <v>25</v>
      </c>
      <c r="D60" s="59" cm="1">
        <f t="array" ref="D60:L60">TRANSPOSE([13]MASTER!$AI$44:$AI$52)</f>
        <v>0</v>
      </c>
      <c r="E60" s="59">
        <v>0</v>
      </c>
      <c r="F60" s="59">
        <v>2</v>
      </c>
      <c r="G60" s="59">
        <v>0</v>
      </c>
      <c r="H60" s="59">
        <v>2</v>
      </c>
      <c r="I60" s="59">
        <v>0</v>
      </c>
      <c r="J60" s="59">
        <v>4</v>
      </c>
      <c r="K60" s="59">
        <v>9</v>
      </c>
      <c r="L60" s="59">
        <v>8</v>
      </c>
      <c r="M60" s="49">
        <f t="shared" si="25"/>
        <v>4</v>
      </c>
      <c r="N60" s="50">
        <f t="shared" si="26"/>
        <v>16</v>
      </c>
      <c r="O60" s="49">
        <f t="shared" si="27"/>
        <v>17</v>
      </c>
      <c r="P60" s="50">
        <f t="shared" si="28"/>
        <v>68</v>
      </c>
    </row>
    <row r="61" spans="1:16">
      <c r="A61" s="140" t="s">
        <v>30</v>
      </c>
      <c r="B61" s="144" t="s">
        <v>53</v>
      </c>
      <c r="C61" s="49">
        <f t="shared" si="29"/>
        <v>24</v>
      </c>
      <c r="D61" s="59" cm="1">
        <f t="array" ref="D61:L61">TRANSPOSE([14]MASTER!$AI$56:$AI$64)</f>
        <v>0</v>
      </c>
      <c r="E61" s="59">
        <v>0</v>
      </c>
      <c r="F61" s="59">
        <v>0</v>
      </c>
      <c r="G61" s="59">
        <v>0</v>
      </c>
      <c r="H61" s="59">
        <v>0</v>
      </c>
      <c r="I61" s="59">
        <v>3</v>
      </c>
      <c r="J61" s="59">
        <v>3</v>
      </c>
      <c r="K61" s="59">
        <v>10</v>
      </c>
      <c r="L61" s="59">
        <v>8</v>
      </c>
      <c r="M61" s="49">
        <f t="shared" si="25"/>
        <v>3</v>
      </c>
      <c r="N61" s="50">
        <f t="shared" si="26"/>
        <v>12.5</v>
      </c>
      <c r="O61" s="49">
        <f t="shared" si="27"/>
        <v>16</v>
      </c>
      <c r="P61" s="50">
        <f t="shared" si="28"/>
        <v>66.666666666666657</v>
      </c>
    </row>
    <row r="62" spans="1:16">
      <c r="A62" s="140" t="s">
        <v>31</v>
      </c>
      <c r="B62" s="144" t="s">
        <v>52</v>
      </c>
      <c r="C62" s="49">
        <f t="shared" si="29"/>
        <v>15</v>
      </c>
      <c r="D62" s="59" cm="1">
        <f t="array" ref="D62:L62">TRANSPOSE([15]MASTER!$AI$29:$AI$37)</f>
        <v>0</v>
      </c>
      <c r="E62" s="59">
        <v>0</v>
      </c>
      <c r="F62" s="59">
        <v>0</v>
      </c>
      <c r="G62" s="59">
        <v>0</v>
      </c>
      <c r="H62" s="59">
        <v>0</v>
      </c>
      <c r="I62" s="59">
        <v>0</v>
      </c>
      <c r="J62" s="59">
        <v>0</v>
      </c>
      <c r="K62" s="59">
        <v>0</v>
      </c>
      <c r="L62" s="59">
        <v>15</v>
      </c>
      <c r="M62" s="49">
        <f t="shared" si="25"/>
        <v>0</v>
      </c>
      <c r="N62" s="50">
        <f t="shared" si="26"/>
        <v>0</v>
      </c>
      <c r="O62" s="49">
        <f t="shared" si="27"/>
        <v>0</v>
      </c>
      <c r="P62" s="50">
        <f t="shared" si="28"/>
        <v>0</v>
      </c>
    </row>
    <row r="63" spans="1:16">
      <c r="A63" s="140" t="s">
        <v>33</v>
      </c>
      <c r="B63" s="144" t="s">
        <v>50</v>
      </c>
      <c r="C63" s="49">
        <f t="shared" si="29"/>
        <v>12</v>
      </c>
      <c r="D63" s="59" cm="1">
        <f t="array" ref="D63:L63">TRANSPOSE([16]MASTER!$AI$26:$AI$34)</f>
        <v>0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59">
        <v>0</v>
      </c>
      <c r="L63" s="59">
        <v>12</v>
      </c>
      <c r="M63" s="49">
        <f t="shared" si="25"/>
        <v>0</v>
      </c>
      <c r="N63" s="50">
        <f t="shared" si="26"/>
        <v>0</v>
      </c>
      <c r="O63" s="49">
        <f t="shared" si="27"/>
        <v>0</v>
      </c>
      <c r="P63" s="50">
        <f t="shared" si="28"/>
        <v>0</v>
      </c>
    </row>
    <row r="64" spans="1:16">
      <c r="A64" s="51"/>
      <c r="B64" s="52" t="s">
        <v>34</v>
      </c>
      <c r="C64" s="47">
        <f>SUM(C56:C63)</f>
        <v>163</v>
      </c>
      <c r="D64" s="47">
        <f t="shared" ref="D64:M64" si="30">SUM(D56:D63)</f>
        <v>0</v>
      </c>
      <c r="E64" s="47">
        <f t="shared" si="30"/>
        <v>12</v>
      </c>
      <c r="F64" s="47">
        <f t="shared" si="30"/>
        <v>14</v>
      </c>
      <c r="G64" s="47">
        <f t="shared" si="30"/>
        <v>12</v>
      </c>
      <c r="H64" s="47">
        <f t="shared" si="30"/>
        <v>10</v>
      </c>
      <c r="I64" s="47">
        <f t="shared" si="30"/>
        <v>10</v>
      </c>
      <c r="J64" s="47">
        <f t="shared" si="30"/>
        <v>21</v>
      </c>
      <c r="K64" s="47">
        <f t="shared" si="30"/>
        <v>36</v>
      </c>
      <c r="L64" s="47">
        <f t="shared" si="30"/>
        <v>48</v>
      </c>
      <c r="M64" s="47">
        <f t="shared" si="30"/>
        <v>58</v>
      </c>
      <c r="N64" s="53">
        <f>((M64/C64)*100)</f>
        <v>35.582822085889568</v>
      </c>
      <c r="O64" s="47">
        <f t="shared" si="27"/>
        <v>115</v>
      </c>
      <c r="P64" s="53">
        <f>((O64/C64)*100)</f>
        <v>70.552147239263803</v>
      </c>
    </row>
    <row r="65" spans="1:16" ht="13.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5"/>
      <c r="O65" s="54"/>
      <c r="P65" s="55"/>
    </row>
    <row r="66" spans="1:16" ht="15.75">
      <c r="A66" s="45" t="s">
        <v>54</v>
      </c>
    </row>
    <row r="67" spans="1:16" s="48" customFormat="1" ht="14.25" customHeight="1">
      <c r="A67" s="46"/>
      <c r="B67" s="46"/>
      <c r="C67" s="46"/>
      <c r="D67" s="154" t="s">
        <v>1</v>
      </c>
      <c r="E67" s="155"/>
      <c r="F67" s="154" t="s">
        <v>2</v>
      </c>
      <c r="G67" s="158"/>
      <c r="H67" s="158"/>
      <c r="I67" s="155"/>
      <c r="J67" s="156" t="s">
        <v>3</v>
      </c>
      <c r="K67" s="157"/>
      <c r="L67" s="82" t="s">
        <v>4</v>
      </c>
      <c r="M67" s="46"/>
      <c r="N67" s="46"/>
      <c r="O67" s="46"/>
      <c r="P67" s="46"/>
    </row>
    <row r="68" spans="1:16" ht="25.5">
      <c r="A68" s="80" t="s">
        <v>5</v>
      </c>
      <c r="B68" s="80" t="s">
        <v>6</v>
      </c>
      <c r="C68" s="80" t="s">
        <v>7</v>
      </c>
      <c r="D68" s="80" t="s">
        <v>8</v>
      </c>
      <c r="E68" s="80" t="s">
        <v>9</v>
      </c>
      <c r="F68" s="80" t="s">
        <v>10</v>
      </c>
      <c r="G68" s="80" t="s">
        <v>11</v>
      </c>
      <c r="H68" s="80" t="s">
        <v>12</v>
      </c>
      <c r="I68" s="80" t="s">
        <v>13</v>
      </c>
      <c r="J68" s="80" t="s">
        <v>14</v>
      </c>
      <c r="K68" s="80" t="s">
        <v>15</v>
      </c>
      <c r="L68" s="80" t="s">
        <v>16</v>
      </c>
      <c r="M68" s="81" t="s">
        <v>17</v>
      </c>
      <c r="N68" s="81" t="s">
        <v>18</v>
      </c>
      <c r="O68" s="81" t="s">
        <v>19</v>
      </c>
      <c r="P68" s="81" t="s">
        <v>20</v>
      </c>
    </row>
    <row r="69" spans="1:16">
      <c r="A69" s="138" t="s">
        <v>21</v>
      </c>
      <c r="B69" s="139" t="s">
        <v>55</v>
      </c>
      <c r="C69" s="49">
        <f>SUM(D69:L69)</f>
        <v>20</v>
      </c>
      <c r="D69" s="49" cm="1">
        <f t="array" ref="D69:L69">TRANSPOSE([9]MASTER!$AR$34:$AR$42)</f>
        <v>0</v>
      </c>
      <c r="E69" s="49">
        <v>0</v>
      </c>
      <c r="F69" s="49">
        <v>0</v>
      </c>
      <c r="G69" s="49">
        <v>1</v>
      </c>
      <c r="H69" s="49">
        <v>3</v>
      </c>
      <c r="I69" s="49">
        <v>7</v>
      </c>
      <c r="J69" s="49">
        <v>8</v>
      </c>
      <c r="K69" s="49">
        <v>1</v>
      </c>
      <c r="L69" s="49">
        <v>0</v>
      </c>
      <c r="M69" s="49">
        <f t="shared" ref="M69:M77" si="31">SUM(D69:I69)</f>
        <v>11</v>
      </c>
      <c r="N69" s="50">
        <f t="shared" ref="N69:N76" si="32">((M69/C69)*100)</f>
        <v>55.000000000000007</v>
      </c>
      <c r="O69" s="49">
        <f>SUM(D69:K69)</f>
        <v>20</v>
      </c>
      <c r="P69" s="50">
        <f t="shared" ref="P69:P76" si="33">((O69/C69)*100)</f>
        <v>100</v>
      </c>
    </row>
    <row r="70" spans="1:16">
      <c r="A70" s="140" t="s">
        <v>23</v>
      </c>
      <c r="B70" s="141" t="s">
        <v>56</v>
      </c>
      <c r="C70" s="49">
        <f t="shared" ref="C70:C76" si="34">SUM(D70:L70)</f>
        <v>20</v>
      </c>
      <c r="D70" s="49" cm="1">
        <f t="array" ref="D70:L70">TRANSPOSE([12]MASTER!$AR$34:$AR$42)</f>
        <v>0</v>
      </c>
      <c r="E70" s="49">
        <v>0</v>
      </c>
      <c r="F70" s="49">
        <v>1</v>
      </c>
      <c r="G70" s="49">
        <v>4</v>
      </c>
      <c r="H70" s="49">
        <v>2</v>
      </c>
      <c r="I70" s="49">
        <v>4</v>
      </c>
      <c r="J70" s="49">
        <v>8</v>
      </c>
      <c r="K70" s="49">
        <v>1</v>
      </c>
      <c r="L70" s="49">
        <v>0</v>
      </c>
      <c r="M70" s="49">
        <f t="shared" si="31"/>
        <v>11</v>
      </c>
      <c r="N70" s="50">
        <f t="shared" si="32"/>
        <v>55.000000000000007</v>
      </c>
      <c r="O70" s="49">
        <f t="shared" ref="O70:O77" si="35">SUM(D70:K70)</f>
        <v>20</v>
      </c>
      <c r="P70" s="50">
        <f t="shared" si="33"/>
        <v>100</v>
      </c>
    </row>
    <row r="71" spans="1:16">
      <c r="A71" s="140" t="s">
        <v>25</v>
      </c>
      <c r="B71" s="141" t="s">
        <v>55</v>
      </c>
      <c r="C71" s="49">
        <f t="shared" si="34"/>
        <v>23</v>
      </c>
      <c r="D71" s="49" cm="1">
        <f t="array" ref="D71:L71">TRANSPOSE([10]MASTER!$AR$49:$AR$57)</f>
        <v>0</v>
      </c>
      <c r="E71" s="49">
        <v>0</v>
      </c>
      <c r="F71" s="49">
        <v>0</v>
      </c>
      <c r="G71" s="49">
        <v>0</v>
      </c>
      <c r="H71" s="49">
        <v>0</v>
      </c>
      <c r="I71" s="49">
        <v>5</v>
      </c>
      <c r="J71" s="49">
        <v>6</v>
      </c>
      <c r="K71" s="49">
        <v>10</v>
      </c>
      <c r="L71" s="49">
        <v>2</v>
      </c>
      <c r="M71" s="49">
        <f>SUM(D71:I71)</f>
        <v>5</v>
      </c>
      <c r="N71" s="50">
        <f>((M71/C71)*100)</f>
        <v>21.739130434782609</v>
      </c>
      <c r="O71" s="49">
        <f>SUM(D71:K71)</f>
        <v>21</v>
      </c>
      <c r="P71" s="50">
        <f>((O71/C71)*100)</f>
        <v>91.304347826086953</v>
      </c>
    </row>
    <row r="72" spans="1:16">
      <c r="A72" s="140" t="s">
        <v>27</v>
      </c>
      <c r="B72" s="141" t="s">
        <v>56</v>
      </c>
      <c r="C72" s="49">
        <f t="shared" si="34"/>
        <v>24</v>
      </c>
      <c r="D72" s="49" cm="1">
        <f t="array" ref="D72:L72">TRANSPOSE([11]MASTER!$AR$56:$AR$64)</f>
        <v>0</v>
      </c>
      <c r="E72" s="49">
        <v>0</v>
      </c>
      <c r="F72" s="49">
        <v>0</v>
      </c>
      <c r="G72" s="49">
        <v>1</v>
      </c>
      <c r="H72" s="49">
        <v>0</v>
      </c>
      <c r="I72" s="49">
        <v>4</v>
      </c>
      <c r="J72" s="49">
        <v>10</v>
      </c>
      <c r="K72" s="49">
        <v>6</v>
      </c>
      <c r="L72" s="49">
        <v>3</v>
      </c>
      <c r="M72" s="49">
        <f t="shared" si="31"/>
        <v>5</v>
      </c>
      <c r="N72" s="50">
        <f t="shared" si="32"/>
        <v>20.833333333333336</v>
      </c>
      <c r="O72" s="49">
        <f t="shared" si="35"/>
        <v>21</v>
      </c>
      <c r="P72" s="50">
        <f t="shared" si="33"/>
        <v>87.5</v>
      </c>
    </row>
    <row r="73" spans="1:16">
      <c r="A73" s="140" t="s">
        <v>28</v>
      </c>
      <c r="B73" s="141" t="s">
        <v>55</v>
      </c>
      <c r="C73" s="49">
        <f t="shared" si="34"/>
        <v>25</v>
      </c>
      <c r="D73" s="49" cm="1">
        <f t="array" ref="D73:L73">TRANSPOSE([13]MASTER!$AR$44:$AR$52)</f>
        <v>0</v>
      </c>
      <c r="E73" s="49">
        <v>0</v>
      </c>
      <c r="F73" s="49">
        <v>0</v>
      </c>
      <c r="G73" s="49">
        <v>1</v>
      </c>
      <c r="H73" s="49">
        <v>0</v>
      </c>
      <c r="I73" s="49">
        <v>2</v>
      </c>
      <c r="J73" s="49">
        <v>2</v>
      </c>
      <c r="K73" s="49">
        <v>7</v>
      </c>
      <c r="L73" s="49">
        <v>13</v>
      </c>
      <c r="M73" s="49">
        <f t="shared" si="31"/>
        <v>3</v>
      </c>
      <c r="N73" s="50">
        <f t="shared" si="32"/>
        <v>12</v>
      </c>
      <c r="O73" s="49">
        <f>SUM(D73:K73)</f>
        <v>12</v>
      </c>
      <c r="P73" s="50">
        <f t="shared" si="33"/>
        <v>48</v>
      </c>
    </row>
    <row r="74" spans="1:16">
      <c r="A74" s="140" t="s">
        <v>30</v>
      </c>
      <c r="B74" s="141" t="s">
        <v>56</v>
      </c>
      <c r="C74" s="49">
        <f t="shared" si="34"/>
        <v>24</v>
      </c>
      <c r="D74" s="49" cm="1">
        <f t="array" ref="D74:L74">TRANSPOSE([14]MASTER!$AR$56:$AR$64)</f>
        <v>0</v>
      </c>
      <c r="E74" s="49">
        <v>0</v>
      </c>
      <c r="F74" s="49">
        <v>0</v>
      </c>
      <c r="G74" s="49">
        <v>0</v>
      </c>
      <c r="H74" s="49">
        <v>1</v>
      </c>
      <c r="I74" s="49">
        <v>1</v>
      </c>
      <c r="J74" s="49">
        <v>4</v>
      </c>
      <c r="K74" s="49">
        <v>8</v>
      </c>
      <c r="L74" s="49">
        <v>10</v>
      </c>
      <c r="M74" s="49">
        <f t="shared" si="31"/>
        <v>2</v>
      </c>
      <c r="N74" s="50">
        <f t="shared" si="32"/>
        <v>8.3333333333333321</v>
      </c>
      <c r="O74" s="49">
        <f t="shared" si="35"/>
        <v>14</v>
      </c>
      <c r="P74" s="50">
        <f t="shared" si="33"/>
        <v>58.333333333333336</v>
      </c>
    </row>
    <row r="75" spans="1:16">
      <c r="A75" s="140" t="s">
        <v>31</v>
      </c>
      <c r="B75" s="141" t="s">
        <v>55</v>
      </c>
      <c r="C75" s="49">
        <f t="shared" si="34"/>
        <v>15</v>
      </c>
      <c r="D75" s="49" cm="1">
        <f t="array" ref="D75:L75">TRANSPOSE([15]MASTER!$AR$29:$AR$37)</f>
        <v>0</v>
      </c>
      <c r="E75" s="49">
        <v>0</v>
      </c>
      <c r="F75" s="49">
        <v>0</v>
      </c>
      <c r="G75" s="49">
        <v>0</v>
      </c>
      <c r="H75" s="49">
        <v>0</v>
      </c>
      <c r="I75" s="49">
        <v>0</v>
      </c>
      <c r="J75" s="49">
        <v>0</v>
      </c>
      <c r="K75" s="49">
        <v>0</v>
      </c>
      <c r="L75" s="49">
        <v>15</v>
      </c>
      <c r="M75" s="49">
        <f t="shared" si="31"/>
        <v>0</v>
      </c>
      <c r="N75" s="50">
        <f t="shared" si="32"/>
        <v>0</v>
      </c>
      <c r="O75" s="49">
        <f t="shared" si="35"/>
        <v>0</v>
      </c>
      <c r="P75" s="50">
        <f t="shared" si="33"/>
        <v>0</v>
      </c>
    </row>
    <row r="76" spans="1:16">
      <c r="A76" s="140" t="s">
        <v>33</v>
      </c>
      <c r="B76" s="141" t="s">
        <v>55</v>
      </c>
      <c r="C76" s="49">
        <f t="shared" si="34"/>
        <v>12</v>
      </c>
      <c r="D76" s="49" cm="1">
        <f t="array" ref="D76:L76">TRANSPOSE([16]MASTER!$AR$26:$AR$34)</f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12</v>
      </c>
      <c r="M76" s="49">
        <f t="shared" si="31"/>
        <v>0</v>
      </c>
      <c r="N76" s="50">
        <f t="shared" si="32"/>
        <v>0</v>
      </c>
      <c r="O76" s="49">
        <f t="shared" si="35"/>
        <v>0</v>
      </c>
      <c r="P76" s="50">
        <f t="shared" si="33"/>
        <v>0</v>
      </c>
    </row>
    <row r="77" spans="1:16">
      <c r="A77" s="51"/>
      <c r="B77" s="52" t="s">
        <v>34</v>
      </c>
      <c r="C77" s="47">
        <f>SUM(C69:C76)</f>
        <v>163</v>
      </c>
      <c r="D77" s="47">
        <f t="shared" ref="D77:L77" si="36">SUM(D69:D76)</f>
        <v>0</v>
      </c>
      <c r="E77" s="47">
        <f t="shared" si="36"/>
        <v>0</v>
      </c>
      <c r="F77" s="47">
        <f t="shared" si="36"/>
        <v>1</v>
      </c>
      <c r="G77" s="47">
        <f t="shared" si="36"/>
        <v>7</v>
      </c>
      <c r="H77" s="47">
        <f t="shared" si="36"/>
        <v>6</v>
      </c>
      <c r="I77" s="47">
        <f t="shared" si="36"/>
        <v>23</v>
      </c>
      <c r="J77" s="47">
        <f t="shared" si="36"/>
        <v>38</v>
      </c>
      <c r="K77" s="47">
        <f t="shared" si="36"/>
        <v>33</v>
      </c>
      <c r="L77" s="47">
        <f t="shared" si="36"/>
        <v>55</v>
      </c>
      <c r="M77" s="47">
        <f t="shared" si="31"/>
        <v>37</v>
      </c>
      <c r="N77" s="53">
        <f>((M77/C77)*100)</f>
        <v>22.699386503067483</v>
      </c>
      <c r="O77" s="47">
        <f t="shared" si="35"/>
        <v>108</v>
      </c>
      <c r="P77" s="53">
        <f>((O77/C77)*100)</f>
        <v>66.257668711656436</v>
      </c>
    </row>
    <row r="78" spans="1:16" ht="23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5"/>
      <c r="O78" s="54"/>
      <c r="P78" s="55"/>
    </row>
    <row r="79" spans="1:16" ht="15.75">
      <c r="A79" s="45" t="s">
        <v>57</v>
      </c>
    </row>
    <row r="80" spans="1:16" s="48" customFormat="1" ht="14.25" customHeight="1">
      <c r="A80" s="46"/>
      <c r="B80" s="46"/>
      <c r="C80" s="46"/>
      <c r="D80" s="154" t="s">
        <v>1</v>
      </c>
      <c r="E80" s="155"/>
      <c r="F80" s="154" t="s">
        <v>2</v>
      </c>
      <c r="G80" s="158"/>
      <c r="H80" s="158"/>
      <c r="I80" s="155"/>
      <c r="J80" s="156" t="s">
        <v>3</v>
      </c>
      <c r="K80" s="157"/>
      <c r="L80" s="82" t="s">
        <v>4</v>
      </c>
      <c r="M80" s="46"/>
      <c r="N80" s="46"/>
      <c r="O80" s="46"/>
      <c r="P80" s="46"/>
    </row>
    <row r="81" spans="1:16" ht="25.5">
      <c r="A81" s="80" t="s">
        <v>5</v>
      </c>
      <c r="B81" s="80" t="s">
        <v>6</v>
      </c>
      <c r="C81" s="80" t="s">
        <v>7</v>
      </c>
      <c r="D81" s="80" t="s">
        <v>8</v>
      </c>
      <c r="E81" s="80" t="s">
        <v>9</v>
      </c>
      <c r="F81" s="80" t="s">
        <v>10</v>
      </c>
      <c r="G81" s="80" t="s">
        <v>11</v>
      </c>
      <c r="H81" s="80" t="s">
        <v>12</v>
      </c>
      <c r="I81" s="80" t="s">
        <v>13</v>
      </c>
      <c r="J81" s="80" t="s">
        <v>14</v>
      </c>
      <c r="K81" s="80" t="s">
        <v>15</v>
      </c>
      <c r="L81" s="80" t="s">
        <v>16</v>
      </c>
      <c r="M81" s="81" t="s">
        <v>17</v>
      </c>
      <c r="N81" s="81" t="s">
        <v>18</v>
      </c>
      <c r="O81" s="81" t="s">
        <v>19</v>
      </c>
      <c r="P81" s="81" t="s">
        <v>20</v>
      </c>
    </row>
    <row r="82" spans="1:16">
      <c r="A82" s="138" t="s">
        <v>25</v>
      </c>
      <c r="B82" s="139" t="s">
        <v>58</v>
      </c>
      <c r="C82" s="49">
        <f>SUM(D82:L82)</f>
        <v>23</v>
      </c>
      <c r="D82" s="49" cm="1">
        <f t="array" ref="D82:L82">TRANSPOSE([10]MASTER!$CK$49:$CK$57)</f>
        <v>0</v>
      </c>
      <c r="E82" s="49">
        <v>3</v>
      </c>
      <c r="F82" s="49">
        <v>4</v>
      </c>
      <c r="G82" s="49">
        <v>3</v>
      </c>
      <c r="H82" s="49">
        <v>2</v>
      </c>
      <c r="I82" s="49">
        <v>3</v>
      </c>
      <c r="J82" s="49">
        <v>5</v>
      </c>
      <c r="K82" s="49">
        <v>3</v>
      </c>
      <c r="L82" s="49">
        <v>0</v>
      </c>
      <c r="M82" s="49">
        <f t="shared" ref="M82:M85" si="37">SUM(D82:I82)</f>
        <v>15</v>
      </c>
      <c r="N82" s="50">
        <f t="shared" ref="N82:N85" si="38">((M82/C82)*100)</f>
        <v>65.217391304347828</v>
      </c>
      <c r="O82" s="49">
        <f t="shared" ref="O82:O85" si="39">SUM(D82:K82)</f>
        <v>23</v>
      </c>
      <c r="P82" s="50">
        <f t="shared" ref="P82:P85" si="40">((O82/C82)*100)</f>
        <v>100</v>
      </c>
    </row>
    <row r="83" spans="1:16">
      <c r="A83" s="140" t="s">
        <v>27</v>
      </c>
      <c r="B83" s="141" t="s">
        <v>58</v>
      </c>
      <c r="C83" s="49">
        <f t="shared" ref="C83:C84" si="41">SUM(D83:L83)</f>
        <v>24</v>
      </c>
      <c r="D83" s="49" cm="1">
        <f t="array" ref="D83:L83">TRANSPOSE([11]MASTER!$CK$56:$CK$64)</f>
        <v>0</v>
      </c>
      <c r="E83" s="49">
        <v>2</v>
      </c>
      <c r="F83" s="49">
        <v>3</v>
      </c>
      <c r="G83" s="49">
        <v>5</v>
      </c>
      <c r="H83" s="49">
        <v>4</v>
      </c>
      <c r="I83" s="49">
        <v>3</v>
      </c>
      <c r="J83" s="49">
        <v>5</v>
      </c>
      <c r="K83" s="49">
        <v>2</v>
      </c>
      <c r="L83" s="49">
        <v>0</v>
      </c>
      <c r="M83" s="49">
        <f t="shared" si="37"/>
        <v>17</v>
      </c>
      <c r="N83" s="50">
        <f t="shared" si="38"/>
        <v>70.833333333333343</v>
      </c>
      <c r="O83" s="49">
        <f t="shared" si="39"/>
        <v>24</v>
      </c>
      <c r="P83" s="50">
        <f t="shared" si="40"/>
        <v>100</v>
      </c>
    </row>
    <row r="84" spans="1:16">
      <c r="A84" s="140" t="s">
        <v>28</v>
      </c>
      <c r="B84" s="141" t="s">
        <v>58</v>
      </c>
      <c r="C84" s="49">
        <f t="shared" si="41"/>
        <v>25</v>
      </c>
      <c r="D84" s="49" cm="1">
        <f t="array" ref="D84:L84">TRANSPOSE([13]MASTER!$CK$44:$CK$52)</f>
        <v>0</v>
      </c>
      <c r="E84" s="49">
        <v>1</v>
      </c>
      <c r="F84" s="49">
        <v>1</v>
      </c>
      <c r="G84" s="49">
        <v>3</v>
      </c>
      <c r="H84" s="49">
        <v>3</v>
      </c>
      <c r="I84" s="49">
        <v>4</v>
      </c>
      <c r="J84" s="49">
        <v>4</v>
      </c>
      <c r="K84" s="49">
        <v>7</v>
      </c>
      <c r="L84" s="49">
        <v>2</v>
      </c>
      <c r="M84" s="49">
        <f t="shared" si="37"/>
        <v>12</v>
      </c>
      <c r="N84" s="50">
        <f t="shared" si="38"/>
        <v>48</v>
      </c>
      <c r="O84" s="49">
        <f t="shared" si="39"/>
        <v>23</v>
      </c>
      <c r="P84" s="50">
        <f t="shared" si="40"/>
        <v>92</v>
      </c>
    </row>
    <row r="85" spans="1:16">
      <c r="A85" s="51"/>
      <c r="B85" s="52" t="s">
        <v>34</v>
      </c>
      <c r="C85" s="47">
        <f>SUM(C82:C84)</f>
        <v>72</v>
      </c>
      <c r="D85" s="47">
        <f>SUM(D82:D84)</f>
        <v>0</v>
      </c>
      <c r="E85" s="47">
        <f>SUM(E82:E84)</f>
        <v>6</v>
      </c>
      <c r="F85" s="47">
        <f>SUM(F82:F84)</f>
        <v>8</v>
      </c>
      <c r="G85" s="47">
        <f>SUM(G82:G84)</f>
        <v>11</v>
      </c>
      <c r="H85" s="47">
        <f>SUM(H82:H84)</f>
        <v>9</v>
      </c>
      <c r="I85" s="47">
        <f>SUM(I82:I84)</f>
        <v>10</v>
      </c>
      <c r="J85" s="47">
        <f>SUM(J82:J84)</f>
        <v>14</v>
      </c>
      <c r="K85" s="47">
        <f>SUM(K82:K84)</f>
        <v>12</v>
      </c>
      <c r="L85" s="47">
        <f>SUM(L82:L84)</f>
        <v>2</v>
      </c>
      <c r="M85" s="47">
        <f t="shared" si="37"/>
        <v>44</v>
      </c>
      <c r="N85" s="53">
        <f t="shared" si="38"/>
        <v>61.111111111111114</v>
      </c>
      <c r="O85" s="47">
        <f t="shared" si="39"/>
        <v>70</v>
      </c>
      <c r="P85" s="53">
        <f t="shared" si="40"/>
        <v>97.222222222222214</v>
      </c>
    </row>
    <row r="86" spans="1:16" ht="28.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5"/>
      <c r="O86" s="54"/>
      <c r="P86" s="55"/>
    </row>
    <row r="87" spans="1:16" ht="15.75">
      <c r="A87" s="45" t="s">
        <v>59</v>
      </c>
    </row>
    <row r="88" spans="1:16" s="48" customFormat="1" ht="14.25" customHeight="1">
      <c r="A88" s="46"/>
      <c r="B88" s="46"/>
      <c r="C88" s="46"/>
      <c r="D88" s="154" t="s">
        <v>1</v>
      </c>
      <c r="E88" s="155"/>
      <c r="F88" s="154" t="s">
        <v>2</v>
      </c>
      <c r="G88" s="158"/>
      <c r="H88" s="158"/>
      <c r="I88" s="155"/>
      <c r="J88" s="156" t="s">
        <v>3</v>
      </c>
      <c r="K88" s="157"/>
      <c r="L88" s="82" t="s">
        <v>4</v>
      </c>
      <c r="M88" s="46"/>
      <c r="N88" s="46"/>
      <c r="O88" s="46"/>
      <c r="P88" s="46"/>
    </row>
    <row r="89" spans="1:16" ht="25.5">
      <c r="A89" s="80" t="s">
        <v>5</v>
      </c>
      <c r="B89" s="80" t="s">
        <v>6</v>
      </c>
      <c r="C89" s="80" t="s">
        <v>7</v>
      </c>
      <c r="D89" s="80" t="s">
        <v>8</v>
      </c>
      <c r="E89" s="80" t="s">
        <v>9</v>
      </c>
      <c r="F89" s="80" t="s">
        <v>10</v>
      </c>
      <c r="G89" s="80" t="s">
        <v>11</v>
      </c>
      <c r="H89" s="80" t="s">
        <v>12</v>
      </c>
      <c r="I89" s="80" t="s">
        <v>13</v>
      </c>
      <c r="J89" s="80" t="s">
        <v>14</v>
      </c>
      <c r="K89" s="80" t="s">
        <v>15</v>
      </c>
      <c r="L89" s="80" t="s">
        <v>16</v>
      </c>
      <c r="M89" s="81" t="s">
        <v>17</v>
      </c>
      <c r="N89" s="81" t="s">
        <v>18</v>
      </c>
      <c r="O89" s="81" t="s">
        <v>19</v>
      </c>
      <c r="P89" s="81" t="s">
        <v>20</v>
      </c>
    </row>
    <row r="90" spans="1:16">
      <c r="A90" s="138" t="s">
        <v>21</v>
      </c>
      <c r="B90" s="139" t="s">
        <v>26</v>
      </c>
      <c r="C90" s="49">
        <f t="shared" ref="C90:C97" si="42">SUM(D90:L90)</f>
        <v>20</v>
      </c>
      <c r="D90" s="49" cm="1">
        <f t="array" ref="D90:L90">TRANSPOSE([9]MASTER!$BJ$34:$BJ$42)</f>
        <v>1</v>
      </c>
      <c r="E90" s="49">
        <v>5</v>
      </c>
      <c r="F90" s="49">
        <v>5</v>
      </c>
      <c r="G90" s="49">
        <v>9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f t="shared" ref="M90:M98" si="43">SUM(D90:I90)</f>
        <v>20</v>
      </c>
      <c r="N90" s="50">
        <f t="shared" ref="N90:N97" si="44">((M90/C90)*100)</f>
        <v>100</v>
      </c>
      <c r="O90" s="49">
        <f t="shared" ref="O90:O98" si="45">SUM(D90:K90)</f>
        <v>20</v>
      </c>
      <c r="P90" s="50">
        <f t="shared" ref="P90:P97" si="46">((O90/C90)*100)</f>
        <v>100</v>
      </c>
    </row>
    <row r="91" spans="1:16">
      <c r="A91" s="140" t="s">
        <v>23</v>
      </c>
      <c r="B91" s="141" t="s">
        <v>60</v>
      </c>
      <c r="C91" s="49">
        <f t="shared" si="42"/>
        <v>20</v>
      </c>
      <c r="D91" s="49" cm="1">
        <f t="array" ref="D91:L91">TRANSPOSE([12]MASTER!$BJ$34:$BJ$42)</f>
        <v>0</v>
      </c>
      <c r="E91" s="49">
        <v>7</v>
      </c>
      <c r="F91" s="49">
        <v>6</v>
      </c>
      <c r="G91" s="49">
        <v>6</v>
      </c>
      <c r="H91" s="49">
        <v>0</v>
      </c>
      <c r="I91" s="49">
        <v>1</v>
      </c>
      <c r="J91" s="49">
        <v>0</v>
      </c>
      <c r="K91" s="49">
        <v>0</v>
      </c>
      <c r="L91" s="49">
        <v>0</v>
      </c>
      <c r="M91" s="49">
        <f t="shared" si="43"/>
        <v>20</v>
      </c>
      <c r="N91" s="50">
        <f t="shared" si="44"/>
        <v>100</v>
      </c>
      <c r="O91" s="49">
        <f t="shared" si="45"/>
        <v>20</v>
      </c>
      <c r="P91" s="50">
        <f t="shared" si="46"/>
        <v>100</v>
      </c>
    </row>
    <row r="92" spans="1:16">
      <c r="A92" s="140" t="s">
        <v>25</v>
      </c>
      <c r="B92" s="141" t="s">
        <v>24</v>
      </c>
      <c r="C92" s="49">
        <f t="shared" si="42"/>
        <v>23</v>
      </c>
      <c r="D92" s="49" cm="1">
        <f t="array" ref="D92:L92">TRANSPOSE([10]MASTER!$BJ$49:$BJ$57)</f>
        <v>0</v>
      </c>
      <c r="E92" s="49">
        <v>2</v>
      </c>
      <c r="F92" s="49">
        <v>4</v>
      </c>
      <c r="G92" s="49">
        <v>5</v>
      </c>
      <c r="H92" s="49">
        <v>5</v>
      </c>
      <c r="I92" s="49">
        <v>4</v>
      </c>
      <c r="J92" s="49">
        <v>1</v>
      </c>
      <c r="K92" s="49">
        <v>2</v>
      </c>
      <c r="L92" s="49">
        <v>0</v>
      </c>
      <c r="M92" s="49">
        <f t="shared" si="43"/>
        <v>20</v>
      </c>
      <c r="N92" s="50">
        <f t="shared" si="44"/>
        <v>86.956521739130437</v>
      </c>
      <c r="O92" s="49">
        <f t="shared" si="45"/>
        <v>23</v>
      </c>
      <c r="P92" s="50">
        <f t="shared" si="46"/>
        <v>100</v>
      </c>
    </row>
    <row r="93" spans="1:16">
      <c r="A93" s="140" t="s">
        <v>27</v>
      </c>
      <c r="B93" s="141" t="s">
        <v>60</v>
      </c>
      <c r="C93" s="49">
        <f t="shared" si="42"/>
        <v>24</v>
      </c>
      <c r="D93" s="49" cm="1">
        <f t="array" ref="D93:L93">TRANSPOSE([11]MASTER!$BJ$56:$BJ$64)</f>
        <v>0</v>
      </c>
      <c r="E93" s="49">
        <v>6</v>
      </c>
      <c r="F93" s="49">
        <v>3</v>
      </c>
      <c r="G93" s="49">
        <v>1</v>
      </c>
      <c r="H93" s="49">
        <v>2</v>
      </c>
      <c r="I93" s="49">
        <v>3</v>
      </c>
      <c r="J93" s="49">
        <v>8</v>
      </c>
      <c r="K93" s="49">
        <v>1</v>
      </c>
      <c r="L93" s="49">
        <v>0</v>
      </c>
      <c r="M93" s="49">
        <f t="shared" si="43"/>
        <v>15</v>
      </c>
      <c r="N93" s="50">
        <f>((M93/C93)*100)</f>
        <v>62.5</v>
      </c>
      <c r="O93" s="49">
        <f t="shared" si="45"/>
        <v>24</v>
      </c>
      <c r="P93" s="50">
        <f>((O93/C93)*100)</f>
        <v>100</v>
      </c>
    </row>
    <row r="94" spans="1:16">
      <c r="A94" s="140" t="s">
        <v>28</v>
      </c>
      <c r="B94" s="141" t="s">
        <v>61</v>
      </c>
      <c r="C94" s="49">
        <f t="shared" si="42"/>
        <v>25</v>
      </c>
      <c r="D94" s="49" cm="1">
        <f t="array" ref="D94:L94">TRANSPOSE([13]MASTER!$BJ$44:$BJ$52)</f>
        <v>0</v>
      </c>
      <c r="E94" s="49">
        <v>2</v>
      </c>
      <c r="F94" s="49">
        <v>2</v>
      </c>
      <c r="G94" s="49">
        <v>3</v>
      </c>
      <c r="H94" s="49">
        <v>3</v>
      </c>
      <c r="I94" s="49">
        <v>4</v>
      </c>
      <c r="J94" s="49">
        <v>8</v>
      </c>
      <c r="K94" s="49">
        <v>0</v>
      </c>
      <c r="L94" s="49">
        <v>3</v>
      </c>
      <c r="M94" s="49">
        <f t="shared" si="43"/>
        <v>14</v>
      </c>
      <c r="N94" s="50">
        <f t="shared" si="44"/>
        <v>56.000000000000007</v>
      </c>
      <c r="O94" s="49">
        <f t="shared" si="45"/>
        <v>22</v>
      </c>
      <c r="P94" s="50">
        <f t="shared" si="46"/>
        <v>88</v>
      </c>
    </row>
    <row r="95" spans="1:16">
      <c r="A95" s="140" t="s">
        <v>30</v>
      </c>
      <c r="B95" s="141" t="s">
        <v>61</v>
      </c>
      <c r="C95" s="49">
        <f t="shared" si="42"/>
        <v>24</v>
      </c>
      <c r="D95" s="49" cm="1">
        <f t="array" ref="D95:L95">TRANSPOSE([14]MASTER!$BJ$56:$BJ$64)</f>
        <v>0</v>
      </c>
      <c r="E95" s="49">
        <v>0</v>
      </c>
      <c r="F95" s="49">
        <v>0</v>
      </c>
      <c r="G95" s="49">
        <v>2</v>
      </c>
      <c r="H95" s="49">
        <v>1</v>
      </c>
      <c r="I95" s="49">
        <v>8</v>
      </c>
      <c r="J95" s="49">
        <v>7</v>
      </c>
      <c r="K95" s="49">
        <v>4</v>
      </c>
      <c r="L95" s="49">
        <v>2</v>
      </c>
      <c r="M95" s="49">
        <f t="shared" si="43"/>
        <v>11</v>
      </c>
      <c r="N95" s="50">
        <f t="shared" si="44"/>
        <v>45.833333333333329</v>
      </c>
      <c r="O95" s="49">
        <f t="shared" si="45"/>
        <v>22</v>
      </c>
      <c r="P95" s="50">
        <f t="shared" si="46"/>
        <v>91.666666666666657</v>
      </c>
    </row>
    <row r="96" spans="1:16">
      <c r="A96" s="140" t="s">
        <v>31</v>
      </c>
      <c r="B96" s="141" t="s">
        <v>60</v>
      </c>
      <c r="C96" s="49">
        <f t="shared" si="42"/>
        <v>15</v>
      </c>
      <c r="D96" s="49" cm="1">
        <f t="array" ref="D96:L96">TRANSPOSE([15]MASTER!$BJ$29:$BJ$37)</f>
        <v>0</v>
      </c>
      <c r="E96" s="49">
        <v>0</v>
      </c>
      <c r="F96" s="49">
        <v>0</v>
      </c>
      <c r="G96" s="49">
        <v>3</v>
      </c>
      <c r="H96" s="49">
        <v>0</v>
      </c>
      <c r="I96" s="49">
        <v>3</v>
      </c>
      <c r="J96" s="49">
        <v>2</v>
      </c>
      <c r="K96" s="49">
        <v>5</v>
      </c>
      <c r="L96" s="49">
        <v>2</v>
      </c>
      <c r="M96" s="49">
        <f t="shared" si="43"/>
        <v>6</v>
      </c>
      <c r="N96" s="50">
        <f t="shared" si="44"/>
        <v>40</v>
      </c>
      <c r="O96" s="49">
        <f t="shared" si="45"/>
        <v>13</v>
      </c>
      <c r="P96" s="50">
        <f t="shared" si="46"/>
        <v>86.666666666666671</v>
      </c>
    </row>
    <row r="97" spans="1:16">
      <c r="A97" s="140" t="s">
        <v>33</v>
      </c>
      <c r="B97" s="141" t="s">
        <v>60</v>
      </c>
      <c r="C97" s="49">
        <f t="shared" si="42"/>
        <v>12</v>
      </c>
      <c r="D97" s="49" cm="1">
        <f t="array" ref="D97:L97">TRANSPOSE([16]MASTER!$BJ$26:$BJ$34)</f>
        <v>0</v>
      </c>
      <c r="E97" s="49">
        <v>0</v>
      </c>
      <c r="F97" s="49">
        <v>0</v>
      </c>
      <c r="G97" s="49">
        <v>0</v>
      </c>
      <c r="H97" s="49">
        <v>1</v>
      </c>
      <c r="I97" s="49">
        <v>2</v>
      </c>
      <c r="J97" s="49">
        <v>2</v>
      </c>
      <c r="K97" s="49">
        <v>1</v>
      </c>
      <c r="L97" s="49">
        <v>6</v>
      </c>
      <c r="M97" s="49">
        <f t="shared" si="43"/>
        <v>3</v>
      </c>
      <c r="N97" s="50">
        <f t="shared" si="44"/>
        <v>25</v>
      </c>
      <c r="O97" s="49">
        <f t="shared" si="45"/>
        <v>6</v>
      </c>
      <c r="P97" s="50">
        <f t="shared" si="46"/>
        <v>50</v>
      </c>
    </row>
    <row r="98" spans="1:16">
      <c r="A98" s="51"/>
      <c r="B98" s="52" t="s">
        <v>34</v>
      </c>
      <c r="C98" s="47">
        <f>SUM(C90:C97)</f>
        <v>163</v>
      </c>
      <c r="D98" s="47">
        <f t="shared" ref="D98:L98" si="47">SUM(D90:D97)</f>
        <v>1</v>
      </c>
      <c r="E98" s="47">
        <f t="shared" si="47"/>
        <v>22</v>
      </c>
      <c r="F98" s="47">
        <f t="shared" si="47"/>
        <v>20</v>
      </c>
      <c r="G98" s="47">
        <f t="shared" si="47"/>
        <v>29</v>
      </c>
      <c r="H98" s="47">
        <f t="shared" si="47"/>
        <v>12</v>
      </c>
      <c r="I98" s="47">
        <f t="shared" si="47"/>
        <v>25</v>
      </c>
      <c r="J98" s="47">
        <f t="shared" si="47"/>
        <v>28</v>
      </c>
      <c r="K98" s="47">
        <f t="shared" si="47"/>
        <v>13</v>
      </c>
      <c r="L98" s="47">
        <f t="shared" si="47"/>
        <v>13</v>
      </c>
      <c r="M98" s="47">
        <f t="shared" si="43"/>
        <v>109</v>
      </c>
      <c r="N98" s="53">
        <f>((M98/C98)*100)</f>
        <v>66.871165644171782</v>
      </c>
      <c r="O98" s="47">
        <f t="shared" si="45"/>
        <v>150</v>
      </c>
      <c r="P98" s="53">
        <f>((O98/C98)*100)</f>
        <v>92.024539877300612</v>
      </c>
    </row>
    <row r="99" spans="1:16" ht="24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5"/>
      <c r="O99" s="54"/>
      <c r="P99" s="55"/>
    </row>
    <row r="100" spans="1:16" ht="15.75">
      <c r="A100" s="60" t="s">
        <v>62</v>
      </c>
    </row>
    <row r="101" spans="1:16" s="48" customFormat="1" ht="14.25" customHeight="1">
      <c r="A101" s="46"/>
      <c r="B101" s="46"/>
      <c r="C101" s="46"/>
      <c r="D101" s="154" t="s">
        <v>1</v>
      </c>
      <c r="E101" s="155"/>
      <c r="F101" s="154" t="s">
        <v>2</v>
      </c>
      <c r="G101" s="158"/>
      <c r="H101" s="158"/>
      <c r="I101" s="155"/>
      <c r="J101" s="156" t="s">
        <v>3</v>
      </c>
      <c r="K101" s="157"/>
      <c r="L101" s="82" t="s">
        <v>4</v>
      </c>
      <c r="M101" s="46"/>
      <c r="N101" s="46"/>
      <c r="O101" s="46"/>
      <c r="P101" s="46"/>
    </row>
    <row r="102" spans="1:16" ht="25.5">
      <c r="A102" s="80" t="s">
        <v>5</v>
      </c>
      <c r="B102" s="80" t="s">
        <v>6</v>
      </c>
      <c r="C102" s="80" t="s">
        <v>7</v>
      </c>
      <c r="D102" s="80" t="s">
        <v>8</v>
      </c>
      <c r="E102" s="80" t="s">
        <v>9</v>
      </c>
      <c r="F102" s="80" t="s">
        <v>10</v>
      </c>
      <c r="G102" s="80" t="s">
        <v>11</v>
      </c>
      <c r="H102" s="80" t="s">
        <v>12</v>
      </c>
      <c r="I102" s="80" t="s">
        <v>13</v>
      </c>
      <c r="J102" s="80" t="s">
        <v>14</v>
      </c>
      <c r="K102" s="80" t="s">
        <v>15</v>
      </c>
      <c r="L102" s="80" t="s">
        <v>16</v>
      </c>
      <c r="M102" s="81" t="s">
        <v>17</v>
      </c>
      <c r="N102" s="81" t="s">
        <v>18</v>
      </c>
      <c r="O102" s="81" t="s">
        <v>19</v>
      </c>
      <c r="P102" s="81" t="s">
        <v>20</v>
      </c>
    </row>
    <row r="103" spans="1:16">
      <c r="A103" s="138" t="s">
        <v>21</v>
      </c>
      <c r="B103" s="145" t="s">
        <v>63</v>
      </c>
      <c r="C103" s="49">
        <f t="shared" ref="C103:C104" si="48">SUM(D103:L103)</f>
        <v>20</v>
      </c>
      <c r="D103" s="61" cm="1">
        <f t="array" ref="D103:L103">TRANSPOSE([9]MASTER!$CB$34:$CB$42)</f>
        <v>15</v>
      </c>
      <c r="E103" s="61">
        <v>5</v>
      </c>
      <c r="F103" s="61">
        <v>0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49">
        <f>SUM(D103:I103)</f>
        <v>20</v>
      </c>
      <c r="N103" s="50">
        <f t="shared" ref="N103:N104" si="49">((M103/C103)*100)</f>
        <v>100</v>
      </c>
      <c r="O103" s="49">
        <f t="shared" ref="O103:O105" si="50">SUM(D103:K103)</f>
        <v>20</v>
      </c>
      <c r="P103" s="50">
        <f t="shared" ref="P103:P104" si="51">((O103/C103)*100)</f>
        <v>100</v>
      </c>
    </row>
    <row r="104" spans="1:16">
      <c r="A104" s="140" t="s">
        <v>23</v>
      </c>
      <c r="B104" s="146" t="s">
        <v>63</v>
      </c>
      <c r="C104" s="49">
        <f t="shared" si="48"/>
        <v>20</v>
      </c>
      <c r="D104" s="62" cm="1">
        <f t="array" ref="D104:L104">TRANSPOSE([12]MASTER!$CB$34:$CB$42)</f>
        <v>11</v>
      </c>
      <c r="E104" s="62">
        <v>9</v>
      </c>
      <c r="F104" s="62">
        <v>0</v>
      </c>
      <c r="G104" s="62">
        <v>0</v>
      </c>
      <c r="H104" s="62">
        <v>0</v>
      </c>
      <c r="I104" s="62">
        <v>0</v>
      </c>
      <c r="J104" s="62">
        <v>0</v>
      </c>
      <c r="K104" s="62">
        <v>0</v>
      </c>
      <c r="L104" s="62">
        <v>0</v>
      </c>
      <c r="M104" s="49">
        <f>SUM(D104:I104)</f>
        <v>20</v>
      </c>
      <c r="N104" s="50">
        <f t="shared" si="49"/>
        <v>100</v>
      </c>
      <c r="O104" s="49">
        <f t="shared" si="50"/>
        <v>20</v>
      </c>
      <c r="P104" s="50">
        <f t="shared" si="51"/>
        <v>100</v>
      </c>
    </row>
    <row r="105" spans="1:16">
      <c r="A105" s="51"/>
      <c r="B105" s="52" t="s">
        <v>34</v>
      </c>
      <c r="C105" s="47">
        <f t="shared" ref="C105:L105" si="52">SUM(C103:C104)</f>
        <v>40</v>
      </c>
      <c r="D105" s="47">
        <f t="shared" si="52"/>
        <v>26</v>
      </c>
      <c r="E105" s="47">
        <f t="shared" si="52"/>
        <v>14</v>
      </c>
      <c r="F105" s="47">
        <f t="shared" si="52"/>
        <v>0</v>
      </c>
      <c r="G105" s="47">
        <f t="shared" si="52"/>
        <v>0</v>
      </c>
      <c r="H105" s="47">
        <f t="shared" si="52"/>
        <v>0</v>
      </c>
      <c r="I105" s="47">
        <f t="shared" si="52"/>
        <v>0</v>
      </c>
      <c r="J105" s="47">
        <f t="shared" si="52"/>
        <v>0</v>
      </c>
      <c r="K105" s="47">
        <f t="shared" si="52"/>
        <v>0</v>
      </c>
      <c r="L105" s="47">
        <f t="shared" si="52"/>
        <v>0</v>
      </c>
      <c r="M105" s="47">
        <f t="shared" ref="M105" si="53">SUM(D105:I105)</f>
        <v>40</v>
      </c>
      <c r="N105" s="53">
        <f>((M105/C105)*100)</f>
        <v>100</v>
      </c>
      <c r="O105" s="47">
        <f t="shared" si="50"/>
        <v>40</v>
      </c>
      <c r="P105" s="53">
        <f>((O105/C105)*100)</f>
        <v>100</v>
      </c>
    </row>
    <row r="106" spans="1:1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5"/>
      <c r="O106" s="54"/>
      <c r="P106" s="55"/>
    </row>
    <row r="107" spans="1:16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5"/>
      <c r="O107" s="54"/>
      <c r="P107" s="55"/>
    </row>
    <row r="108" spans="1:16" ht="24">
      <c r="A108" s="63" t="s">
        <v>64</v>
      </c>
      <c r="B108" s="64"/>
      <c r="C108" s="64"/>
      <c r="D108" s="64"/>
      <c r="E108" s="65"/>
      <c r="F108" s="65"/>
      <c r="G108" s="65"/>
      <c r="H108" s="65"/>
      <c r="I108" s="54"/>
      <c r="J108" s="54"/>
      <c r="K108" s="54"/>
      <c r="L108" s="54"/>
      <c r="M108" s="54"/>
      <c r="N108" s="55"/>
      <c r="O108" s="54"/>
      <c r="P108" s="55"/>
    </row>
    <row r="109" spans="1:16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5"/>
      <c r="O109" s="54"/>
      <c r="P109" s="55"/>
    </row>
    <row r="110" spans="1:16" ht="18.75">
      <c r="B110" s="66"/>
      <c r="C110" s="66"/>
      <c r="D110" s="161" t="s">
        <v>1</v>
      </c>
      <c r="E110" s="161"/>
      <c r="F110" s="161" t="s">
        <v>2</v>
      </c>
      <c r="G110" s="161"/>
      <c r="H110" s="161"/>
      <c r="I110" s="161"/>
      <c r="J110" s="161" t="s">
        <v>65</v>
      </c>
      <c r="K110" s="161"/>
      <c r="L110" s="85" t="s">
        <v>4</v>
      </c>
      <c r="M110" s="66"/>
      <c r="N110" s="66"/>
      <c r="O110" s="66"/>
      <c r="P110" s="66"/>
    </row>
    <row r="111" spans="1:16" ht="32.25" customHeight="1">
      <c r="A111" s="159" t="s">
        <v>66</v>
      </c>
      <c r="B111" s="159"/>
      <c r="C111" s="83" t="s">
        <v>7</v>
      </c>
      <c r="D111" s="83" t="s">
        <v>8</v>
      </c>
      <c r="E111" s="83" t="s">
        <v>9</v>
      </c>
      <c r="F111" s="83" t="s">
        <v>10</v>
      </c>
      <c r="G111" s="83" t="s">
        <v>11</v>
      </c>
      <c r="H111" s="83" t="s">
        <v>12</v>
      </c>
      <c r="I111" s="83" t="s">
        <v>13</v>
      </c>
      <c r="J111" s="83" t="s">
        <v>14</v>
      </c>
      <c r="K111" s="83" t="s">
        <v>15</v>
      </c>
      <c r="L111" s="83" t="s">
        <v>16</v>
      </c>
      <c r="M111" s="84" t="s">
        <v>17</v>
      </c>
      <c r="N111" s="84" t="s">
        <v>18</v>
      </c>
      <c r="O111" s="84" t="s">
        <v>19</v>
      </c>
      <c r="P111" s="84" t="s">
        <v>20</v>
      </c>
    </row>
    <row r="112" spans="1:16" ht="23.25" customHeight="1">
      <c r="A112" s="160" t="s">
        <v>67</v>
      </c>
      <c r="B112" s="160"/>
      <c r="C112" s="67">
        <f t="shared" ref="C112:P112" si="54">C12</f>
        <v>163</v>
      </c>
      <c r="D112" s="68">
        <f t="shared" si="54"/>
        <v>0</v>
      </c>
      <c r="E112" s="68">
        <f t="shared" si="54"/>
        <v>6</v>
      </c>
      <c r="F112" s="68">
        <f t="shared" si="54"/>
        <v>19</v>
      </c>
      <c r="G112" s="68">
        <f t="shared" si="54"/>
        <v>30</v>
      </c>
      <c r="H112" s="68">
        <f t="shared" si="54"/>
        <v>35</v>
      </c>
      <c r="I112" s="68">
        <f t="shared" si="54"/>
        <v>31</v>
      </c>
      <c r="J112" s="68">
        <f t="shared" si="54"/>
        <v>32</v>
      </c>
      <c r="K112" s="68">
        <f t="shared" si="54"/>
        <v>4</v>
      </c>
      <c r="L112" s="68">
        <f t="shared" si="54"/>
        <v>6</v>
      </c>
      <c r="M112" s="68">
        <f t="shared" si="54"/>
        <v>121</v>
      </c>
      <c r="N112" s="69">
        <f t="shared" si="54"/>
        <v>74.233128834355838</v>
      </c>
      <c r="O112" s="68">
        <f t="shared" si="54"/>
        <v>157</v>
      </c>
      <c r="P112" s="69">
        <f t="shared" si="54"/>
        <v>96.319018404907979</v>
      </c>
    </row>
    <row r="113" spans="1:16" ht="23.25" customHeight="1">
      <c r="A113" s="160" t="s">
        <v>68</v>
      </c>
      <c r="B113" s="160"/>
      <c r="C113" s="67">
        <f t="shared" ref="C113:P113" si="55">C25</f>
        <v>163</v>
      </c>
      <c r="D113" s="68">
        <f t="shared" si="55"/>
        <v>15</v>
      </c>
      <c r="E113" s="68">
        <f t="shared" si="55"/>
        <v>47</v>
      </c>
      <c r="F113" s="68">
        <f t="shared" si="55"/>
        <v>22</v>
      </c>
      <c r="G113" s="68">
        <f t="shared" si="55"/>
        <v>26</v>
      </c>
      <c r="H113" s="68">
        <f t="shared" si="55"/>
        <v>17</v>
      </c>
      <c r="I113" s="68">
        <f t="shared" si="55"/>
        <v>12</v>
      </c>
      <c r="J113" s="68">
        <f t="shared" si="55"/>
        <v>15</v>
      </c>
      <c r="K113" s="68">
        <f t="shared" si="55"/>
        <v>4</v>
      </c>
      <c r="L113" s="68">
        <f t="shared" si="55"/>
        <v>5</v>
      </c>
      <c r="M113" s="68">
        <f t="shared" si="55"/>
        <v>139</v>
      </c>
      <c r="N113" s="69">
        <f t="shared" si="55"/>
        <v>85.276073619631902</v>
      </c>
      <c r="O113" s="68">
        <f t="shared" si="55"/>
        <v>158</v>
      </c>
      <c r="P113" s="69">
        <f t="shared" si="55"/>
        <v>96.932515337423311</v>
      </c>
    </row>
    <row r="114" spans="1:16" ht="23.25" customHeight="1">
      <c r="A114" s="160" t="s">
        <v>69</v>
      </c>
      <c r="B114" s="160"/>
      <c r="C114" s="70">
        <f t="shared" ref="C114:P114" si="56">C38</f>
        <v>163</v>
      </c>
      <c r="D114" s="71">
        <f t="shared" si="56"/>
        <v>28</v>
      </c>
      <c r="E114" s="71">
        <f t="shared" si="56"/>
        <v>37</v>
      </c>
      <c r="F114" s="71">
        <f t="shared" si="56"/>
        <v>12</v>
      </c>
      <c r="G114" s="71">
        <f t="shared" si="56"/>
        <v>14</v>
      </c>
      <c r="H114" s="71">
        <f t="shared" si="56"/>
        <v>6</v>
      </c>
      <c r="I114" s="71">
        <f t="shared" si="56"/>
        <v>8</v>
      </c>
      <c r="J114" s="71">
        <f t="shared" si="56"/>
        <v>24</v>
      </c>
      <c r="K114" s="71">
        <f t="shared" si="56"/>
        <v>13</v>
      </c>
      <c r="L114" s="71">
        <f t="shared" si="56"/>
        <v>21</v>
      </c>
      <c r="M114" s="71">
        <f t="shared" si="56"/>
        <v>105</v>
      </c>
      <c r="N114" s="72">
        <f t="shared" si="56"/>
        <v>64.417177914110425</v>
      </c>
      <c r="O114" s="71">
        <f t="shared" si="56"/>
        <v>142</v>
      </c>
      <c r="P114" s="72">
        <f t="shared" si="56"/>
        <v>87.116564417177912</v>
      </c>
    </row>
    <row r="115" spans="1:16" ht="23.25" customHeight="1">
      <c r="A115" s="160" t="s">
        <v>70</v>
      </c>
      <c r="B115" s="160"/>
      <c r="C115" s="70">
        <f t="shared" ref="C115:P115" si="57">C51</f>
        <v>163</v>
      </c>
      <c r="D115" s="71">
        <f t="shared" si="57"/>
        <v>8</v>
      </c>
      <c r="E115" s="71">
        <f t="shared" si="57"/>
        <v>29</v>
      </c>
      <c r="F115" s="71">
        <f t="shared" si="57"/>
        <v>17</v>
      </c>
      <c r="G115" s="71">
        <f t="shared" si="57"/>
        <v>21</v>
      </c>
      <c r="H115" s="71">
        <f t="shared" si="57"/>
        <v>16</v>
      </c>
      <c r="I115" s="71">
        <f t="shared" si="57"/>
        <v>10</v>
      </c>
      <c r="J115" s="71">
        <f t="shared" si="57"/>
        <v>39</v>
      </c>
      <c r="K115" s="71">
        <f t="shared" si="57"/>
        <v>12</v>
      </c>
      <c r="L115" s="71">
        <f t="shared" si="57"/>
        <v>11</v>
      </c>
      <c r="M115" s="71">
        <f t="shared" si="57"/>
        <v>101</v>
      </c>
      <c r="N115" s="72">
        <f t="shared" si="57"/>
        <v>61.963190184049076</v>
      </c>
      <c r="O115" s="71">
        <f t="shared" si="57"/>
        <v>152</v>
      </c>
      <c r="P115" s="72">
        <f t="shared" si="57"/>
        <v>93.251533742331276</v>
      </c>
    </row>
    <row r="116" spans="1:16" ht="23.25" customHeight="1">
      <c r="A116" s="160" t="s">
        <v>71</v>
      </c>
      <c r="B116" s="160"/>
      <c r="C116" s="70">
        <f t="shared" ref="C116:P116" si="58">C64</f>
        <v>163</v>
      </c>
      <c r="D116" s="71">
        <f t="shared" si="58"/>
        <v>0</v>
      </c>
      <c r="E116" s="71">
        <f t="shared" si="58"/>
        <v>12</v>
      </c>
      <c r="F116" s="71">
        <f t="shared" si="58"/>
        <v>14</v>
      </c>
      <c r="G116" s="71">
        <f t="shared" si="58"/>
        <v>12</v>
      </c>
      <c r="H116" s="71">
        <f t="shared" si="58"/>
        <v>10</v>
      </c>
      <c r="I116" s="71">
        <f t="shared" si="58"/>
        <v>10</v>
      </c>
      <c r="J116" s="71">
        <f t="shared" si="58"/>
        <v>21</v>
      </c>
      <c r="K116" s="71">
        <f t="shared" si="58"/>
        <v>36</v>
      </c>
      <c r="L116" s="71">
        <f t="shared" si="58"/>
        <v>48</v>
      </c>
      <c r="M116" s="71">
        <f t="shared" si="58"/>
        <v>58</v>
      </c>
      <c r="N116" s="72">
        <f t="shared" si="58"/>
        <v>35.582822085889568</v>
      </c>
      <c r="O116" s="71">
        <f t="shared" si="58"/>
        <v>115</v>
      </c>
      <c r="P116" s="72">
        <f t="shared" si="58"/>
        <v>70.552147239263803</v>
      </c>
    </row>
    <row r="117" spans="1:16" ht="23.25" customHeight="1">
      <c r="A117" s="160" t="s">
        <v>72</v>
      </c>
      <c r="B117" s="160"/>
      <c r="C117" s="70">
        <f t="shared" ref="C117:P117" si="59">C77</f>
        <v>163</v>
      </c>
      <c r="D117" s="71">
        <f t="shared" si="59"/>
        <v>0</v>
      </c>
      <c r="E117" s="71">
        <f t="shared" si="59"/>
        <v>0</v>
      </c>
      <c r="F117" s="71">
        <f t="shared" si="59"/>
        <v>1</v>
      </c>
      <c r="G117" s="71">
        <f t="shared" si="59"/>
        <v>7</v>
      </c>
      <c r="H117" s="71">
        <f t="shared" si="59"/>
        <v>6</v>
      </c>
      <c r="I117" s="71">
        <f t="shared" si="59"/>
        <v>23</v>
      </c>
      <c r="J117" s="71">
        <f t="shared" si="59"/>
        <v>38</v>
      </c>
      <c r="K117" s="71">
        <f t="shared" si="59"/>
        <v>33</v>
      </c>
      <c r="L117" s="71">
        <f t="shared" si="59"/>
        <v>55</v>
      </c>
      <c r="M117" s="71">
        <f t="shared" si="59"/>
        <v>37</v>
      </c>
      <c r="N117" s="72">
        <f t="shared" si="59"/>
        <v>22.699386503067483</v>
      </c>
      <c r="O117" s="71">
        <f t="shared" si="59"/>
        <v>108</v>
      </c>
      <c r="P117" s="72">
        <f t="shared" si="59"/>
        <v>66.257668711656436</v>
      </c>
    </row>
    <row r="118" spans="1:16" ht="23.25" customHeight="1">
      <c r="A118" s="160" t="s">
        <v>73</v>
      </c>
      <c r="B118" s="160"/>
      <c r="C118" s="70">
        <f t="shared" ref="C118:P118" si="60">C85</f>
        <v>72</v>
      </c>
      <c r="D118" s="71">
        <f t="shared" si="60"/>
        <v>0</v>
      </c>
      <c r="E118" s="71">
        <f t="shared" si="60"/>
        <v>6</v>
      </c>
      <c r="F118" s="71">
        <f t="shared" si="60"/>
        <v>8</v>
      </c>
      <c r="G118" s="71">
        <f t="shared" si="60"/>
        <v>11</v>
      </c>
      <c r="H118" s="71">
        <f t="shared" si="60"/>
        <v>9</v>
      </c>
      <c r="I118" s="71">
        <f t="shared" si="60"/>
        <v>10</v>
      </c>
      <c r="J118" s="71">
        <f t="shared" si="60"/>
        <v>14</v>
      </c>
      <c r="K118" s="71">
        <f t="shared" si="60"/>
        <v>12</v>
      </c>
      <c r="L118" s="71">
        <f t="shared" si="60"/>
        <v>2</v>
      </c>
      <c r="M118" s="71">
        <f t="shared" si="60"/>
        <v>44</v>
      </c>
      <c r="N118" s="72">
        <f t="shared" si="60"/>
        <v>61.111111111111114</v>
      </c>
      <c r="O118" s="71">
        <f t="shared" si="60"/>
        <v>70</v>
      </c>
      <c r="P118" s="72">
        <f t="shared" si="60"/>
        <v>97.222222222222214</v>
      </c>
    </row>
    <row r="119" spans="1:16" ht="23.25" customHeight="1">
      <c r="A119" s="162" t="s">
        <v>74</v>
      </c>
      <c r="B119" s="163"/>
      <c r="C119" s="70">
        <f t="shared" ref="C119:P119" si="61">C105</f>
        <v>40</v>
      </c>
      <c r="D119" s="71">
        <f t="shared" si="61"/>
        <v>26</v>
      </c>
      <c r="E119" s="71">
        <f t="shared" si="61"/>
        <v>14</v>
      </c>
      <c r="F119" s="71">
        <f t="shared" si="61"/>
        <v>0</v>
      </c>
      <c r="G119" s="71">
        <f t="shared" si="61"/>
        <v>0</v>
      </c>
      <c r="H119" s="71">
        <f t="shared" si="61"/>
        <v>0</v>
      </c>
      <c r="I119" s="71">
        <f t="shared" si="61"/>
        <v>0</v>
      </c>
      <c r="J119" s="71">
        <f t="shared" si="61"/>
        <v>0</v>
      </c>
      <c r="K119" s="71">
        <f t="shared" si="61"/>
        <v>0</v>
      </c>
      <c r="L119" s="71">
        <f t="shared" si="61"/>
        <v>0</v>
      </c>
      <c r="M119" s="71">
        <f t="shared" si="61"/>
        <v>40</v>
      </c>
      <c r="N119" s="72">
        <f t="shared" si="61"/>
        <v>100</v>
      </c>
      <c r="O119" s="71">
        <f t="shared" si="61"/>
        <v>40</v>
      </c>
      <c r="P119" s="72">
        <f t="shared" si="61"/>
        <v>100</v>
      </c>
    </row>
    <row r="120" spans="1:16" ht="23.25" customHeight="1">
      <c r="A120" s="160" t="s">
        <v>75</v>
      </c>
      <c r="B120" s="160"/>
      <c r="C120" s="70">
        <f t="shared" ref="C120:P120" si="62">C98</f>
        <v>163</v>
      </c>
      <c r="D120" s="71">
        <f t="shared" si="62"/>
        <v>1</v>
      </c>
      <c r="E120" s="71">
        <f t="shared" si="62"/>
        <v>22</v>
      </c>
      <c r="F120" s="71">
        <f t="shared" si="62"/>
        <v>20</v>
      </c>
      <c r="G120" s="71">
        <f t="shared" si="62"/>
        <v>29</v>
      </c>
      <c r="H120" s="71">
        <f t="shared" si="62"/>
        <v>12</v>
      </c>
      <c r="I120" s="71">
        <f t="shared" si="62"/>
        <v>25</v>
      </c>
      <c r="J120" s="71">
        <f t="shared" si="62"/>
        <v>28</v>
      </c>
      <c r="K120" s="71">
        <f t="shared" si="62"/>
        <v>13</v>
      </c>
      <c r="L120" s="71">
        <f t="shared" si="62"/>
        <v>13</v>
      </c>
      <c r="M120" s="71">
        <f t="shared" si="62"/>
        <v>109</v>
      </c>
      <c r="N120" s="72">
        <f t="shared" si="62"/>
        <v>66.871165644171782</v>
      </c>
      <c r="O120" s="71">
        <f t="shared" si="62"/>
        <v>150</v>
      </c>
      <c r="P120" s="72">
        <f t="shared" si="62"/>
        <v>92.024539877300612</v>
      </c>
    </row>
    <row r="121" spans="1:16" ht="20.100000000000001" customHeight="1"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4"/>
      <c r="M121" s="73"/>
      <c r="N121" s="75">
        <f>AVERAGE(N112:N120)</f>
        <v>63.572672877376363</v>
      </c>
      <c r="O121" s="75"/>
      <c r="P121" s="75">
        <f>AVERAGE(P112:P120)</f>
        <v>88.852912216920402</v>
      </c>
    </row>
    <row r="122" spans="1:16" ht="9.75" customHeight="1">
      <c r="L122" s="76"/>
      <c r="N122" s="77"/>
      <c r="O122" s="77"/>
      <c r="P122" s="77"/>
    </row>
    <row r="123" spans="1:16" ht="36.75" customHeight="1"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9"/>
      <c r="O123" s="78"/>
      <c r="P123" s="79"/>
    </row>
    <row r="124" spans="1:16" ht="24" customHeight="1"/>
    <row r="125" spans="1:16" ht="24" customHeight="1"/>
    <row r="126" spans="1:16" ht="24" customHeight="1"/>
    <row r="127" spans="1:16" ht="24" customHeight="1"/>
    <row r="128" spans="1:16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6.25" customHeight="1"/>
  </sheetData>
  <mergeCells count="40"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16:B116"/>
    <mergeCell ref="D101:E101"/>
    <mergeCell ref="F101:I101"/>
    <mergeCell ref="J101:K101"/>
    <mergeCell ref="D110:E110"/>
    <mergeCell ref="F110:I110"/>
    <mergeCell ref="J110:K110"/>
    <mergeCell ref="D80:E80"/>
    <mergeCell ref="F80:I80"/>
    <mergeCell ref="J80:K80"/>
    <mergeCell ref="D88:E88"/>
    <mergeCell ref="F88:I88"/>
    <mergeCell ref="J88:K88"/>
    <mergeCell ref="D54:E54"/>
    <mergeCell ref="F54:I54"/>
    <mergeCell ref="J54:K54"/>
    <mergeCell ref="D67:E67"/>
    <mergeCell ref="F67:I67"/>
    <mergeCell ref="J67:K67"/>
    <mergeCell ref="D28:E28"/>
    <mergeCell ref="F28:I28"/>
    <mergeCell ref="J28:K28"/>
    <mergeCell ref="D41:E41"/>
    <mergeCell ref="F41:I41"/>
    <mergeCell ref="J41:K41"/>
    <mergeCell ref="D2:E2"/>
    <mergeCell ref="F2:I2"/>
    <mergeCell ref="J2:K2"/>
    <mergeCell ref="D15:E15"/>
    <mergeCell ref="F15:I15"/>
    <mergeCell ref="J15:K15"/>
  </mergeCells>
  <phoneticPr fontId="0" type="noConversion"/>
  <pageMargins left="0.43447916666666703" right="0.13541666666666699" top="0.96354166666666696" bottom="0.444583333333333" header="0.45" footer="0.25"/>
  <pageSetup scale="95" firstPageNumber="17" orientation="landscape" useFirstPageNumber="1" horizontalDpi="360" verticalDpi="360"/>
  <headerFooter alignWithMargins="0">
    <oddHeader>&amp;C&amp;"Aptos Display,Bold"&amp;14SEKOLAH MENENGAH PENGIRAN ANAK PUTERI HAJAH MASNA
YEAR 8, STUDENT PROGRESS ASSESSMENT (SPA) 2024</oddHeader>
  </headerFooter>
  <rowBreaks count="1" manualBreakCount="1">
    <brk id="107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2"/>
  <sheetViews>
    <sheetView view="pageLayout" zoomScale="110" zoomScaleNormal="100" zoomScalePageLayoutView="110" workbookViewId="0">
      <selection activeCell="B5" sqref="B5"/>
    </sheetView>
  </sheetViews>
  <sheetFormatPr defaultColWidth="8.85546875" defaultRowHeight="12.95"/>
  <cols>
    <col min="1" max="1" width="16.7109375" style="46" bestFit="1" customWidth="1"/>
    <col min="2" max="2" width="7.85546875" style="46" customWidth="1"/>
    <col min="3" max="3" width="8.42578125" style="46" customWidth="1"/>
    <col min="4" max="16384" width="8.85546875" style="46"/>
  </cols>
  <sheetData>
    <row r="1" spans="1:17" ht="31.5">
      <c r="A1" s="164" t="s">
        <v>76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</row>
    <row r="2" spans="1:17" ht="31.5" customHeight="1"/>
    <row r="3" spans="1:17" ht="32.1">
      <c r="A3" s="87" t="s">
        <v>77</v>
      </c>
      <c r="B3" s="88" t="s">
        <v>18</v>
      </c>
      <c r="C3" s="88" t="s">
        <v>20</v>
      </c>
    </row>
    <row r="4" spans="1:17" ht="18.600000000000001">
      <c r="A4" s="86" t="s">
        <v>67</v>
      </c>
      <c r="B4" s="69">
        <f>'YEAR 8 SPA'!N112</f>
        <v>76.073619631901849</v>
      </c>
      <c r="C4" s="69">
        <f>'YEAR 8 SPA'!P112</f>
        <v>90.797546012269933</v>
      </c>
    </row>
    <row r="5" spans="1:17" ht="18.600000000000001">
      <c r="A5" s="86" t="s">
        <v>68</v>
      </c>
      <c r="B5" s="69">
        <f>'YEAR 8 SPA'!N113</f>
        <v>85.430463576158942</v>
      </c>
      <c r="C5" s="69">
        <f>'YEAR 8 SPA'!P113</f>
        <v>99.337748344370851</v>
      </c>
    </row>
    <row r="6" spans="1:17" ht="18.600000000000001">
      <c r="A6" s="86" t="s">
        <v>69</v>
      </c>
      <c r="B6" s="72">
        <f>'YEAR 8 SPA'!N114</f>
        <v>62.576687116564422</v>
      </c>
      <c r="C6" s="72">
        <f>'YEAR 8 SPA'!P114</f>
        <v>83.435582822085891</v>
      </c>
    </row>
    <row r="7" spans="1:17" ht="18.600000000000001">
      <c r="A7" s="86" t="s">
        <v>70</v>
      </c>
      <c r="B7" s="72">
        <f>'YEAR 8 SPA'!N115</f>
        <v>69.938650306748457</v>
      </c>
      <c r="C7" s="72">
        <f>'YEAR 8 SPA'!P115</f>
        <v>91.411042944785279</v>
      </c>
    </row>
    <row r="8" spans="1:17" ht="18.600000000000001">
      <c r="A8" s="86" t="s">
        <v>71</v>
      </c>
      <c r="B8" s="72">
        <f>'YEAR 8 SPA'!N116</f>
        <v>31.901840490797547</v>
      </c>
      <c r="C8" s="72">
        <f>'YEAR 8 SPA'!P116</f>
        <v>64.417177914110425</v>
      </c>
    </row>
    <row r="9" spans="1:17" ht="18.600000000000001">
      <c r="A9" s="86" t="s">
        <v>72</v>
      </c>
      <c r="B9" s="72">
        <f>'YEAR 8 SPA'!N117</f>
        <v>27.607361963190186</v>
      </c>
      <c r="C9" s="72">
        <f>'YEAR 8 SPA'!P117</f>
        <v>69.938650306748457</v>
      </c>
    </row>
    <row r="10" spans="1:17" ht="18.600000000000001">
      <c r="A10" s="86" t="s">
        <v>73</v>
      </c>
      <c r="B10" s="72">
        <f>'YEAR 8 SPA'!N118</f>
        <v>59.523809523809526</v>
      </c>
      <c r="C10" s="72">
        <f>'YEAR 8 SPA'!P118</f>
        <v>83.333333333333343</v>
      </c>
    </row>
    <row r="11" spans="1:17" ht="18.600000000000001">
      <c r="A11" s="86" t="s">
        <v>74</v>
      </c>
      <c r="B11" s="72">
        <f>'YEAR 8 SPA'!$N$105</f>
        <v>100</v>
      </c>
      <c r="C11" s="72">
        <f>'YEAR 8 SPA'!$P$119</f>
        <v>100</v>
      </c>
    </row>
    <row r="12" spans="1:17" ht="18.600000000000001">
      <c r="A12" s="86" t="s">
        <v>75</v>
      </c>
      <c r="B12" s="72">
        <f>'YEAR 8 SPA'!N120</f>
        <v>74.846625766871171</v>
      </c>
      <c r="C12" s="72">
        <f>'YEAR 8 SPA'!P120</f>
        <v>89.570552147239269</v>
      </c>
    </row>
  </sheetData>
  <mergeCells count="1">
    <mergeCell ref="A1:Q1"/>
  </mergeCells>
  <phoneticPr fontId="0" type="noConversion"/>
  <pageMargins left="0.516087962962963" right="4.2592592592592592E-2" top="1" bottom="1" header="0.5" footer="0.5"/>
  <pageSetup paperSize="9" scale="88" orientation="landscape" r:id="rId1"/>
  <headerFooter alignWithMargins="0">
    <oddHeader>&amp;C&amp;"Aptos Display,Bold"&amp;14SEKOLAH MENENGAH PENGIRAN ANAK PUTERI HAJAH MASNA
YEAR 8 STUDENT PROGRESS ASSESSMENT 2024 (SPA)</oddHeader>
    <oddFooter>&amp;LExam Dept SMPAPHM&amp;CYEAR 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view="pageLayout" zoomScaleNormal="100" workbookViewId="0">
      <selection activeCell="B13" sqref="B13"/>
    </sheetView>
  </sheetViews>
  <sheetFormatPr defaultColWidth="11.42578125" defaultRowHeight="15.95"/>
  <cols>
    <col min="1" max="1" width="15.28515625" style="89" customWidth="1"/>
    <col min="2" max="2" width="11.42578125" style="89" customWidth="1"/>
    <col min="3" max="11" width="6.42578125" style="89" customWidth="1"/>
    <col min="12" max="12" width="12.28515625" style="89" customWidth="1"/>
    <col min="13" max="13" width="10.5703125" style="89" customWidth="1"/>
    <col min="14" max="14" width="12" style="89" customWidth="1"/>
    <col min="15" max="15" width="14.42578125" style="89" customWidth="1"/>
    <col min="16" max="16384" width="11.42578125" style="89"/>
  </cols>
  <sheetData>
    <row r="1" spans="1:15" ht="30.95">
      <c r="A1" s="165" t="s">
        <v>78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ht="16.5" thickBo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15" s="92" customFormat="1" ht="32.25" customHeight="1">
      <c r="A3" s="91"/>
      <c r="B3" s="166" t="s">
        <v>79</v>
      </c>
      <c r="C3" s="168" t="s">
        <v>80</v>
      </c>
      <c r="D3" s="168"/>
      <c r="E3" s="168"/>
      <c r="F3" s="168"/>
      <c r="G3" s="168"/>
      <c r="H3" s="168"/>
      <c r="I3" s="168"/>
      <c r="J3" s="168"/>
      <c r="K3" s="169"/>
      <c r="L3" s="170" t="s">
        <v>81</v>
      </c>
      <c r="M3" s="171"/>
      <c r="N3" s="170" t="s">
        <v>82</v>
      </c>
      <c r="O3" s="172"/>
    </row>
    <row r="4" spans="1:15" s="92" customFormat="1" ht="32.25" customHeight="1" thickBot="1">
      <c r="A4" s="91"/>
      <c r="B4" s="167"/>
      <c r="C4" s="93">
        <v>8</v>
      </c>
      <c r="D4" s="93">
        <v>7</v>
      </c>
      <c r="E4" s="93">
        <v>6</v>
      </c>
      <c r="F4" s="93">
        <v>5</v>
      </c>
      <c r="G4" s="93">
        <v>4</v>
      </c>
      <c r="H4" s="93">
        <v>3</v>
      </c>
      <c r="I4" s="93">
        <v>2</v>
      </c>
      <c r="J4" s="93">
        <v>1</v>
      </c>
      <c r="K4" s="94">
        <v>0</v>
      </c>
      <c r="L4" s="95" t="s">
        <v>79</v>
      </c>
      <c r="M4" s="96" t="s">
        <v>83</v>
      </c>
      <c r="N4" s="95" t="s">
        <v>79</v>
      </c>
      <c r="O4" s="97" t="s">
        <v>83</v>
      </c>
    </row>
    <row r="5" spans="1:15" s="92" customFormat="1" ht="32.25" customHeight="1">
      <c r="A5" s="98" t="s">
        <v>21</v>
      </c>
      <c r="B5" s="99">
        <f>SUM(C5:K5)</f>
        <v>20</v>
      </c>
      <c r="C5" s="100" cm="1">
        <f t="array" ref="C5:K5">TRANSPOSE([1]MASTER!$DA$36:$DA$44)</f>
        <v>13</v>
      </c>
      <c r="D5" s="100">
        <v>6</v>
      </c>
      <c r="E5" s="100">
        <v>1</v>
      </c>
      <c r="F5" s="100">
        <v>0</v>
      </c>
      <c r="G5" s="100">
        <v>0</v>
      </c>
      <c r="H5" s="101">
        <v>0</v>
      </c>
      <c r="I5" s="102">
        <v>0</v>
      </c>
      <c r="J5" s="102">
        <v>0</v>
      </c>
      <c r="K5" s="99">
        <v>0</v>
      </c>
      <c r="L5" s="103">
        <f t="shared" ref="L5:L12" si="0">SUM(C5:F5)</f>
        <v>20</v>
      </c>
      <c r="M5" s="104">
        <f t="shared" ref="M5:N13" si="1">L5/B5</f>
        <v>1</v>
      </c>
      <c r="N5" s="105">
        <f>SUM(C5:H5)</f>
        <v>20</v>
      </c>
      <c r="O5" s="106">
        <f t="shared" ref="O5:O13" si="2">N5/B5</f>
        <v>1</v>
      </c>
    </row>
    <row r="6" spans="1:15" s="92" customFormat="1" ht="32.25" customHeight="1">
      <c r="A6" s="107" t="s">
        <v>23</v>
      </c>
      <c r="B6" s="99">
        <f t="shared" ref="B6:B12" si="3">SUM(C6:K6)</f>
        <v>20</v>
      </c>
      <c r="C6" s="108" cm="1">
        <f t="array" ref="C6:K6">TRANSPOSE([2]MASTER!$CY$36:$CY$44)</f>
        <v>14</v>
      </c>
      <c r="D6" s="108">
        <v>1</v>
      </c>
      <c r="E6" s="108">
        <v>3</v>
      </c>
      <c r="F6" s="108">
        <v>1</v>
      </c>
      <c r="G6" s="108">
        <v>1</v>
      </c>
      <c r="H6" s="108">
        <v>0</v>
      </c>
      <c r="I6" s="109">
        <v>0</v>
      </c>
      <c r="J6" s="109">
        <v>0</v>
      </c>
      <c r="K6" s="99">
        <v>0</v>
      </c>
      <c r="L6" s="103">
        <f t="shared" si="0"/>
        <v>19</v>
      </c>
      <c r="M6" s="110">
        <f t="shared" si="1"/>
        <v>0.95</v>
      </c>
      <c r="N6" s="111">
        <f t="shared" ref="N6:N11" si="4">SUM(C6:H6)</f>
        <v>20</v>
      </c>
      <c r="O6" s="112">
        <f t="shared" si="2"/>
        <v>1</v>
      </c>
    </row>
    <row r="7" spans="1:15" s="92" customFormat="1" ht="32.25" customHeight="1">
      <c r="A7" s="107" t="s">
        <v>25</v>
      </c>
      <c r="B7" s="99">
        <f t="shared" si="3"/>
        <v>23</v>
      </c>
      <c r="C7" s="108" cm="1">
        <f t="array" ref="C7:K7">TRANSPOSE([3]MASTER!$CY$51:$CY$59)</f>
        <v>2</v>
      </c>
      <c r="D7" s="108">
        <v>9</v>
      </c>
      <c r="E7" s="108">
        <v>8</v>
      </c>
      <c r="F7" s="108">
        <v>2</v>
      </c>
      <c r="G7" s="108">
        <v>2</v>
      </c>
      <c r="H7" s="108">
        <v>0</v>
      </c>
      <c r="I7" s="113">
        <v>0</v>
      </c>
      <c r="J7" s="99">
        <v>0</v>
      </c>
      <c r="K7" s="99">
        <v>0</v>
      </c>
      <c r="L7" s="103">
        <f t="shared" si="0"/>
        <v>21</v>
      </c>
      <c r="M7" s="110">
        <f t="shared" si="1"/>
        <v>0.91304347826086951</v>
      </c>
      <c r="N7" s="111">
        <f t="shared" si="4"/>
        <v>23</v>
      </c>
      <c r="O7" s="112">
        <f t="shared" si="2"/>
        <v>1</v>
      </c>
    </row>
    <row r="8" spans="1:15" s="92" customFormat="1" ht="32.25" customHeight="1">
      <c r="A8" s="107" t="s">
        <v>27</v>
      </c>
      <c r="B8" s="99">
        <f t="shared" si="3"/>
        <v>24</v>
      </c>
      <c r="C8" s="108" cm="1">
        <f t="array" ref="C8:K8">TRANSPOSE([4]MASTER!$CY$58:$CY$66)</f>
        <v>2</v>
      </c>
      <c r="D8" s="108">
        <v>1</v>
      </c>
      <c r="E8" s="108">
        <v>7</v>
      </c>
      <c r="F8" s="108">
        <v>6</v>
      </c>
      <c r="G8" s="108">
        <v>7</v>
      </c>
      <c r="H8" s="108">
        <v>0</v>
      </c>
      <c r="I8" s="108">
        <v>0</v>
      </c>
      <c r="J8" s="109">
        <v>1</v>
      </c>
      <c r="K8" s="99">
        <v>0</v>
      </c>
      <c r="L8" s="103">
        <f t="shared" si="0"/>
        <v>16</v>
      </c>
      <c r="M8" s="110">
        <f t="shared" si="1"/>
        <v>0.66666666666666663</v>
      </c>
      <c r="N8" s="111">
        <f t="shared" si="4"/>
        <v>23</v>
      </c>
      <c r="O8" s="112">
        <f t="shared" si="2"/>
        <v>0.95833333333333337</v>
      </c>
    </row>
    <row r="9" spans="1:15" s="92" customFormat="1" ht="32.25" customHeight="1">
      <c r="A9" s="107" t="s">
        <v>28</v>
      </c>
      <c r="B9" s="99">
        <f t="shared" si="3"/>
        <v>25</v>
      </c>
      <c r="C9" s="108" cm="1">
        <f t="array" ref="C9:K9">TRANSPOSE([5]MASTER!$DB$46:$DB$54)</f>
        <v>0</v>
      </c>
      <c r="D9" s="108">
        <v>3</v>
      </c>
      <c r="E9" s="108">
        <v>4</v>
      </c>
      <c r="F9" s="108">
        <v>2</v>
      </c>
      <c r="G9" s="108">
        <v>6</v>
      </c>
      <c r="H9" s="108">
        <v>4</v>
      </c>
      <c r="I9" s="113">
        <v>2</v>
      </c>
      <c r="J9" s="99">
        <v>4</v>
      </c>
      <c r="K9" s="99">
        <v>0</v>
      </c>
      <c r="L9" s="103">
        <f t="shared" si="0"/>
        <v>9</v>
      </c>
      <c r="M9" s="110">
        <f t="shared" si="1"/>
        <v>0.36</v>
      </c>
      <c r="N9" s="111">
        <f t="shared" si="4"/>
        <v>19</v>
      </c>
      <c r="O9" s="112">
        <f t="shared" si="2"/>
        <v>0.76</v>
      </c>
    </row>
    <row r="10" spans="1:15" s="92" customFormat="1" ht="32.25" customHeight="1">
      <c r="A10" s="107" t="s">
        <v>30</v>
      </c>
      <c r="B10" s="99">
        <f t="shared" si="3"/>
        <v>24</v>
      </c>
      <c r="C10" s="108">
        <f>[6]MASTER!$DA$58</f>
        <v>0</v>
      </c>
      <c r="D10" s="108">
        <f>[6]MASTER!$DA$59</f>
        <v>0</v>
      </c>
      <c r="E10" s="108">
        <f>[6]MASTER!$DA$60</f>
        <v>2</v>
      </c>
      <c r="F10" s="108">
        <f>[6]MASTER!$DA$61</f>
        <v>6</v>
      </c>
      <c r="G10" s="108">
        <f>[6]MASTER!$DA$62</f>
        <v>4</v>
      </c>
      <c r="H10" s="108">
        <f>[6]MASTER!$DA$63</f>
        <v>5</v>
      </c>
      <c r="I10" s="100">
        <f>[6]MASTER!$DA$64</f>
        <v>6</v>
      </c>
      <c r="J10" s="148">
        <f>[6]MASTER!$DA$65</f>
        <v>1</v>
      </c>
      <c r="K10" s="99">
        <f>[6]MASTER!$DA$66</f>
        <v>0</v>
      </c>
      <c r="L10" s="103">
        <f t="shared" si="0"/>
        <v>8</v>
      </c>
      <c r="M10" s="110">
        <f t="shared" si="1"/>
        <v>0.33333333333333331</v>
      </c>
      <c r="N10" s="111">
        <f>SUM(C10:H10)</f>
        <v>17</v>
      </c>
      <c r="O10" s="112">
        <f t="shared" si="2"/>
        <v>0.70833333333333337</v>
      </c>
    </row>
    <row r="11" spans="1:15" s="92" customFormat="1" ht="32.25" customHeight="1">
      <c r="A11" s="107" t="s">
        <v>31</v>
      </c>
      <c r="B11" s="99">
        <f t="shared" si="3"/>
        <v>15</v>
      </c>
      <c r="C11" s="108">
        <f>[7]MASTER!$DA$31</f>
        <v>0</v>
      </c>
      <c r="D11" s="108">
        <f>[7]MASTER!$DA$32</f>
        <v>0</v>
      </c>
      <c r="E11" s="108">
        <f>[7]MASTER!$DA$33</f>
        <v>0</v>
      </c>
      <c r="F11" s="108">
        <f>[7]MASTER!$DA$34</f>
        <v>1</v>
      </c>
      <c r="G11" s="108">
        <f>[7]MASTER!$DA$35</f>
        <v>2</v>
      </c>
      <c r="H11" s="108">
        <f>[7]MASTER!$DA$36</f>
        <v>1</v>
      </c>
      <c r="I11" s="150">
        <f>[7]MASTER!$DA$37</f>
        <v>2</v>
      </c>
      <c r="J11" s="150">
        <f>[7]MASTER!$DA$38</f>
        <v>6</v>
      </c>
      <c r="K11" s="151">
        <f>[7]MASTER!$DA$39</f>
        <v>3</v>
      </c>
      <c r="L11" s="103">
        <f t="shared" si="0"/>
        <v>1</v>
      </c>
      <c r="M11" s="110">
        <f t="shared" si="1"/>
        <v>6.6666666666666666E-2</v>
      </c>
      <c r="N11" s="111">
        <f t="shared" ref="N11:N12" si="5">SUM(C11:H11)</f>
        <v>4</v>
      </c>
      <c r="O11" s="112">
        <f t="shared" si="2"/>
        <v>0.26666666666666666</v>
      </c>
    </row>
    <row r="12" spans="1:15" s="92" customFormat="1" ht="32.25" customHeight="1">
      <c r="A12" s="147" t="s">
        <v>33</v>
      </c>
      <c r="B12" s="99">
        <f t="shared" si="3"/>
        <v>12</v>
      </c>
      <c r="C12" s="149">
        <f>[8]MASTER!$DA$28</f>
        <v>0</v>
      </c>
      <c r="D12" s="149">
        <f>[8]MASTER!$DA$29</f>
        <v>0</v>
      </c>
      <c r="E12" s="149">
        <f>[8]MASTER!$DA$30</f>
        <v>0</v>
      </c>
      <c r="F12" s="149">
        <f>[8]MASTER!$DA$31</f>
        <v>0</v>
      </c>
      <c r="G12" s="149">
        <f>[8]MASTER!$DA$32</f>
        <v>0</v>
      </c>
      <c r="H12" s="149">
        <f>[8]MASTER!$DA$33</f>
        <v>0</v>
      </c>
      <c r="I12" s="150">
        <f>[8]MASTER!$DA$34</f>
        <v>2</v>
      </c>
      <c r="J12" s="150">
        <f>[8]MASTER!$DA$35</f>
        <v>2</v>
      </c>
      <c r="K12" s="152">
        <f>[8]MASTER!$DA$36</f>
        <v>8</v>
      </c>
      <c r="L12" s="103">
        <f t="shared" si="0"/>
        <v>0</v>
      </c>
      <c r="M12" s="110">
        <f t="shared" si="1"/>
        <v>0</v>
      </c>
      <c r="N12" s="111">
        <f t="shared" si="5"/>
        <v>0</v>
      </c>
      <c r="O12" s="112">
        <f t="shared" si="2"/>
        <v>0</v>
      </c>
    </row>
    <row r="13" spans="1:15" s="92" customFormat="1" ht="32.25" customHeight="1">
      <c r="A13" s="114" t="s">
        <v>84</v>
      </c>
      <c r="B13" s="115">
        <f>SUM(B5:B12)</f>
        <v>163</v>
      </c>
      <c r="C13" s="115">
        <f t="shared" ref="C13:K13" si="6">SUM(C5:C12)</f>
        <v>31</v>
      </c>
      <c r="D13" s="115">
        <f t="shared" si="6"/>
        <v>20</v>
      </c>
      <c r="E13" s="115">
        <f t="shared" si="6"/>
        <v>25</v>
      </c>
      <c r="F13" s="115">
        <f t="shared" si="6"/>
        <v>18</v>
      </c>
      <c r="G13" s="115">
        <f t="shared" si="6"/>
        <v>22</v>
      </c>
      <c r="H13" s="115">
        <f t="shared" si="6"/>
        <v>10</v>
      </c>
      <c r="I13" s="153">
        <f t="shared" si="6"/>
        <v>12</v>
      </c>
      <c r="J13" s="153">
        <f t="shared" si="6"/>
        <v>14</v>
      </c>
      <c r="K13" s="115">
        <f t="shared" si="6"/>
        <v>11</v>
      </c>
      <c r="L13" s="116">
        <f>SUM(L5:L12)</f>
        <v>94</v>
      </c>
      <c r="M13" s="117">
        <f t="shared" si="1"/>
        <v>0.57668711656441718</v>
      </c>
      <c r="N13" s="110">
        <f t="shared" si="1"/>
        <v>1.8602810211755392E-2</v>
      </c>
      <c r="O13" s="118">
        <f t="shared" si="2"/>
        <v>1.1412767001076928E-4</v>
      </c>
    </row>
    <row r="14" spans="1:15" ht="15.75"/>
    <row r="15" spans="1:15" ht="32.25" customHeight="1">
      <c r="A15" s="119" t="s">
        <v>85</v>
      </c>
      <c r="B15" s="120">
        <f>$M$13</f>
        <v>0.57668711656441718</v>
      </c>
      <c r="C15" s="121"/>
      <c r="D15" s="121"/>
      <c r="E15" s="121"/>
      <c r="F15" s="121"/>
      <c r="G15" s="121"/>
      <c r="H15" s="121"/>
      <c r="I15" s="121"/>
      <c r="J15" s="121"/>
      <c r="K15" s="121"/>
      <c r="L15" s="91"/>
      <c r="M15" s="91"/>
      <c r="N15" s="91"/>
      <c r="O15" s="91"/>
    </row>
    <row r="16" spans="1:15" ht="32.25" customHeight="1" thickBot="1">
      <c r="A16" s="122" t="s">
        <v>86</v>
      </c>
      <c r="B16" s="123">
        <f>$O$13</f>
        <v>1.1412767001076928E-4</v>
      </c>
      <c r="C16" s="121"/>
      <c r="D16" s="121"/>
      <c r="E16" s="121"/>
      <c r="F16" s="121"/>
      <c r="G16" s="121"/>
      <c r="H16" s="121"/>
      <c r="I16" s="121"/>
      <c r="J16" s="121"/>
      <c r="K16" s="121"/>
      <c r="L16" s="91"/>
      <c r="M16" s="91"/>
      <c r="N16" s="91"/>
      <c r="O16" s="91"/>
    </row>
  </sheetData>
  <mergeCells count="5">
    <mergeCell ref="A1:O1"/>
    <mergeCell ref="B3:B4"/>
    <mergeCell ref="C3:K3"/>
    <mergeCell ref="L3:M3"/>
    <mergeCell ref="N3:O3"/>
  </mergeCells>
  <pageMargins left="0.55208333333333337" right="0.33333333333333331" top="1.0416666666666667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view="pageLayout" zoomScaleNormal="100" workbookViewId="0">
      <selection activeCell="E4" sqref="E4"/>
    </sheetView>
  </sheetViews>
  <sheetFormatPr defaultColWidth="11.42578125" defaultRowHeight="12.95"/>
  <cols>
    <col min="1" max="1" width="10.5703125" style="125" customWidth="1"/>
    <col min="2" max="3" width="6.85546875" style="125" customWidth="1"/>
    <col min="4" max="4" width="9.7109375" style="125" customWidth="1"/>
    <col min="5" max="19" width="6.85546875" style="125" customWidth="1"/>
    <col min="20" max="16384" width="11.42578125" style="125"/>
  </cols>
  <sheetData>
    <row r="1" spans="1:20" ht="30.95">
      <c r="A1" s="165" t="s">
        <v>78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24"/>
    </row>
    <row r="3" spans="1:20" s="128" customFormat="1" ht="15.95" hidden="1">
      <c r="A3" s="175" t="s">
        <v>87</v>
      </c>
      <c r="B3" s="176"/>
      <c r="C3" s="176"/>
      <c r="D3" s="177"/>
      <c r="E3" s="126">
        <v>200</v>
      </c>
      <c r="F3" s="127"/>
      <c r="G3" s="127"/>
      <c r="H3" s="127"/>
      <c r="I3" s="127"/>
      <c r="J3" s="127"/>
      <c r="K3" s="127"/>
      <c r="L3" s="127"/>
    </row>
    <row r="4" spans="1:20" s="128" customFormat="1" ht="15.95">
      <c r="A4" s="175" t="s">
        <v>88</v>
      </c>
      <c r="B4" s="176"/>
      <c r="C4" s="176"/>
      <c r="D4" s="177"/>
      <c r="E4" s="126">
        <f>'3''O'' and 5''O'' &amp; above (SPA)'!$B$13</f>
        <v>163</v>
      </c>
      <c r="F4" s="127"/>
      <c r="G4" s="127"/>
      <c r="H4" s="127"/>
      <c r="I4" s="127"/>
      <c r="J4" s="127"/>
      <c r="K4" s="127"/>
      <c r="L4" s="127"/>
    </row>
    <row r="5" spans="1:20" s="128" customFormat="1" ht="15.95">
      <c r="A5" s="175" t="s">
        <v>89</v>
      </c>
      <c r="B5" s="176"/>
      <c r="C5" s="176"/>
      <c r="D5" s="177"/>
      <c r="E5" s="126">
        <v>0</v>
      </c>
      <c r="F5" s="127"/>
      <c r="G5" s="127"/>
      <c r="H5" s="127"/>
      <c r="I5" s="127"/>
      <c r="J5" s="127"/>
      <c r="K5" s="127"/>
      <c r="L5" s="127"/>
    </row>
    <row r="6" spans="1:20" s="128" customFormat="1" ht="15.95"/>
    <row r="7" spans="1:20" s="128" customFormat="1" ht="63" customHeight="1">
      <c r="A7" s="129" t="s">
        <v>90</v>
      </c>
      <c r="B7" s="178" t="s">
        <v>91</v>
      </c>
      <c r="C7" s="179"/>
      <c r="D7" s="130" t="s">
        <v>83</v>
      </c>
      <c r="E7" s="90"/>
      <c r="F7" s="90"/>
      <c r="G7" s="90"/>
      <c r="H7" s="90"/>
      <c r="I7" s="90"/>
      <c r="J7" s="90"/>
      <c r="K7" s="90"/>
      <c r="L7" s="127"/>
    </row>
    <row r="8" spans="1:20" s="128" customFormat="1" ht="15.95">
      <c r="A8" s="126">
        <v>8</v>
      </c>
      <c r="B8" s="173">
        <f>'3''O'' and 5''O'' &amp; above (SPA)'!$C$13</f>
        <v>31</v>
      </c>
      <c r="C8" s="174"/>
      <c r="D8" s="131">
        <f>B8/B17</f>
        <v>0.19018404907975461</v>
      </c>
      <c r="E8" s="127"/>
      <c r="F8" s="127"/>
      <c r="G8" s="127"/>
      <c r="H8" s="127"/>
      <c r="I8" s="127"/>
      <c r="J8" s="127"/>
      <c r="K8" s="127"/>
      <c r="L8" s="127"/>
    </row>
    <row r="9" spans="1:20" s="128" customFormat="1" ht="15.95">
      <c r="A9" s="126">
        <v>7</v>
      </c>
      <c r="B9" s="173">
        <f>'3''O'' and 5''O'' &amp; above (SPA)'!$D$13</f>
        <v>20</v>
      </c>
      <c r="C9" s="174"/>
      <c r="D9" s="131">
        <f>B9/B17</f>
        <v>0.12269938650306748</v>
      </c>
      <c r="E9" s="127"/>
      <c r="F9" s="127"/>
      <c r="G9" s="127"/>
      <c r="H9" s="127"/>
      <c r="I9" s="127"/>
      <c r="J9" s="127"/>
      <c r="K9" s="127"/>
      <c r="L9" s="127"/>
    </row>
    <row r="10" spans="1:20" s="128" customFormat="1" ht="15.95">
      <c r="A10" s="126">
        <v>6</v>
      </c>
      <c r="B10" s="173">
        <f>'3''O'' and 5''O'' &amp; above (SPA)'!$E$13</f>
        <v>25</v>
      </c>
      <c r="C10" s="174"/>
      <c r="D10" s="131">
        <f>B10/B17</f>
        <v>0.15337423312883436</v>
      </c>
      <c r="E10" s="127"/>
      <c r="F10" s="127"/>
      <c r="G10" s="127"/>
      <c r="H10" s="127"/>
      <c r="I10" s="127"/>
      <c r="J10" s="127"/>
      <c r="K10" s="127"/>
      <c r="L10" s="127"/>
    </row>
    <row r="11" spans="1:20" s="128" customFormat="1" ht="15.95">
      <c r="A11" s="126">
        <v>5</v>
      </c>
      <c r="B11" s="173">
        <f>'3''O'' and 5''O'' &amp; above (SPA)'!$F$13</f>
        <v>18</v>
      </c>
      <c r="C11" s="174"/>
      <c r="D11" s="131">
        <f>B11/B17</f>
        <v>0.11042944785276074</v>
      </c>
      <c r="E11" s="127"/>
      <c r="F11" s="127"/>
      <c r="G11" s="127"/>
      <c r="H11" s="127"/>
      <c r="I11" s="127"/>
      <c r="J11" s="127"/>
      <c r="K11" s="127"/>
      <c r="L11" s="127"/>
    </row>
    <row r="12" spans="1:20" s="128" customFormat="1" ht="15.95">
      <c r="A12" s="126">
        <v>4</v>
      </c>
      <c r="B12" s="173">
        <f>'3''O'' and 5''O'' &amp; above (SPA)'!$G$13</f>
        <v>22</v>
      </c>
      <c r="C12" s="174"/>
      <c r="D12" s="131">
        <f>B12/B17</f>
        <v>0.13496932515337423</v>
      </c>
      <c r="E12" s="127"/>
      <c r="F12" s="127"/>
      <c r="G12" s="127"/>
      <c r="H12" s="127"/>
      <c r="I12" s="127"/>
      <c r="J12" s="127"/>
      <c r="K12" s="127"/>
      <c r="L12" s="127"/>
    </row>
    <row r="13" spans="1:20" s="128" customFormat="1" ht="15.95">
      <c r="A13" s="126">
        <v>3</v>
      </c>
      <c r="B13" s="173">
        <f>'3''O'' and 5''O'' &amp; above (SPA)'!$H$13</f>
        <v>10</v>
      </c>
      <c r="C13" s="174"/>
      <c r="D13" s="131">
        <f>B13/B17</f>
        <v>6.1349693251533742E-2</v>
      </c>
    </row>
    <row r="14" spans="1:20" s="128" customFormat="1" ht="15.95">
      <c r="A14" s="126">
        <v>2</v>
      </c>
      <c r="B14" s="173">
        <f>'3''O'' and 5''O'' &amp; above (SPA)'!$I$13</f>
        <v>12</v>
      </c>
      <c r="C14" s="174"/>
      <c r="D14" s="131">
        <f>B14/B17</f>
        <v>7.3619631901840496E-2</v>
      </c>
    </row>
    <row r="15" spans="1:20" s="128" customFormat="1" ht="15.95">
      <c r="A15" s="126">
        <v>1</v>
      </c>
      <c r="B15" s="173">
        <f>'3''O'' and 5''O'' &amp; above (SPA)'!$J$13</f>
        <v>14</v>
      </c>
      <c r="C15" s="174"/>
      <c r="D15" s="131">
        <f>B15/B17</f>
        <v>8.5889570552147243E-2</v>
      </c>
    </row>
    <row r="16" spans="1:20" s="128" customFormat="1" ht="15.95">
      <c r="A16" s="126">
        <v>0</v>
      </c>
      <c r="B16" s="173">
        <f>'3''O'' and 5''O'' &amp; above (SPA)'!$K$13</f>
        <v>11</v>
      </c>
      <c r="C16" s="174"/>
      <c r="D16" s="131">
        <f>B16/B17</f>
        <v>6.7484662576687116E-2</v>
      </c>
    </row>
    <row r="17" spans="1:4" s="128" customFormat="1" ht="15.95">
      <c r="A17" s="132" t="s">
        <v>7</v>
      </c>
      <c r="B17" s="182">
        <f>SUM(B8:C16)</f>
        <v>163</v>
      </c>
      <c r="C17" s="182"/>
    </row>
    <row r="19" spans="1:4" ht="18.600000000000001">
      <c r="B19" s="133"/>
    </row>
    <row r="20" spans="1:4" ht="24.75" customHeight="1">
      <c r="C20" s="134" t="s">
        <v>92</v>
      </c>
      <c r="D20" s="135" t="s">
        <v>83</v>
      </c>
    </row>
    <row r="21" spans="1:4" ht="21.6" customHeight="1">
      <c r="A21" s="180" t="s">
        <v>93</v>
      </c>
      <c r="B21" s="181"/>
      <c r="C21" s="136">
        <f>SUM(B8:C13)</f>
        <v>126</v>
      </c>
      <c r="D21" s="137">
        <f>C21/B17</f>
        <v>0.77300613496932513</v>
      </c>
    </row>
    <row r="22" spans="1:4" ht="21.6" customHeight="1">
      <c r="A22" s="180" t="s">
        <v>94</v>
      </c>
      <c r="B22" s="181"/>
      <c r="C22" s="136">
        <f>SUM(B8:C12)</f>
        <v>116</v>
      </c>
      <c r="D22" s="137">
        <f>C22/B17</f>
        <v>0.71165644171779141</v>
      </c>
    </row>
    <row r="23" spans="1:4" ht="18.600000000000001">
      <c r="A23" s="180" t="s">
        <v>95</v>
      </c>
      <c r="B23" s="181"/>
      <c r="C23" s="136">
        <f>SUM(B8:C11)</f>
        <v>94</v>
      </c>
      <c r="D23" s="137">
        <f>C23/B17</f>
        <v>0.57668711656441718</v>
      </c>
    </row>
  </sheetData>
  <mergeCells count="18">
    <mergeCell ref="A23:B23"/>
    <mergeCell ref="B14:C14"/>
    <mergeCell ref="B15:C15"/>
    <mergeCell ref="B16:C16"/>
    <mergeCell ref="B17:C17"/>
    <mergeCell ref="A21:B21"/>
    <mergeCell ref="A22:B22"/>
    <mergeCell ref="B13:C13"/>
    <mergeCell ref="A1:S1"/>
    <mergeCell ref="A3:D3"/>
    <mergeCell ref="A4:D4"/>
    <mergeCell ref="A5:D5"/>
    <mergeCell ref="B7:C7"/>
    <mergeCell ref="B8:C8"/>
    <mergeCell ref="B9:C9"/>
    <mergeCell ref="B10:C10"/>
    <mergeCell ref="B11:C11"/>
    <mergeCell ref="B12:C12"/>
  </mergeCells>
  <pageMargins left="0.53125" right="6.9444444444444448E-2" top="0.75" bottom="0.75" header="0.3" footer="1.3888888888888888E-2"/>
  <pageSetup paperSize="9" orientation="landscape" horizontalDpi="4294967292" vertic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0"/>
  <sheetViews>
    <sheetView zoomScale="80" zoomScaleNormal="100" zoomScalePageLayoutView="80" workbookViewId="0">
      <selection activeCell="A26" sqref="A26"/>
    </sheetView>
  </sheetViews>
  <sheetFormatPr defaultColWidth="8.85546875" defaultRowHeight="12.6"/>
  <cols>
    <col min="1" max="1" width="14.42578125" customWidth="1"/>
    <col min="2" max="2" width="10.140625" customWidth="1"/>
  </cols>
  <sheetData>
    <row r="2" spans="1:2" ht="26.1">
      <c r="A2" s="42" t="s">
        <v>96</v>
      </c>
      <c r="B2" s="41" t="s">
        <v>97</v>
      </c>
    </row>
    <row r="3" spans="1:2">
      <c r="A3" s="4" t="s">
        <v>98</v>
      </c>
      <c r="B3" s="43"/>
    </row>
    <row r="4" spans="1:2">
      <c r="A4" s="4" t="s">
        <v>99</v>
      </c>
      <c r="B4" s="43"/>
    </row>
    <row r="5" spans="1:2">
      <c r="A5" s="4" t="s">
        <v>100</v>
      </c>
      <c r="B5" s="43"/>
    </row>
    <row r="6" spans="1:2">
      <c r="A6" s="4" t="s">
        <v>101</v>
      </c>
      <c r="B6" s="43"/>
    </row>
    <row r="7" spans="1:2">
      <c r="A7" s="4" t="s">
        <v>102</v>
      </c>
      <c r="B7" s="43"/>
    </row>
    <row r="8" spans="1:2">
      <c r="A8" s="4" t="s">
        <v>103</v>
      </c>
      <c r="B8" s="43"/>
    </row>
    <row r="9" spans="1:2">
      <c r="A9" s="4" t="s">
        <v>104</v>
      </c>
      <c r="B9" s="43"/>
    </row>
    <row r="10" spans="1:2">
      <c r="A10" s="4" t="s">
        <v>105</v>
      </c>
      <c r="B10" s="43"/>
    </row>
  </sheetData>
  <phoneticPr fontId="0" type="noConversion"/>
  <pageMargins left="0.4296875" right="0.22135416666666666" top="1" bottom="1" header="0.5" footer="0.5"/>
  <pageSetup orientation="landscape" r:id="rId1"/>
  <headerFooter alignWithMargins="0">
    <oddHeader>&amp;CSEKOLAH MENENGAH PENGIRAN ANAK PUTERI HAJAH MASNA
 YEAR 10Sci1 &amp; YEAR 11 QUALIFYING EXAMINATION 2015</oddHeader>
    <oddFooter>&amp;LExam Dept SMPAPHM&amp;CY10Sci1 and  Y11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ColWidth="8.85546875" defaultRowHeight="12.6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.6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.6">
      <c r="A2" s="34" t="s">
        <v>106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s="1" customFormat="1" ht="15.6">
      <c r="A3" s="34"/>
      <c r="B3" s="34"/>
      <c r="C3" s="35"/>
      <c r="D3" s="183" t="s">
        <v>1</v>
      </c>
      <c r="E3" s="184"/>
      <c r="F3" s="183" t="s">
        <v>2</v>
      </c>
      <c r="G3" s="185"/>
      <c r="H3" s="185"/>
      <c r="I3" s="184"/>
      <c r="J3" s="183" t="s">
        <v>65</v>
      </c>
      <c r="K3" s="184"/>
      <c r="L3" s="36" t="s">
        <v>4</v>
      </c>
      <c r="M3" s="34"/>
      <c r="N3" s="34"/>
      <c r="O3" s="34"/>
      <c r="P3" s="34"/>
    </row>
    <row r="4" spans="1:16" s="31" customFormat="1" ht="30.95">
      <c r="A4" s="24" t="s">
        <v>77</v>
      </c>
      <c r="B4" s="24" t="s">
        <v>6</v>
      </c>
      <c r="C4" s="24" t="s">
        <v>7</v>
      </c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37" t="s">
        <v>17</v>
      </c>
      <c r="N4" s="37" t="s">
        <v>18</v>
      </c>
      <c r="O4" s="37" t="s">
        <v>19</v>
      </c>
      <c r="P4" s="37" t="s">
        <v>20</v>
      </c>
    </row>
    <row r="5" spans="1:16" s="1" customFormat="1" ht="15.6">
      <c r="A5" s="38" t="s">
        <v>107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7" t="e">
        <f t="shared" ref="N5:N13" si="0">((M5/C5)*100)</f>
        <v>#DIV/0!</v>
      </c>
      <c r="O5" s="30">
        <f t="shared" ref="O5:O13" si="1">SUM(D5:K5)</f>
        <v>0</v>
      </c>
      <c r="P5" s="27" t="e">
        <f t="shared" ref="P5:P13" si="2">((O5/C5)*100)</f>
        <v>#DIV/0!</v>
      </c>
    </row>
    <row r="6" spans="1:16" ht="15.6">
      <c r="A6" s="38" t="s">
        <v>108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7" t="e">
        <f t="shared" si="0"/>
        <v>#DIV/0!</v>
      </c>
      <c r="O6" s="30">
        <f t="shared" si="1"/>
        <v>0</v>
      </c>
      <c r="P6" s="27" t="e">
        <f t="shared" si="2"/>
        <v>#DIV/0!</v>
      </c>
    </row>
    <row r="7" spans="1:16" ht="15.6">
      <c r="A7" s="38" t="s">
        <v>109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e">
        <f t="shared" si="0"/>
        <v>#DIV/0!</v>
      </c>
      <c r="O7" s="30">
        <f t="shared" si="1"/>
        <v>0</v>
      </c>
      <c r="P7" s="27" t="e">
        <f t="shared" si="2"/>
        <v>#DIV/0!</v>
      </c>
    </row>
    <row r="8" spans="1:16" ht="15.6">
      <c r="A8" s="38" t="s">
        <v>110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e">
        <f t="shared" si="0"/>
        <v>#DIV/0!</v>
      </c>
      <c r="O8" s="30">
        <f t="shared" si="1"/>
        <v>0</v>
      </c>
      <c r="P8" s="27" t="e">
        <f t="shared" si="2"/>
        <v>#DIV/0!</v>
      </c>
    </row>
    <row r="9" spans="1:16" ht="15.6">
      <c r="A9" s="38" t="s">
        <v>111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 t="e">
        <f t="shared" si="0"/>
        <v>#DIV/0!</v>
      </c>
      <c r="O9" s="30">
        <f t="shared" si="1"/>
        <v>0</v>
      </c>
      <c r="P9" s="27" t="e">
        <f t="shared" si="2"/>
        <v>#DIV/0!</v>
      </c>
    </row>
    <row r="10" spans="1:16" ht="15.6">
      <c r="A10" s="38" t="s">
        <v>112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 t="e">
        <f t="shared" si="0"/>
        <v>#DIV/0!</v>
      </c>
      <c r="O10" s="30">
        <f t="shared" si="1"/>
        <v>0</v>
      </c>
      <c r="P10" s="27" t="e">
        <f t="shared" si="2"/>
        <v>#DIV/0!</v>
      </c>
    </row>
    <row r="11" spans="1:16" ht="15.6">
      <c r="A11" s="38" t="s">
        <v>113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 t="e">
        <f t="shared" si="0"/>
        <v>#DIV/0!</v>
      </c>
      <c r="O11" s="30">
        <f t="shared" si="1"/>
        <v>0</v>
      </c>
      <c r="P11" s="27" t="e">
        <f t="shared" si="2"/>
        <v>#DIV/0!</v>
      </c>
    </row>
    <row r="12" spans="1:16" ht="15.6">
      <c r="A12" s="38" t="s">
        <v>114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 t="e">
        <f t="shared" si="0"/>
        <v>#DIV/0!</v>
      </c>
      <c r="O12" s="30">
        <f t="shared" si="1"/>
        <v>0</v>
      </c>
      <c r="P12" s="27" t="e">
        <f t="shared" si="2"/>
        <v>#DIV/0!</v>
      </c>
    </row>
    <row r="13" spans="1:16" ht="15.6">
      <c r="A13" s="39" t="s">
        <v>115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 t="e">
        <f t="shared" si="0"/>
        <v>#DIV/0!</v>
      </c>
      <c r="O13" s="30">
        <f t="shared" si="1"/>
        <v>0</v>
      </c>
      <c r="P13" s="27" t="e">
        <f t="shared" si="2"/>
        <v>#DIV/0!</v>
      </c>
    </row>
    <row r="14" spans="1:16" ht="15.6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2" t="e">
        <f>AVERAGE(N5:N13)</f>
        <v>#DIV/0!</v>
      </c>
      <c r="O14" s="33"/>
      <c r="P14" s="32" t="e">
        <f>AVERAGE(P5:P13)</f>
        <v>#DIV/0!</v>
      </c>
    </row>
    <row r="15" spans="1:16" ht="15.6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6" ht="15.6">
      <c r="A16" s="34" t="s">
        <v>116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s="1" customFormat="1" ht="15.6">
      <c r="A17" s="34"/>
      <c r="B17" s="34"/>
      <c r="C17" s="35"/>
      <c r="D17" s="183" t="s">
        <v>1</v>
      </c>
      <c r="E17" s="184"/>
      <c r="F17" s="183" t="s">
        <v>2</v>
      </c>
      <c r="G17" s="185"/>
      <c r="H17" s="185"/>
      <c r="I17" s="184"/>
      <c r="J17" s="183" t="s">
        <v>65</v>
      </c>
      <c r="K17" s="184"/>
      <c r="L17" s="36" t="s">
        <v>4</v>
      </c>
      <c r="M17" s="34"/>
      <c r="N17" s="34"/>
      <c r="O17" s="34"/>
      <c r="P17" s="34"/>
    </row>
    <row r="18" spans="1:16" s="31" customFormat="1" ht="30.95">
      <c r="A18" s="24" t="s">
        <v>77</v>
      </c>
      <c r="B18" s="24" t="s">
        <v>6</v>
      </c>
      <c r="C18" s="24" t="s">
        <v>7</v>
      </c>
      <c r="D18" s="24">
        <v>1</v>
      </c>
      <c r="E18" s="24">
        <v>2</v>
      </c>
      <c r="F18" s="24">
        <v>3</v>
      </c>
      <c r="G18" s="24">
        <v>4</v>
      </c>
      <c r="H18" s="24">
        <v>5</v>
      </c>
      <c r="I18" s="24">
        <v>6</v>
      </c>
      <c r="J18" s="24">
        <v>7</v>
      </c>
      <c r="K18" s="24">
        <v>8</v>
      </c>
      <c r="L18" s="24">
        <v>9</v>
      </c>
      <c r="M18" s="37" t="s">
        <v>17</v>
      </c>
      <c r="N18" s="37" t="s">
        <v>18</v>
      </c>
      <c r="O18" s="37" t="s">
        <v>19</v>
      </c>
      <c r="P18" s="37" t="s">
        <v>20</v>
      </c>
    </row>
    <row r="19" spans="1:16" ht="15.6">
      <c r="A19" s="38" t="s">
        <v>107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 t="e">
        <f>((M19/C19)*100)</f>
        <v>#DIV/0!</v>
      </c>
      <c r="O19" s="30">
        <f>SUM(D19:K19)</f>
        <v>0</v>
      </c>
      <c r="P19" s="27" t="e">
        <f>((O19/C19)*100)</f>
        <v>#DIV/0!</v>
      </c>
    </row>
    <row r="20" spans="1:16" ht="15.6">
      <c r="A20" s="38" t="s">
        <v>108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 t="e">
        <f>((M20/C20)*100)</f>
        <v>#DIV/0!</v>
      </c>
      <c r="O20" s="30">
        <f>SUM(D20:K20)</f>
        <v>0</v>
      </c>
      <c r="P20" s="27" t="e">
        <f>((O20/C20)*100)</f>
        <v>#DIV/0!</v>
      </c>
    </row>
    <row r="21" spans="1:16" ht="15.6">
      <c r="A21" s="38" t="s">
        <v>109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7" t="e">
        <f>((M21/C21)*100)</f>
        <v>#DIV/0!</v>
      </c>
      <c r="O21" s="30">
        <f>SUM(D21:K21)</f>
        <v>0</v>
      </c>
      <c r="P21" s="27" t="e">
        <f>((O21/C21)*100)</f>
        <v>#DIV/0!</v>
      </c>
    </row>
    <row r="22" spans="1:16" ht="15.6">
      <c r="A22" s="38" t="s">
        <v>111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7" t="e">
        <f t="shared" ref="N22:N28" si="3">((M22/C22)*100)</f>
        <v>#DIV/0!</v>
      </c>
      <c r="O22" s="30">
        <v>10</v>
      </c>
      <c r="P22" s="27" t="e">
        <f t="shared" ref="P22:P28" si="4">((O22/C22)*100)</f>
        <v>#DIV/0!</v>
      </c>
    </row>
    <row r="23" spans="1:16" ht="15.6">
      <c r="A23" s="38" t="s">
        <v>112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7" t="e">
        <f t="shared" si="3"/>
        <v>#DIV/0!</v>
      </c>
      <c r="O23" s="30">
        <v>10</v>
      </c>
      <c r="P23" s="27" t="e">
        <f t="shared" si="4"/>
        <v>#DIV/0!</v>
      </c>
    </row>
    <row r="24" spans="1:16" ht="15.6">
      <c r="A24" s="38" t="s">
        <v>113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7" t="e">
        <f t="shared" si="3"/>
        <v>#DIV/0!</v>
      </c>
      <c r="O24" s="30">
        <v>19</v>
      </c>
      <c r="P24" s="27" t="e">
        <f t="shared" si="4"/>
        <v>#DIV/0!</v>
      </c>
    </row>
    <row r="25" spans="1:16" ht="15.6">
      <c r="A25" s="38" t="s">
        <v>114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27" t="e">
        <f t="shared" si="3"/>
        <v>#DIV/0!</v>
      </c>
      <c r="O25" s="30">
        <v>19</v>
      </c>
      <c r="P25" s="27" t="e">
        <f t="shared" si="4"/>
        <v>#DIV/0!</v>
      </c>
    </row>
    <row r="26" spans="1:16" ht="15.6">
      <c r="A26" s="30" t="s">
        <v>117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7" t="e">
        <f t="shared" si="3"/>
        <v>#DIV/0!</v>
      </c>
      <c r="O26" s="30">
        <v>3</v>
      </c>
      <c r="P26" s="27" t="e">
        <f t="shared" si="4"/>
        <v>#DIV/0!</v>
      </c>
    </row>
    <row r="27" spans="1:16" ht="15.6">
      <c r="A27" s="39" t="s">
        <v>115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7" t="e">
        <f t="shared" si="3"/>
        <v>#DIV/0!</v>
      </c>
      <c r="O27" s="30">
        <v>2</v>
      </c>
      <c r="P27" s="27" t="e">
        <f t="shared" si="4"/>
        <v>#DIV/0!</v>
      </c>
    </row>
    <row r="28" spans="1:16" ht="15.6">
      <c r="A28" s="39" t="s">
        <v>118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7" t="e">
        <f t="shared" si="3"/>
        <v>#DIV/0!</v>
      </c>
      <c r="O28" s="30">
        <v>12</v>
      </c>
      <c r="P28" s="27" t="e">
        <f t="shared" si="4"/>
        <v>#DIV/0!</v>
      </c>
    </row>
    <row r="29" spans="1:16" ht="15.6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2" t="e">
        <f>AVERAGE(N19:N28)</f>
        <v>#DIV/0!</v>
      </c>
      <c r="O29" s="33"/>
      <c r="P29" s="32" t="e">
        <f>AVERAGE(P19:P28)</f>
        <v>#DIV/0!</v>
      </c>
    </row>
    <row r="30" spans="1:16" ht="15.6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40"/>
      <c r="O30" s="35"/>
      <c r="P30" s="40"/>
    </row>
    <row r="31" spans="1:16" ht="15.6">
      <c r="A31" s="34" t="s">
        <v>119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s="1" customFormat="1" ht="15.6">
      <c r="A32" s="34"/>
      <c r="B32" s="34"/>
      <c r="C32" s="35"/>
      <c r="D32" s="183" t="s">
        <v>1</v>
      </c>
      <c r="E32" s="184"/>
      <c r="F32" s="183" t="s">
        <v>2</v>
      </c>
      <c r="G32" s="185"/>
      <c r="H32" s="185"/>
      <c r="I32" s="184"/>
      <c r="J32" s="183" t="s">
        <v>65</v>
      </c>
      <c r="K32" s="184"/>
      <c r="L32" s="36" t="s">
        <v>4</v>
      </c>
      <c r="M32" s="34"/>
      <c r="N32" s="34"/>
      <c r="O32" s="34"/>
      <c r="P32" s="34"/>
    </row>
    <row r="33" spans="1:16" s="31" customFormat="1" ht="30.95">
      <c r="A33" s="24" t="s">
        <v>77</v>
      </c>
      <c r="B33" s="24" t="s">
        <v>6</v>
      </c>
      <c r="C33" s="24" t="s">
        <v>7</v>
      </c>
      <c r="D33" s="24">
        <v>1</v>
      </c>
      <c r="E33" s="24">
        <v>2</v>
      </c>
      <c r="F33" s="24">
        <v>3</v>
      </c>
      <c r="G33" s="24">
        <v>4</v>
      </c>
      <c r="H33" s="24">
        <v>5</v>
      </c>
      <c r="I33" s="24">
        <v>6</v>
      </c>
      <c r="J33" s="24">
        <v>7</v>
      </c>
      <c r="K33" s="24">
        <v>8</v>
      </c>
      <c r="L33" s="24">
        <v>9</v>
      </c>
      <c r="M33" s="37" t="s">
        <v>17</v>
      </c>
      <c r="N33" s="37" t="s">
        <v>18</v>
      </c>
      <c r="O33" s="37" t="s">
        <v>19</v>
      </c>
      <c r="P33" s="37" t="s">
        <v>20</v>
      </c>
    </row>
    <row r="34" spans="1:16" ht="15.6">
      <c r="A34" s="38" t="s">
        <v>107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27" t="e">
        <f t="shared" ref="N34:N42" si="5">((M34/C34)*100)</f>
        <v>#DIV/0!</v>
      </c>
      <c r="O34" s="30">
        <v>18</v>
      </c>
      <c r="P34" s="27" t="e">
        <f t="shared" ref="P34:P42" si="6">((O34/C34)*100)</f>
        <v>#DIV/0!</v>
      </c>
    </row>
    <row r="35" spans="1:16" ht="15.6">
      <c r="A35" s="38" t="s">
        <v>108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7" t="e">
        <f t="shared" si="5"/>
        <v>#DIV/0!</v>
      </c>
      <c r="O35" s="30">
        <v>15</v>
      </c>
      <c r="P35" s="27" t="e">
        <f t="shared" si="6"/>
        <v>#DIV/0!</v>
      </c>
    </row>
    <row r="36" spans="1:16" ht="15.6">
      <c r="A36" s="38" t="s">
        <v>109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27" t="e">
        <f t="shared" si="5"/>
        <v>#DIV/0!</v>
      </c>
      <c r="O36" s="30">
        <v>9</v>
      </c>
      <c r="P36" s="27" t="e">
        <f t="shared" si="6"/>
        <v>#DIV/0!</v>
      </c>
    </row>
    <row r="37" spans="1:16" ht="15.6">
      <c r="A37" s="38" t="s">
        <v>120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7" t="e">
        <f t="shared" si="5"/>
        <v>#DIV/0!</v>
      </c>
      <c r="O37" s="30">
        <v>6</v>
      </c>
      <c r="P37" s="27" t="e">
        <f t="shared" si="6"/>
        <v>#DIV/0!</v>
      </c>
    </row>
    <row r="38" spans="1:16" ht="15.6">
      <c r="A38" s="38" t="s">
        <v>114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27" t="e">
        <f t="shared" si="5"/>
        <v>#DIV/0!</v>
      </c>
      <c r="O38" s="30">
        <v>7</v>
      </c>
      <c r="P38" s="27" t="e">
        <f t="shared" si="6"/>
        <v>#DIV/0!</v>
      </c>
    </row>
    <row r="39" spans="1:16" ht="15.6">
      <c r="A39" s="38" t="s">
        <v>121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7" t="e">
        <f t="shared" si="5"/>
        <v>#DIV/0!</v>
      </c>
      <c r="O39" s="30">
        <v>14</v>
      </c>
      <c r="P39" s="27" t="e">
        <f t="shared" si="6"/>
        <v>#DIV/0!</v>
      </c>
    </row>
    <row r="40" spans="1:16" ht="15.6">
      <c r="A40" s="38" t="s">
        <v>122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27" t="e">
        <f t="shared" si="5"/>
        <v>#DIV/0!</v>
      </c>
      <c r="O40" s="30">
        <v>16</v>
      </c>
      <c r="P40" s="27" t="e">
        <f t="shared" si="6"/>
        <v>#DIV/0!</v>
      </c>
    </row>
    <row r="41" spans="1:16" ht="15.6">
      <c r="A41" s="39" t="s">
        <v>123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7" t="e">
        <f t="shared" si="5"/>
        <v>#DIV/0!</v>
      </c>
      <c r="O41" s="30">
        <v>14</v>
      </c>
      <c r="P41" s="27" t="e">
        <f t="shared" si="6"/>
        <v>#DIV/0!</v>
      </c>
    </row>
    <row r="42" spans="1:16" ht="15.6">
      <c r="A42" s="39" t="s">
        <v>124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7" t="e">
        <f t="shared" si="5"/>
        <v>#DIV/0!</v>
      </c>
      <c r="O42" s="30">
        <v>2</v>
      </c>
      <c r="P42" s="27" t="e">
        <f t="shared" si="6"/>
        <v>#DIV/0!</v>
      </c>
    </row>
    <row r="43" spans="1:16" ht="15.6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2" t="e">
        <f>AVERAGE(N34:N42)</f>
        <v>#DIV/0!</v>
      </c>
      <c r="O43" s="33"/>
      <c r="P43" s="32" t="e">
        <f>AVERAGE(P34:P42)</f>
        <v>#DIV/0!</v>
      </c>
    </row>
    <row r="44" spans="1:16" ht="15.6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40"/>
      <c r="O44" s="35"/>
      <c r="P44" s="40"/>
    </row>
    <row r="45" spans="1:16" ht="15.6">
      <c r="A45" s="34" t="s">
        <v>125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6" s="1" customFormat="1" ht="15.6">
      <c r="A46" s="34"/>
      <c r="B46" s="34"/>
      <c r="C46" s="35"/>
      <c r="D46" s="183" t="s">
        <v>1</v>
      </c>
      <c r="E46" s="184"/>
      <c r="F46" s="183" t="s">
        <v>2</v>
      </c>
      <c r="G46" s="185"/>
      <c r="H46" s="185"/>
      <c r="I46" s="184"/>
      <c r="J46" s="183" t="s">
        <v>65</v>
      </c>
      <c r="K46" s="184"/>
      <c r="L46" s="36" t="s">
        <v>4</v>
      </c>
      <c r="M46" s="34"/>
      <c r="N46" s="34"/>
      <c r="O46" s="34"/>
      <c r="P46" s="34"/>
    </row>
    <row r="47" spans="1:16" s="31" customFormat="1" ht="30.95">
      <c r="A47" s="24" t="s">
        <v>77</v>
      </c>
      <c r="B47" s="24" t="s">
        <v>6</v>
      </c>
      <c r="C47" s="24" t="s">
        <v>7</v>
      </c>
      <c r="D47" s="24">
        <v>1</v>
      </c>
      <c r="E47" s="24">
        <v>2</v>
      </c>
      <c r="F47" s="24">
        <v>3</v>
      </c>
      <c r="G47" s="24">
        <v>4</v>
      </c>
      <c r="H47" s="24">
        <v>5</v>
      </c>
      <c r="I47" s="24">
        <v>6</v>
      </c>
      <c r="J47" s="24">
        <v>7</v>
      </c>
      <c r="K47" s="24">
        <v>8</v>
      </c>
      <c r="L47" s="24">
        <v>9</v>
      </c>
      <c r="M47" s="37" t="s">
        <v>17</v>
      </c>
      <c r="N47" s="37" t="s">
        <v>18</v>
      </c>
      <c r="O47" s="37" t="s">
        <v>19</v>
      </c>
      <c r="P47" s="37" t="s">
        <v>20</v>
      </c>
    </row>
    <row r="48" spans="1:16" ht="15.6">
      <c r="A48" s="38" t="s">
        <v>107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 t="e">
        <f t="shared" ref="N48:N56" si="7">((M48/C48)*100)</f>
        <v>#DIV/0!</v>
      </c>
      <c r="O48" s="30">
        <v>24</v>
      </c>
      <c r="P48" s="27" t="e">
        <f t="shared" ref="P48:P56" si="8">((O48/C48)*100)</f>
        <v>#DIV/0!</v>
      </c>
    </row>
    <row r="49" spans="1:16" ht="15.6">
      <c r="A49" s="38" t="s">
        <v>108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27" t="e">
        <f t="shared" si="7"/>
        <v>#DIV/0!</v>
      </c>
      <c r="O49" s="30">
        <v>20</v>
      </c>
      <c r="P49" s="27" t="e">
        <f t="shared" si="8"/>
        <v>#DIV/0!</v>
      </c>
    </row>
    <row r="50" spans="1:16" ht="15.6">
      <c r="A50" s="38" t="s">
        <v>109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27" t="e">
        <f t="shared" si="7"/>
        <v>#DIV/0!</v>
      </c>
      <c r="O50" s="30">
        <v>5</v>
      </c>
      <c r="P50" s="27" t="e">
        <f t="shared" si="8"/>
        <v>#DIV/0!</v>
      </c>
    </row>
    <row r="51" spans="1:16" ht="15.6">
      <c r="A51" s="38" t="s">
        <v>120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27" t="e">
        <f t="shared" si="7"/>
        <v>#DIV/0!</v>
      </c>
      <c r="O51" s="30">
        <v>10</v>
      </c>
      <c r="P51" s="27" t="e">
        <f t="shared" si="8"/>
        <v>#DIV/0!</v>
      </c>
    </row>
    <row r="52" spans="1:16" ht="15.6">
      <c r="A52" s="38" t="s">
        <v>114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27" t="e">
        <f t="shared" si="7"/>
        <v>#DIV/0!</v>
      </c>
      <c r="O52" s="30">
        <v>12</v>
      </c>
      <c r="P52" s="27" t="e">
        <f t="shared" si="8"/>
        <v>#DIV/0!</v>
      </c>
    </row>
    <row r="53" spans="1:16" ht="15.6">
      <c r="A53" s="38" t="s">
        <v>121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27" t="e">
        <f t="shared" si="7"/>
        <v>#DIV/0!</v>
      </c>
      <c r="O53" s="30">
        <v>13</v>
      </c>
      <c r="P53" s="27" t="e">
        <f t="shared" si="8"/>
        <v>#DIV/0!</v>
      </c>
    </row>
    <row r="54" spans="1:16" ht="15.6">
      <c r="A54" s="38" t="s">
        <v>122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27" t="e">
        <f t="shared" si="7"/>
        <v>#DIV/0!</v>
      </c>
      <c r="O54" s="30">
        <v>22</v>
      </c>
      <c r="P54" s="27" t="e">
        <f t="shared" si="8"/>
        <v>#DIV/0!</v>
      </c>
    </row>
    <row r="55" spans="1:16" ht="15.6">
      <c r="A55" s="39" t="s">
        <v>126</v>
      </c>
      <c r="B55" s="30"/>
      <c r="C55" s="30"/>
      <c r="D55" s="36"/>
      <c r="E55" s="30"/>
      <c r="F55" s="30"/>
      <c r="G55" s="30"/>
      <c r="H55" s="30"/>
      <c r="I55" s="30"/>
      <c r="J55" s="36"/>
      <c r="K55" s="36"/>
      <c r="L55" s="36"/>
      <c r="M55" s="30"/>
      <c r="N55" s="27" t="e">
        <f t="shared" si="7"/>
        <v>#DIV/0!</v>
      </c>
      <c r="O55" s="30">
        <v>10</v>
      </c>
      <c r="P55" s="27" t="e">
        <f t="shared" si="8"/>
        <v>#DIV/0!</v>
      </c>
    </row>
    <row r="56" spans="1:16" ht="15.6">
      <c r="A56" s="39" t="s">
        <v>118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27" t="e">
        <f t="shared" si="7"/>
        <v>#DIV/0!</v>
      </c>
      <c r="O56" s="30">
        <v>8</v>
      </c>
      <c r="P56" s="27" t="e">
        <f t="shared" si="8"/>
        <v>#DIV/0!</v>
      </c>
    </row>
    <row r="57" spans="1:16" ht="15.6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2" t="e">
        <f>AVERAGE(N48:N56)</f>
        <v>#DIV/0!</v>
      </c>
      <c r="O57" s="33"/>
      <c r="P57" s="32" t="e">
        <f>AVERAGE(P48:P56)</f>
        <v>#DIV/0!</v>
      </c>
    </row>
    <row r="58" spans="1:16" ht="15.6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40"/>
      <c r="O58" s="35"/>
      <c r="P58" s="40"/>
    </row>
    <row r="59" spans="1:16" ht="15.6">
      <c r="A59" s="34" t="s">
        <v>127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1:16" s="1" customFormat="1" ht="15.6">
      <c r="A60" s="34"/>
      <c r="B60" s="34"/>
      <c r="C60" s="35"/>
      <c r="D60" s="183" t="s">
        <v>1</v>
      </c>
      <c r="E60" s="184"/>
      <c r="F60" s="183" t="s">
        <v>2</v>
      </c>
      <c r="G60" s="185"/>
      <c r="H60" s="185"/>
      <c r="I60" s="184"/>
      <c r="J60" s="183" t="s">
        <v>65</v>
      </c>
      <c r="K60" s="184"/>
      <c r="L60" s="36" t="s">
        <v>4</v>
      </c>
      <c r="M60" s="34"/>
      <c r="N60" s="34"/>
      <c r="O60" s="34"/>
      <c r="P60" s="34"/>
    </row>
    <row r="61" spans="1:16" s="31" customFormat="1" ht="30.95">
      <c r="A61" s="24" t="s">
        <v>77</v>
      </c>
      <c r="B61" s="24" t="s">
        <v>6</v>
      </c>
      <c r="C61" s="24" t="s">
        <v>7</v>
      </c>
      <c r="D61" s="24">
        <v>1</v>
      </c>
      <c r="E61" s="24">
        <v>2</v>
      </c>
      <c r="F61" s="24">
        <v>3</v>
      </c>
      <c r="G61" s="24">
        <v>4</v>
      </c>
      <c r="H61" s="24">
        <v>5</v>
      </c>
      <c r="I61" s="24">
        <v>6</v>
      </c>
      <c r="J61" s="24">
        <v>7</v>
      </c>
      <c r="K61" s="24">
        <v>8</v>
      </c>
      <c r="L61" s="24">
        <v>9</v>
      </c>
      <c r="M61" s="37" t="s">
        <v>17</v>
      </c>
      <c r="N61" s="37" t="s">
        <v>18</v>
      </c>
      <c r="O61" s="37" t="s">
        <v>19</v>
      </c>
      <c r="P61" s="37" t="s">
        <v>20</v>
      </c>
    </row>
    <row r="62" spans="1:16" ht="15.6">
      <c r="A62" s="38" t="s">
        <v>107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27" t="e">
        <f t="shared" ref="N62:N69" si="9">((M62/C62)*100)</f>
        <v>#DIV/0!</v>
      </c>
      <c r="O62" s="30">
        <v>18</v>
      </c>
      <c r="P62" s="27" t="e">
        <f t="shared" ref="P62:P69" si="10">((O62/C62)*100)</f>
        <v>#DIV/0!</v>
      </c>
    </row>
    <row r="63" spans="1:16" ht="15.6">
      <c r="A63" s="38" t="s">
        <v>108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7" t="e">
        <f t="shared" si="9"/>
        <v>#DIV/0!</v>
      </c>
      <c r="O63" s="30">
        <v>7</v>
      </c>
      <c r="P63" s="27" t="e">
        <f t="shared" si="10"/>
        <v>#DIV/0!</v>
      </c>
    </row>
    <row r="64" spans="1:16" ht="15.6">
      <c r="A64" s="38" t="s">
        <v>109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27" t="e">
        <f t="shared" si="9"/>
        <v>#DIV/0!</v>
      </c>
      <c r="O64" s="30">
        <v>2</v>
      </c>
      <c r="P64" s="27" t="e">
        <f t="shared" si="10"/>
        <v>#DIV/0!</v>
      </c>
    </row>
    <row r="65" spans="1:16" ht="15.6">
      <c r="A65" s="38" t="s">
        <v>120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27" t="e">
        <f t="shared" si="9"/>
        <v>#DIV/0!</v>
      </c>
      <c r="O65" s="30">
        <v>1</v>
      </c>
      <c r="P65" s="27" t="e">
        <f t="shared" si="10"/>
        <v>#DIV/0!</v>
      </c>
    </row>
    <row r="66" spans="1:16" ht="15.6">
      <c r="A66" s="38" t="s">
        <v>114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27" t="e">
        <f t="shared" si="9"/>
        <v>#DIV/0!</v>
      </c>
      <c r="O66" s="30">
        <v>9</v>
      </c>
      <c r="P66" s="27" t="e">
        <f t="shared" si="10"/>
        <v>#DIV/0!</v>
      </c>
    </row>
    <row r="67" spans="1:16" ht="15.6">
      <c r="A67" s="38" t="s">
        <v>122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27" t="e">
        <f t="shared" si="9"/>
        <v>#DIV/0!</v>
      </c>
      <c r="O67" s="30">
        <v>15</v>
      </c>
      <c r="P67" s="27" t="e">
        <f t="shared" si="10"/>
        <v>#DIV/0!</v>
      </c>
    </row>
    <row r="68" spans="1:16" ht="15.6">
      <c r="A68" s="30" t="s">
        <v>123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27" t="e">
        <f t="shared" si="9"/>
        <v>#DIV/0!</v>
      </c>
      <c r="O68" s="30">
        <v>17</v>
      </c>
      <c r="P68" s="27" t="e">
        <f t="shared" si="10"/>
        <v>#DIV/0!</v>
      </c>
    </row>
    <row r="69" spans="1:16" ht="15.6">
      <c r="A69" s="38" t="s">
        <v>128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27" t="e">
        <f t="shared" si="9"/>
        <v>#DIV/0!</v>
      </c>
      <c r="O69" s="30">
        <v>17</v>
      </c>
      <c r="P69" s="27" t="e">
        <f t="shared" si="10"/>
        <v>#DIV/0!</v>
      </c>
    </row>
    <row r="70" spans="1:16" ht="15.6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2" t="e">
        <f>AVERAGE(N62:N69)</f>
        <v>#DIV/0!</v>
      </c>
      <c r="O70" s="33"/>
      <c r="P70" s="32" t="e">
        <f>AVERAGE(P62:P69)</f>
        <v>#DIV/0!</v>
      </c>
    </row>
    <row r="71" spans="1:16" ht="15.6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40"/>
      <c r="O71" s="35"/>
      <c r="P71" s="40"/>
    </row>
    <row r="72" spans="1:16" ht="15.6">
      <c r="A72" s="34" t="s">
        <v>129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</row>
    <row r="73" spans="1:16" ht="18" customHeight="1">
      <c r="A73" s="34"/>
      <c r="B73" s="34"/>
      <c r="C73" s="35"/>
      <c r="D73" s="183" t="s">
        <v>1</v>
      </c>
      <c r="E73" s="184"/>
      <c r="F73" s="183" t="s">
        <v>2</v>
      </c>
      <c r="G73" s="185"/>
      <c r="H73" s="185"/>
      <c r="I73" s="184"/>
      <c r="J73" s="183" t="s">
        <v>65</v>
      </c>
      <c r="K73" s="184"/>
      <c r="L73" s="36" t="s">
        <v>4</v>
      </c>
      <c r="M73" s="34"/>
      <c r="N73" s="34"/>
      <c r="O73" s="34"/>
      <c r="P73" s="34"/>
    </row>
    <row r="74" spans="1:16" s="1" customFormat="1" ht="30.95">
      <c r="A74" s="24" t="s">
        <v>77</v>
      </c>
      <c r="B74" s="24" t="s">
        <v>6</v>
      </c>
      <c r="C74" s="24" t="s">
        <v>7</v>
      </c>
      <c r="D74" s="24">
        <v>1</v>
      </c>
      <c r="E74" s="24">
        <v>2</v>
      </c>
      <c r="F74" s="24">
        <v>3</v>
      </c>
      <c r="G74" s="24">
        <v>4</v>
      </c>
      <c r="H74" s="24">
        <v>5</v>
      </c>
      <c r="I74" s="24">
        <v>6</v>
      </c>
      <c r="J74" s="24">
        <v>7</v>
      </c>
      <c r="K74" s="24">
        <v>8</v>
      </c>
      <c r="L74" s="24">
        <v>9</v>
      </c>
      <c r="M74" s="37" t="s">
        <v>17</v>
      </c>
      <c r="N74" s="37" t="s">
        <v>18</v>
      </c>
      <c r="O74" s="37" t="s">
        <v>19</v>
      </c>
      <c r="P74" s="37" t="s">
        <v>20</v>
      </c>
    </row>
    <row r="75" spans="1:16" s="31" customFormat="1" ht="15.6">
      <c r="A75" s="38" t="s">
        <v>107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27" t="e">
        <f t="shared" ref="N75:N82" si="11">((M75/C75)*100)</f>
        <v>#DIV/0!</v>
      </c>
      <c r="O75" s="30">
        <v>25</v>
      </c>
      <c r="P75" s="27" t="e">
        <f t="shared" ref="P75:P82" si="12">((O75/C75)*100)</f>
        <v>#DIV/0!</v>
      </c>
    </row>
    <row r="76" spans="1:16" ht="15.6">
      <c r="A76" s="38" t="s">
        <v>108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27" t="e">
        <f t="shared" si="11"/>
        <v>#DIV/0!</v>
      </c>
      <c r="O76" s="30">
        <v>7</v>
      </c>
      <c r="P76" s="27" t="e">
        <f t="shared" si="12"/>
        <v>#DIV/0!</v>
      </c>
    </row>
    <row r="77" spans="1:16" ht="15.6">
      <c r="A77" s="38" t="s">
        <v>109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27" t="e">
        <f t="shared" si="11"/>
        <v>#DIV/0!</v>
      </c>
      <c r="O77" s="30">
        <v>2</v>
      </c>
      <c r="P77" s="27" t="e">
        <f t="shared" si="12"/>
        <v>#DIV/0!</v>
      </c>
    </row>
    <row r="78" spans="1:16" ht="15.6">
      <c r="A78" s="38" t="s">
        <v>120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27" t="e">
        <f t="shared" si="11"/>
        <v>#DIV/0!</v>
      </c>
      <c r="O78" s="30">
        <v>9</v>
      </c>
      <c r="P78" s="27" t="e">
        <f t="shared" si="12"/>
        <v>#DIV/0!</v>
      </c>
    </row>
    <row r="79" spans="1:16" ht="15.6">
      <c r="A79" s="38" t="s">
        <v>114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27" t="e">
        <f t="shared" si="11"/>
        <v>#DIV/0!</v>
      </c>
      <c r="O79" s="30">
        <v>3</v>
      </c>
      <c r="P79" s="27" t="e">
        <f t="shared" si="12"/>
        <v>#DIV/0!</v>
      </c>
    </row>
    <row r="80" spans="1:16" s="1" customFormat="1" ht="15.6">
      <c r="A80" s="38" t="s">
        <v>122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27" t="e">
        <f t="shared" si="11"/>
        <v>#DIV/0!</v>
      </c>
      <c r="O80" s="30">
        <v>24</v>
      </c>
      <c r="P80" s="27" t="e">
        <f t="shared" si="12"/>
        <v>#DIV/0!</v>
      </c>
    </row>
    <row r="81" spans="1:17" ht="15.6">
      <c r="A81" s="39" t="s">
        <v>118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27" t="e">
        <f t="shared" si="11"/>
        <v>#DIV/0!</v>
      </c>
      <c r="O81" s="30">
        <v>2</v>
      </c>
      <c r="P81" s="27" t="e">
        <f t="shared" si="12"/>
        <v>#DIV/0!</v>
      </c>
    </row>
    <row r="82" spans="1:17" s="1" customFormat="1" ht="15.6">
      <c r="A82" s="38" t="s">
        <v>128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27" t="e">
        <f t="shared" si="11"/>
        <v>#DIV/0!</v>
      </c>
      <c r="O82" s="30">
        <v>24</v>
      </c>
      <c r="P82" s="27" t="e">
        <f t="shared" si="12"/>
        <v>#DIV/0!</v>
      </c>
      <c r="Q82"/>
    </row>
    <row r="83" spans="1:17" s="1" customFormat="1" ht="15.6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2" t="e">
        <f>AVERAGE(N75:N82)</f>
        <v>#DIV/0!</v>
      </c>
      <c r="O83" s="33"/>
      <c r="P83" s="32" t="e">
        <f>AVERAGE(P75:P82)</f>
        <v>#DIV/0!</v>
      </c>
      <c r="Q83"/>
    </row>
    <row r="84" spans="1:17" s="1" customFormat="1" ht="15.6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2"/>
      <c r="O84" s="33"/>
      <c r="P84" s="32"/>
      <c r="Q84"/>
    </row>
    <row r="85" spans="1:17" s="1" customFormat="1" ht="15.6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2"/>
      <c r="O85" s="33"/>
      <c r="P85" s="32"/>
      <c r="Q85"/>
    </row>
    <row r="86" spans="1:17" ht="15.6">
      <c r="A86" s="34" t="s">
        <v>130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1:17" s="1" customFormat="1" ht="15.6">
      <c r="A87" s="34"/>
      <c r="B87" s="34"/>
      <c r="C87" s="35"/>
      <c r="D87" s="183" t="s">
        <v>1</v>
      </c>
      <c r="E87" s="184"/>
      <c r="F87" s="183" t="s">
        <v>2</v>
      </c>
      <c r="G87" s="185"/>
      <c r="H87" s="185"/>
      <c r="I87" s="184"/>
      <c r="J87" s="183" t="s">
        <v>65</v>
      </c>
      <c r="K87" s="184"/>
      <c r="L87" s="36" t="s">
        <v>4</v>
      </c>
      <c r="M87" s="34"/>
      <c r="N87" s="34"/>
      <c r="O87" s="34"/>
      <c r="P87" s="34"/>
    </row>
    <row r="88" spans="1:17" s="31" customFormat="1" ht="30.95">
      <c r="A88" s="24" t="s">
        <v>77</v>
      </c>
      <c r="B88" s="24" t="s">
        <v>6</v>
      </c>
      <c r="C88" s="24" t="s">
        <v>7</v>
      </c>
      <c r="D88" s="24">
        <v>1</v>
      </c>
      <c r="E88" s="24">
        <v>2</v>
      </c>
      <c r="F88" s="24">
        <v>3</v>
      </c>
      <c r="G88" s="24">
        <v>4</v>
      </c>
      <c r="H88" s="24">
        <v>5</v>
      </c>
      <c r="I88" s="24">
        <v>6</v>
      </c>
      <c r="J88" s="24">
        <v>7</v>
      </c>
      <c r="K88" s="24">
        <v>8</v>
      </c>
      <c r="L88" s="24">
        <v>9</v>
      </c>
      <c r="M88" s="37" t="s">
        <v>17</v>
      </c>
      <c r="N88" s="37" t="s">
        <v>18</v>
      </c>
      <c r="O88" s="37" t="s">
        <v>19</v>
      </c>
      <c r="P88" s="37" t="s">
        <v>20</v>
      </c>
    </row>
    <row r="89" spans="1:17" ht="15.6">
      <c r="A89" s="38" t="s">
        <v>107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27" t="e">
        <f t="shared" ref="N89:N95" si="13">((M89/C89)*100)</f>
        <v>#DIV/0!</v>
      </c>
      <c r="O89" s="30">
        <v>15</v>
      </c>
      <c r="P89" s="27" t="e">
        <f t="shared" ref="P89:P95" si="14">((O89/C89)*100)</f>
        <v>#DIV/0!</v>
      </c>
      <c r="Q89" s="1"/>
    </row>
    <row r="90" spans="1:17" s="1" customFormat="1" ht="15.6">
      <c r="A90" s="38" t="s">
        <v>108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27" t="e">
        <f t="shared" si="13"/>
        <v>#DIV/0!</v>
      </c>
      <c r="O90" s="30">
        <v>1</v>
      </c>
      <c r="P90" s="27" t="e">
        <f t="shared" si="14"/>
        <v>#DIV/0!</v>
      </c>
      <c r="Q90"/>
    </row>
    <row r="91" spans="1:17" s="1" customFormat="1" ht="15.6">
      <c r="A91" s="38" t="s">
        <v>109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27" t="e">
        <f t="shared" si="13"/>
        <v>#DIV/0!</v>
      </c>
      <c r="O91" s="30">
        <v>1</v>
      </c>
      <c r="P91" s="27" t="e">
        <f t="shared" si="14"/>
        <v>#DIV/0!</v>
      </c>
      <c r="Q91"/>
    </row>
    <row r="92" spans="1:17" s="1" customFormat="1" ht="15.6">
      <c r="A92" s="38" t="s">
        <v>120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27" t="e">
        <f t="shared" si="13"/>
        <v>#DIV/0!</v>
      </c>
      <c r="O92" s="30">
        <v>0</v>
      </c>
      <c r="P92" s="27" t="e">
        <f t="shared" si="14"/>
        <v>#DIV/0!</v>
      </c>
      <c r="Q92"/>
    </row>
    <row r="93" spans="1:17" s="1" customFormat="1" ht="15.6">
      <c r="A93" s="38" t="s">
        <v>126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27" t="e">
        <f t="shared" si="13"/>
        <v>#DIV/0!</v>
      </c>
      <c r="O93" s="30">
        <v>15</v>
      </c>
      <c r="P93" s="27" t="e">
        <f t="shared" si="14"/>
        <v>#DIV/0!</v>
      </c>
    </row>
    <row r="94" spans="1:17" s="1" customFormat="1" ht="15.6">
      <c r="A94" s="38" t="s">
        <v>122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27" t="e">
        <f t="shared" si="13"/>
        <v>#DIV/0!</v>
      </c>
      <c r="O94" s="30">
        <v>12</v>
      </c>
      <c r="P94" s="27" t="e">
        <f t="shared" si="14"/>
        <v>#DIV/0!</v>
      </c>
    </row>
    <row r="95" spans="1:17" ht="13.5" customHeight="1">
      <c r="A95" s="38" t="s">
        <v>128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27" t="e">
        <f t="shared" si="13"/>
        <v>#DIV/0!</v>
      </c>
      <c r="O95" s="30">
        <v>13</v>
      </c>
      <c r="P95" s="27" t="e">
        <f t="shared" si="14"/>
        <v>#DIV/0!</v>
      </c>
    </row>
    <row r="96" spans="1:17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2" t="e">
        <f>AVERAGE(N89:N95)</f>
        <v>#DIV/0!</v>
      </c>
      <c r="O96" s="33"/>
      <c r="P96" s="32" t="e">
        <f>AVERAGE(P89:P95)</f>
        <v>#DIV/0!</v>
      </c>
    </row>
    <row r="97" spans="1:16" ht="1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2"/>
      <c r="O97" s="33"/>
      <c r="P97" s="32"/>
    </row>
    <row r="98" spans="1:16" ht="1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2"/>
      <c r="O98" s="33"/>
      <c r="P98" s="32"/>
    </row>
    <row r="99" spans="1:16" ht="19.5" customHeight="1">
      <c r="A99" s="34" t="s">
        <v>131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spans="1:16" ht="18" customHeight="1">
      <c r="A100" s="34"/>
      <c r="B100" s="34"/>
      <c r="C100" s="35"/>
      <c r="D100" s="183" t="s">
        <v>1</v>
      </c>
      <c r="E100" s="184"/>
      <c r="F100" s="183" t="s">
        <v>2</v>
      </c>
      <c r="G100" s="185"/>
      <c r="H100" s="185"/>
      <c r="I100" s="184"/>
      <c r="J100" s="183" t="s">
        <v>65</v>
      </c>
      <c r="K100" s="184"/>
      <c r="L100" s="36" t="s">
        <v>4</v>
      </c>
      <c r="M100" s="34"/>
      <c r="N100" s="34"/>
      <c r="O100" s="34"/>
      <c r="P100" s="34"/>
    </row>
    <row r="101" spans="1:16" ht="35.25" customHeight="1">
      <c r="A101" s="24" t="s">
        <v>77</v>
      </c>
      <c r="B101" s="24" t="s">
        <v>6</v>
      </c>
      <c r="C101" s="24" t="s">
        <v>7</v>
      </c>
      <c r="D101" s="24">
        <v>1</v>
      </c>
      <c r="E101" s="24">
        <v>2</v>
      </c>
      <c r="F101" s="24">
        <v>3</v>
      </c>
      <c r="G101" s="24">
        <v>4</v>
      </c>
      <c r="H101" s="24">
        <v>5</v>
      </c>
      <c r="I101" s="24">
        <v>6</v>
      </c>
      <c r="J101" s="24">
        <v>7</v>
      </c>
      <c r="K101" s="24">
        <v>8</v>
      </c>
      <c r="L101" s="24">
        <v>9</v>
      </c>
      <c r="M101" s="37" t="s">
        <v>17</v>
      </c>
      <c r="N101" s="37" t="s">
        <v>18</v>
      </c>
      <c r="O101" s="37" t="s">
        <v>19</v>
      </c>
      <c r="P101" s="37" t="s">
        <v>20</v>
      </c>
    </row>
    <row r="102" spans="1:16" ht="15" customHeight="1">
      <c r="A102" s="38" t="s">
        <v>107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27" t="e">
        <f t="shared" ref="N102:N108" si="15">((M102/C102)*100)</f>
        <v>#DIV/0!</v>
      </c>
      <c r="O102" s="30">
        <v>16</v>
      </c>
      <c r="P102" s="27" t="e">
        <f t="shared" ref="P102:P108" si="16">((O102/C102)*100)</f>
        <v>#DIV/0!</v>
      </c>
    </row>
    <row r="103" spans="1:16" ht="15" customHeight="1">
      <c r="A103" s="38" t="s">
        <v>108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27" t="e">
        <f t="shared" si="15"/>
        <v>#DIV/0!</v>
      </c>
      <c r="O103" s="30">
        <v>6</v>
      </c>
      <c r="P103" s="27" t="e">
        <f t="shared" si="16"/>
        <v>#DIV/0!</v>
      </c>
    </row>
    <row r="104" spans="1:16" ht="15" customHeight="1">
      <c r="A104" s="38" t="s">
        <v>109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27" t="e">
        <f t="shared" si="15"/>
        <v>#DIV/0!</v>
      </c>
      <c r="O104" s="30">
        <v>0</v>
      </c>
      <c r="P104" s="27" t="e">
        <f t="shared" si="16"/>
        <v>#DIV/0!</v>
      </c>
    </row>
    <row r="105" spans="1:16" ht="15" customHeight="1">
      <c r="A105" s="38" t="s">
        <v>120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27" t="e">
        <f t="shared" si="15"/>
        <v>#DIV/0!</v>
      </c>
      <c r="O105" s="30">
        <v>0</v>
      </c>
      <c r="P105" s="27" t="e">
        <f t="shared" si="16"/>
        <v>#DIV/0!</v>
      </c>
    </row>
    <row r="106" spans="1:16" ht="15.75" customHeight="1">
      <c r="A106" s="38" t="s">
        <v>126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27" t="e">
        <f t="shared" si="15"/>
        <v>#DIV/0!</v>
      </c>
      <c r="O106" s="30">
        <v>16</v>
      </c>
      <c r="P106" s="27" t="e">
        <f t="shared" si="16"/>
        <v>#DIV/0!</v>
      </c>
    </row>
    <row r="107" spans="1:16" ht="15" customHeight="1">
      <c r="A107" s="38" t="s">
        <v>122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27" t="e">
        <f t="shared" si="15"/>
        <v>#DIV/0!</v>
      </c>
      <c r="O107" s="30">
        <v>11</v>
      </c>
      <c r="P107" s="27" t="e">
        <f t="shared" si="16"/>
        <v>#DIV/0!</v>
      </c>
    </row>
    <row r="108" spans="1:16" ht="15" customHeight="1">
      <c r="A108" s="38" t="s">
        <v>128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27" t="e">
        <f t="shared" si="15"/>
        <v>#DIV/0!</v>
      </c>
      <c r="O108" s="30">
        <v>12</v>
      </c>
      <c r="P108" s="27" t="e">
        <f t="shared" si="16"/>
        <v>#DIV/0!</v>
      </c>
    </row>
    <row r="109" spans="1:16" ht="18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2" t="e">
        <f>AVERAGE(N102:N108)</f>
        <v>#DIV/0!</v>
      </c>
      <c r="O109" s="33"/>
      <c r="P109" s="32" t="e">
        <f>AVERAGE(P102:P108)</f>
        <v>#DIV/0!</v>
      </c>
    </row>
    <row r="110" spans="1:16" ht="21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 spans="1:16" ht="21" customHeight="1"/>
    <row r="112" spans="1:16" ht="21" customHeight="1"/>
    <row r="113" spans="2:18" ht="21" customHeight="1"/>
    <row r="114" spans="2:18" ht="12.75" customHeight="1">
      <c r="Q114" s="2"/>
      <c r="R114" s="3"/>
    </row>
    <row r="115" spans="2:18" ht="18.75" customHeight="1">
      <c r="B115" s="23"/>
      <c r="C115" s="23"/>
      <c r="D115" s="189" t="s">
        <v>1</v>
      </c>
      <c r="E115" s="190"/>
      <c r="F115" s="189" t="s">
        <v>2</v>
      </c>
      <c r="G115" s="191"/>
      <c r="H115" s="191"/>
      <c r="I115" s="190"/>
      <c r="J115" s="189" t="s">
        <v>65</v>
      </c>
      <c r="K115" s="190"/>
      <c r="L115" s="24" t="s">
        <v>4</v>
      </c>
      <c r="M115" s="23"/>
      <c r="N115" s="23"/>
      <c r="O115" s="23"/>
      <c r="P115" s="23"/>
    </row>
    <row r="116" spans="2:18" ht="30" customHeight="1">
      <c r="B116" s="5"/>
      <c r="C116" s="5"/>
      <c r="D116" s="186" t="s">
        <v>1</v>
      </c>
      <c r="E116" s="187"/>
      <c r="F116" s="186" t="s">
        <v>2</v>
      </c>
      <c r="G116" s="188"/>
      <c r="H116" s="188"/>
      <c r="I116" s="187"/>
      <c r="J116" s="186" t="s">
        <v>65</v>
      </c>
      <c r="K116" s="187"/>
      <c r="L116" s="44" t="s">
        <v>4</v>
      </c>
      <c r="M116" s="5"/>
      <c r="N116" s="5"/>
      <c r="O116" s="5"/>
      <c r="P116" s="5"/>
    </row>
    <row r="117" spans="2:18" ht="32.25" customHeight="1">
      <c r="B117" s="44" t="s">
        <v>66</v>
      </c>
      <c r="C117" s="44" t="s">
        <v>7</v>
      </c>
      <c r="D117" s="44">
        <v>1</v>
      </c>
      <c r="E117" s="44">
        <v>2</v>
      </c>
      <c r="F117" s="44">
        <v>3</v>
      </c>
      <c r="G117" s="44">
        <v>4</v>
      </c>
      <c r="H117" s="44">
        <v>5</v>
      </c>
      <c r="I117" s="44">
        <v>6</v>
      </c>
      <c r="J117" s="44">
        <v>7</v>
      </c>
      <c r="K117" s="44">
        <v>8</v>
      </c>
      <c r="L117" s="44">
        <v>9</v>
      </c>
      <c r="M117" s="6" t="s">
        <v>17</v>
      </c>
      <c r="N117" s="6" t="s">
        <v>18</v>
      </c>
      <c r="O117" s="6" t="s">
        <v>19</v>
      </c>
      <c r="P117" s="6" t="s">
        <v>20</v>
      </c>
    </row>
    <row r="118" spans="2:18" ht="21.75" customHeight="1">
      <c r="B118" s="16" t="s">
        <v>132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25"/>
      <c r="O118" s="16"/>
      <c r="P118" s="25"/>
    </row>
    <row r="119" spans="2:18" ht="21" customHeight="1">
      <c r="B119" s="16" t="s">
        <v>133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6"/>
      <c r="O119" s="28"/>
      <c r="P119" s="26"/>
    </row>
    <row r="120" spans="2:18" ht="21" customHeight="1">
      <c r="B120" s="16" t="s">
        <v>109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25"/>
      <c r="O120" s="16"/>
      <c r="P120" s="25"/>
    </row>
    <row r="121" spans="2:18" ht="21" customHeight="1">
      <c r="B121" s="16" t="s">
        <v>134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5"/>
      <c r="O121" s="16"/>
      <c r="P121" s="25"/>
    </row>
    <row r="122" spans="2:18" ht="21" customHeight="1">
      <c r="B122" s="16" t="s">
        <v>135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25"/>
      <c r="O122" s="16"/>
      <c r="P122" s="25"/>
    </row>
    <row r="123" spans="2:18" ht="15.6">
      <c r="B123" s="16" t="s">
        <v>136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25"/>
      <c r="O123" s="16"/>
      <c r="P123" s="25"/>
    </row>
    <row r="124" spans="2:18" ht="21" customHeight="1">
      <c r="B124" s="16" t="s">
        <v>137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25"/>
      <c r="O124" s="16"/>
      <c r="P124" s="25"/>
    </row>
    <row r="125" spans="2:18" ht="15.6">
      <c r="B125" s="16" t="s">
        <v>138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25"/>
      <c r="O125" s="16"/>
      <c r="P125" s="25"/>
    </row>
    <row r="126" spans="2:18" ht="15.6">
      <c r="B126" s="16" t="s">
        <v>139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25"/>
      <c r="O126" s="16"/>
      <c r="P126" s="25"/>
    </row>
    <row r="127" spans="2:18" ht="15.6">
      <c r="B127" s="16" t="s">
        <v>140</v>
      </c>
      <c r="C127" s="29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27"/>
    </row>
    <row r="128" spans="2:18" ht="15.6">
      <c r="B128" s="16" t="s">
        <v>122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5"/>
      <c r="O128" s="16"/>
      <c r="P128" s="25"/>
    </row>
    <row r="129" spans="2:16" ht="15.6">
      <c r="B129" s="16" t="s">
        <v>141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25"/>
      <c r="O129" s="16"/>
      <c r="P129" s="25"/>
    </row>
    <row r="130" spans="2:16" ht="15.6">
      <c r="B130" s="16" t="s">
        <v>142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25"/>
      <c r="O130" s="28"/>
      <c r="P130" s="25"/>
    </row>
    <row r="131" spans="2:16" ht="15.6">
      <c r="B131" s="16" t="s">
        <v>143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25"/>
      <c r="O131" s="28"/>
      <c r="P131" s="25"/>
    </row>
    <row r="132" spans="2:16" ht="15.6">
      <c r="B132" s="16" t="s">
        <v>118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6"/>
      <c r="O132" s="28"/>
      <c r="P132" s="26"/>
    </row>
    <row r="133" spans="2:16" ht="15.6">
      <c r="B133" s="16" t="s">
        <v>144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25"/>
      <c r="O133" s="28"/>
      <c r="P133" s="25"/>
    </row>
    <row r="134" spans="2:16" ht="15.6">
      <c r="B134" s="16" t="s">
        <v>126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25"/>
      <c r="O134" s="28"/>
      <c r="P134" s="25"/>
    </row>
    <row r="135" spans="2:16" ht="15.6">
      <c r="B135" s="16" t="s">
        <v>145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25"/>
      <c r="O135" s="16"/>
      <c r="P135" s="25"/>
    </row>
    <row r="136" spans="2:16" ht="20.100000000000001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 t="s">
        <v>146</v>
      </c>
      <c r="M136" s="10"/>
      <c r="N136" s="12" t="e">
        <f>AVERAGE(N118:N135)</f>
        <v>#DIV/0!</v>
      </c>
      <c r="O136" s="12"/>
      <c r="P136" s="12" t="e">
        <f>AVERAGE(P118:P135)</f>
        <v>#DIV/0!</v>
      </c>
    </row>
    <row r="137" spans="2:16" ht="20.100000000000001">
      <c r="L137" s="13"/>
      <c r="N137" s="14"/>
      <c r="O137" s="14"/>
      <c r="P137" s="14"/>
    </row>
    <row r="142" spans="2:16" ht="30.95">
      <c r="B142" s="44"/>
      <c r="C142" s="6" t="s">
        <v>18</v>
      </c>
      <c r="D142" s="6" t="s">
        <v>20</v>
      </c>
    </row>
    <row r="143" spans="2:16" ht="18">
      <c r="B143" s="7" t="s">
        <v>132</v>
      </c>
      <c r="C143" s="8"/>
      <c r="D143" s="15"/>
    </row>
    <row r="144" spans="2:16" ht="18">
      <c r="B144" s="7" t="s">
        <v>133</v>
      </c>
      <c r="C144" s="9"/>
      <c r="D144" s="9"/>
    </row>
    <row r="145" spans="2:4" ht="18">
      <c r="B145" s="7" t="s">
        <v>109</v>
      </c>
      <c r="C145" s="8"/>
      <c r="D145" s="8"/>
    </row>
    <row r="146" spans="2:4" ht="18">
      <c r="B146" s="7" t="s">
        <v>134</v>
      </c>
      <c r="C146" s="8"/>
      <c r="D146" s="8"/>
    </row>
    <row r="147" spans="2:4" ht="18">
      <c r="B147" s="7" t="s">
        <v>135</v>
      </c>
      <c r="C147" s="8"/>
      <c r="D147" s="8"/>
    </row>
    <row r="148" spans="2:4" ht="18">
      <c r="B148" s="7" t="s">
        <v>136</v>
      </c>
      <c r="C148" s="8"/>
      <c r="D148" s="8"/>
    </row>
    <row r="149" spans="2:4" ht="18">
      <c r="B149" s="7" t="s">
        <v>137</v>
      </c>
      <c r="C149" s="8"/>
      <c r="D149" s="15"/>
    </row>
    <row r="150" spans="2:4" ht="18">
      <c r="B150" s="7" t="s">
        <v>138</v>
      </c>
      <c r="C150" s="8"/>
      <c r="D150" s="8"/>
    </row>
    <row r="151" spans="2:4" ht="18">
      <c r="B151" s="7" t="s">
        <v>139</v>
      </c>
      <c r="C151" s="8"/>
      <c r="D151" s="8"/>
    </row>
    <row r="152" spans="2:4" ht="18">
      <c r="B152" s="7" t="s">
        <v>140</v>
      </c>
      <c r="C152" s="8"/>
      <c r="D152" s="8"/>
    </row>
    <row r="153" spans="2:4" ht="18">
      <c r="B153" s="7" t="s">
        <v>122</v>
      </c>
      <c r="C153" s="8"/>
      <c r="D153" s="15"/>
    </row>
    <row r="154" spans="2:4" ht="18">
      <c r="B154" s="7" t="s">
        <v>141</v>
      </c>
      <c r="C154" s="15"/>
      <c r="D154" s="15"/>
    </row>
    <row r="155" spans="2:4" ht="18">
      <c r="B155" s="7" t="s">
        <v>142</v>
      </c>
      <c r="C155" s="8"/>
      <c r="D155" s="8"/>
    </row>
    <row r="156" spans="2:4" ht="18">
      <c r="B156" s="7" t="s">
        <v>143</v>
      </c>
      <c r="C156" s="15"/>
      <c r="D156" s="15"/>
    </row>
    <row r="157" spans="2:4" ht="18">
      <c r="B157" s="7" t="s">
        <v>118</v>
      </c>
      <c r="C157" s="9"/>
      <c r="D157" s="9"/>
    </row>
    <row r="158" spans="2:4" ht="18">
      <c r="B158" s="7" t="s">
        <v>144</v>
      </c>
      <c r="C158" s="8"/>
      <c r="D158" s="8"/>
    </row>
    <row r="159" spans="2:4" ht="18">
      <c r="B159" s="7" t="s">
        <v>126</v>
      </c>
      <c r="C159" s="15"/>
      <c r="D159" s="15"/>
    </row>
    <row r="160" spans="2:4" ht="18">
      <c r="B160" s="7" t="s">
        <v>145</v>
      </c>
      <c r="C160" s="8"/>
      <c r="D160" s="8"/>
    </row>
    <row r="163" spans="17:19" ht="30.95">
      <c r="Q163" s="16" t="s">
        <v>147</v>
      </c>
      <c r="R163" s="17" t="s">
        <v>18</v>
      </c>
      <c r="S163" s="17" t="s">
        <v>20</v>
      </c>
    </row>
    <row r="164" spans="17:19" ht="24" customHeight="1">
      <c r="Q164" s="18" t="s">
        <v>132</v>
      </c>
      <c r="R164" s="19">
        <v>97.979797979797979</v>
      </c>
      <c r="S164" s="20">
        <v>100</v>
      </c>
    </row>
    <row r="165" spans="17:19" ht="24" customHeight="1">
      <c r="Q165" s="18" t="s">
        <v>133</v>
      </c>
      <c r="R165" s="21">
        <v>22</v>
      </c>
      <c r="S165" s="21">
        <v>50</v>
      </c>
    </row>
    <row r="166" spans="17:19" ht="24" customHeight="1">
      <c r="Q166" s="18" t="s">
        <v>109</v>
      </c>
      <c r="R166" s="19">
        <v>40</v>
      </c>
      <c r="S166" s="19">
        <v>63</v>
      </c>
    </row>
    <row r="167" spans="17:19" ht="24" customHeight="1">
      <c r="Q167" s="18" t="s">
        <v>134</v>
      </c>
      <c r="R167" s="19">
        <v>81.818181818181827</v>
      </c>
      <c r="S167" s="19">
        <v>90.909090909090907</v>
      </c>
    </row>
    <row r="168" spans="17:19" ht="24" customHeight="1">
      <c r="Q168" s="18" t="s">
        <v>135</v>
      </c>
      <c r="R168" s="19">
        <v>76.666666666666671</v>
      </c>
      <c r="S168" s="19">
        <v>93.333333333333329</v>
      </c>
    </row>
    <row r="169" spans="17:19" ht="24" customHeight="1">
      <c r="Q169" s="18" t="s">
        <v>136</v>
      </c>
      <c r="R169" s="19">
        <v>64</v>
      </c>
      <c r="S169" s="19">
        <v>84</v>
      </c>
    </row>
    <row r="170" spans="17:19" ht="24" customHeight="1">
      <c r="Q170" s="18" t="s">
        <v>137</v>
      </c>
      <c r="R170" s="19">
        <v>93.333333333333329</v>
      </c>
      <c r="S170" s="20">
        <v>100</v>
      </c>
    </row>
    <row r="171" spans="17:19" ht="24" customHeight="1">
      <c r="Q171" s="18" t="s">
        <v>138</v>
      </c>
      <c r="R171" s="19">
        <v>84</v>
      </c>
      <c r="S171" s="19">
        <v>98</v>
      </c>
    </row>
    <row r="172" spans="17:19" ht="24" customHeight="1">
      <c r="Q172" s="18" t="s">
        <v>139</v>
      </c>
      <c r="R172" s="19">
        <v>52</v>
      </c>
      <c r="S172" s="19">
        <v>68</v>
      </c>
    </row>
    <row r="173" spans="17:19" ht="24" customHeight="1">
      <c r="Q173" s="18" t="s">
        <v>140</v>
      </c>
      <c r="R173" s="19">
        <v>20</v>
      </c>
      <c r="S173" s="19">
        <v>65</v>
      </c>
    </row>
    <row r="174" spans="17:19" ht="24" customHeight="1">
      <c r="Q174" s="18" t="s">
        <v>122</v>
      </c>
      <c r="R174" s="19">
        <v>97.368421052631575</v>
      </c>
      <c r="S174" s="20">
        <v>100</v>
      </c>
    </row>
    <row r="175" spans="17:19" ht="24" customHeight="1">
      <c r="Q175" s="18" t="s">
        <v>141</v>
      </c>
      <c r="R175" s="20">
        <v>100</v>
      </c>
      <c r="S175" s="20">
        <v>100</v>
      </c>
    </row>
    <row r="176" spans="17:19" ht="24" customHeight="1">
      <c r="Q176" s="18" t="s">
        <v>142</v>
      </c>
      <c r="R176" s="19">
        <v>15.384615384615385</v>
      </c>
      <c r="S176" s="19">
        <v>76.923076923076934</v>
      </c>
    </row>
    <row r="177" spans="17:19" ht="24" customHeight="1">
      <c r="Q177" s="18" t="s">
        <v>143</v>
      </c>
      <c r="R177" s="20">
        <v>100</v>
      </c>
      <c r="S177" s="20">
        <v>100</v>
      </c>
    </row>
    <row r="178" spans="17:19" ht="24" customHeight="1">
      <c r="Q178" s="18" t="s">
        <v>118</v>
      </c>
      <c r="R178" s="21">
        <v>43.478260869565219</v>
      </c>
      <c r="S178" s="21">
        <v>73.91304347826086</v>
      </c>
    </row>
    <row r="179" spans="17:19" ht="24" customHeight="1">
      <c r="Q179" s="18" t="s">
        <v>144</v>
      </c>
      <c r="R179" s="19">
        <v>80</v>
      </c>
      <c r="S179" s="19">
        <v>80</v>
      </c>
    </row>
    <row r="180" spans="17:19" ht="24" customHeight="1">
      <c r="Q180" s="18" t="s">
        <v>126</v>
      </c>
      <c r="R180" s="20">
        <v>100</v>
      </c>
      <c r="S180" s="20">
        <v>100</v>
      </c>
    </row>
    <row r="181" spans="17:19" ht="24" customHeight="1">
      <c r="Q181" s="18" t="s">
        <v>145</v>
      </c>
      <c r="R181" s="19">
        <v>86.956521739130437</v>
      </c>
      <c r="S181" s="19">
        <v>95.652173913043484</v>
      </c>
    </row>
    <row r="182" spans="17:19">
      <c r="Q182" s="22"/>
      <c r="R182" s="22"/>
      <c r="S182" s="22"/>
    </row>
  </sheetData>
  <mergeCells count="30"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  <mergeCell ref="F17:I17"/>
    <mergeCell ref="J17:K17"/>
    <mergeCell ref="D32:E32"/>
    <mergeCell ref="F32:I32"/>
    <mergeCell ref="J32:K32"/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2025-11-14T17:37:30Z</dcterms:modified>
  <cp:category/>
  <cp:contentStatus/>
</cp:coreProperties>
</file>