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Edupack 2021\Downloads\"/>
    </mc:Choice>
  </mc:AlternateContent>
  <xr:revisionPtr revIDLastSave="4766" documentId="13_ncr:1_{E95EF457-355A-4A68-BA89-8716947B16FE}" xr6:coauthVersionLast="47" xr6:coauthVersionMax="47" xr10:uidLastSave="{A9EC5B06-8FC2-4F93-AF21-CD10FE61CE1E}"/>
  <bookViews>
    <workbookView xWindow="20370" yWindow="-120" windowWidth="19440" windowHeight="10440" activeTab="9" xr2:uid="{00000000-000D-0000-FFFF-FFFF00000000}"/>
  </bookViews>
  <sheets>
    <sheet name="ANALYSIS BY SUBJECTS" sheetId="19" r:id="rId1"/>
    <sheet name="OVERALL PERFORMANCES" sheetId="20" r:id="rId2"/>
    <sheet name="CLASS AVERAGE" sheetId="18" state="hidden" r:id="rId3"/>
    <sheet name="By Class" sheetId="21" state="hidden" r:id="rId4"/>
    <sheet name="IGCSE SUBJECTS" sheetId="23" state="hidden" r:id="rId5"/>
    <sheet name="OVERALL ANALYSIS" sheetId="24" r:id="rId6"/>
    <sheet name="Sheet1" sheetId="22" state="hidden" r:id="rId7"/>
    <sheet name="Sheet2" sheetId="25" state="hidden" r:id="rId8"/>
    <sheet name="3'O' and 5'O' &amp; above" sheetId="27" r:id="rId9"/>
    <sheet name="No.of Credits Attained" sheetId="2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Print_Area" localSheetId="3">'By Class'!$A$85:$P$110</definedName>
    <definedName name="_xlnm.Print_Area" localSheetId="2">'CLASS AVERAGE'!$A$1:$M$33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9" l="1"/>
  <c r="L160" i="19"/>
  <c r="K160" i="19"/>
  <c r="J160" i="19"/>
  <c r="I160" i="19"/>
  <c r="H160" i="19"/>
  <c r="G160" i="19"/>
  <c r="F160" i="19"/>
  <c r="E160" i="19"/>
  <c r="D160" i="19"/>
  <c r="G194" i="19"/>
  <c r="L172" i="19"/>
  <c r="K172" i="19"/>
  <c r="J172" i="19"/>
  <c r="I172" i="19"/>
  <c r="H172" i="19"/>
  <c r="F172" i="19"/>
  <c r="G172" i="19"/>
  <c r="E172" i="19"/>
  <c r="D172" i="19"/>
  <c r="L44" i="19"/>
  <c r="K44" i="19"/>
  <c r="J44" i="19"/>
  <c r="H44" i="19"/>
  <c r="G44" i="19"/>
  <c r="F44" i="19"/>
  <c r="E44" i="19"/>
  <c r="D44" i="19"/>
  <c r="L164" i="19"/>
  <c r="K164" i="19"/>
  <c r="J164" i="19"/>
  <c r="I164" i="19"/>
  <c r="H164" i="19"/>
  <c r="G164" i="19"/>
  <c r="F164" i="19"/>
  <c r="E164" i="19"/>
  <c r="D164" i="19"/>
  <c r="I119" i="19"/>
  <c r="L119" i="19"/>
  <c r="K119" i="19"/>
  <c r="J119" i="19"/>
  <c r="H119" i="19"/>
  <c r="G119" i="19"/>
  <c r="F119" i="19"/>
  <c r="E119" i="19"/>
  <c r="D119" i="19"/>
  <c r="D98" i="19"/>
  <c r="L31" i="19"/>
  <c r="K31" i="19"/>
  <c r="J31" i="19"/>
  <c r="I31" i="19"/>
  <c r="H31" i="19"/>
  <c r="G31" i="19"/>
  <c r="F31" i="19"/>
  <c r="E31" i="19"/>
  <c r="D31" i="19"/>
  <c r="L11" i="19"/>
  <c r="K11" i="19"/>
  <c r="J11" i="19"/>
  <c r="I11" i="19"/>
  <c r="G11" i="19"/>
  <c r="F11" i="19"/>
  <c r="E11" i="19"/>
  <c r="D11" i="19"/>
  <c r="L10" i="19"/>
  <c r="K10" i="19"/>
  <c r="J10" i="19"/>
  <c r="I10" i="19"/>
  <c r="H10" i="19"/>
  <c r="G10" i="19"/>
  <c r="F10" i="19"/>
  <c r="E10" i="19"/>
  <c r="D10" i="19"/>
  <c r="L17" i="19"/>
  <c r="K17" i="19"/>
  <c r="J17" i="19"/>
  <c r="I17" i="19"/>
  <c r="H17" i="19"/>
  <c r="G17" i="19"/>
  <c r="F17" i="19"/>
  <c r="E17" i="19"/>
  <c r="D17" i="19"/>
  <c r="E82" i="19"/>
  <c r="D82" i="19"/>
  <c r="L49" i="19"/>
  <c r="K49" i="19"/>
  <c r="J49" i="19"/>
  <c r="I49" i="19"/>
  <c r="H49" i="19"/>
  <c r="G49" i="19"/>
  <c r="F49" i="19"/>
  <c r="D49" i="19"/>
  <c r="L81" i="19"/>
  <c r="K81" i="19"/>
  <c r="J81" i="19"/>
  <c r="I81" i="19"/>
  <c r="H81" i="19"/>
  <c r="G81" i="19"/>
  <c r="F81" i="19"/>
  <c r="D81" i="19"/>
  <c r="E81" i="19"/>
  <c r="L45" i="19"/>
  <c r="K45" i="19"/>
  <c r="E45" i="19"/>
  <c r="D45" i="19"/>
  <c r="F112" i="19"/>
  <c r="L12" i="27"/>
  <c r="K12" i="27"/>
  <c r="J12" i="27"/>
  <c r="I12" i="27"/>
  <c r="H12" i="27"/>
  <c r="G12" i="27"/>
  <c r="F12" i="27"/>
  <c r="E12" i="27"/>
  <c r="D12" i="27"/>
  <c r="C12" i="27"/>
  <c r="B12" i="27" s="1"/>
  <c r="L11" i="27"/>
  <c r="K11" i="27"/>
  <c r="J11" i="27"/>
  <c r="I11" i="27"/>
  <c r="H11" i="27"/>
  <c r="G11" i="27"/>
  <c r="F11" i="27"/>
  <c r="E11" i="27"/>
  <c r="D11" i="27"/>
  <c r="C11" i="27"/>
  <c r="B11" i="27" s="1"/>
  <c r="L10" i="27"/>
  <c r="K10" i="27"/>
  <c r="J10" i="27"/>
  <c r="I10" i="27"/>
  <c r="H10" i="27"/>
  <c r="G10" i="27"/>
  <c r="F10" i="27"/>
  <c r="E10" i="27"/>
  <c r="D10" i="27"/>
  <c r="C10" i="27"/>
  <c r="B10" i="27" s="1"/>
  <c r="L9" i="27"/>
  <c r="K9" i="27"/>
  <c r="J9" i="27"/>
  <c r="I9" i="27"/>
  <c r="H9" i="27"/>
  <c r="G9" i="27"/>
  <c r="F9" i="27"/>
  <c r="E9" i="27"/>
  <c r="D9" i="27"/>
  <c r="C9" i="27"/>
  <c r="B9" i="27" s="1"/>
  <c r="L8" i="27"/>
  <c r="K8" i="27"/>
  <c r="J8" i="27"/>
  <c r="I8" i="27"/>
  <c r="H8" i="27"/>
  <c r="G8" i="27"/>
  <c r="F8" i="27"/>
  <c r="E8" i="27"/>
  <c r="D8" i="27"/>
  <c r="C8" i="27"/>
  <c r="B8" i="27" s="1"/>
  <c r="L7" i="27"/>
  <c r="K7" i="27"/>
  <c r="J7" i="27"/>
  <c r="I7" i="27"/>
  <c r="H7" i="27"/>
  <c r="G7" i="27"/>
  <c r="F7" i="27"/>
  <c r="E7" i="27"/>
  <c r="D7" i="27"/>
  <c r="C7" i="27"/>
  <c r="B7" i="27" s="1"/>
  <c r="L6" i="27"/>
  <c r="K6" i="27"/>
  <c r="J6" i="27"/>
  <c r="I6" i="27"/>
  <c r="H6" i="27"/>
  <c r="G6" i="27"/>
  <c r="E6" i="27"/>
  <c r="D6" i="27"/>
  <c r="C6" i="27"/>
  <c r="F6" i="27"/>
  <c r="L5" i="27"/>
  <c r="L13" i="27" s="1"/>
  <c r="K5" i="27"/>
  <c r="K13" i="27" s="1"/>
  <c r="J5" i="27"/>
  <c r="J13" i="27" s="1"/>
  <c r="I5" i="27"/>
  <c r="I13" i="27" s="1"/>
  <c r="H5" i="27"/>
  <c r="H13" i="27" s="1"/>
  <c r="G5" i="27"/>
  <c r="G13" i="27" s="1"/>
  <c r="F5" i="27"/>
  <c r="F13" i="27" s="1"/>
  <c r="E5" i="27"/>
  <c r="E13" i="27" s="1"/>
  <c r="D5" i="27"/>
  <c r="D13" i="27" s="1"/>
  <c r="C5" i="27"/>
  <c r="L194" i="19"/>
  <c r="K194" i="19"/>
  <c r="J194" i="19"/>
  <c r="I194" i="19"/>
  <c r="H194" i="19"/>
  <c r="F194" i="19"/>
  <c r="E194" i="19"/>
  <c r="D194" i="19"/>
  <c r="L180" i="19"/>
  <c r="K180" i="19"/>
  <c r="J180" i="19"/>
  <c r="I180" i="19"/>
  <c r="H180" i="19"/>
  <c r="G180" i="19"/>
  <c r="F180" i="19"/>
  <c r="E180" i="19"/>
  <c r="D180" i="19"/>
  <c r="L179" i="19"/>
  <c r="K179" i="19"/>
  <c r="J179" i="19"/>
  <c r="I179" i="19"/>
  <c r="H179" i="19"/>
  <c r="G179" i="19"/>
  <c r="F179" i="19"/>
  <c r="E179" i="19"/>
  <c r="D179" i="19"/>
  <c r="O164" i="19"/>
  <c r="M164" i="19"/>
  <c r="L163" i="19"/>
  <c r="K163" i="19"/>
  <c r="J163" i="19"/>
  <c r="I163" i="19"/>
  <c r="H163" i="19"/>
  <c r="G163" i="19"/>
  <c r="F163" i="19"/>
  <c r="E163" i="19"/>
  <c r="D163" i="19"/>
  <c r="C163" i="19"/>
  <c r="C164" i="19"/>
  <c r="L165" i="19"/>
  <c r="K165" i="19"/>
  <c r="J165" i="19"/>
  <c r="I165" i="19"/>
  <c r="H165" i="19"/>
  <c r="G165" i="19"/>
  <c r="F165" i="19"/>
  <c r="E165" i="19"/>
  <c r="D165" i="19"/>
  <c r="L162" i="19"/>
  <c r="K162" i="19"/>
  <c r="J162" i="19"/>
  <c r="I162" i="19"/>
  <c r="H162" i="19"/>
  <c r="G162" i="19"/>
  <c r="F162" i="19"/>
  <c r="E162" i="19"/>
  <c r="D162" i="19"/>
  <c r="L161" i="19"/>
  <c r="K161" i="19"/>
  <c r="J161" i="19"/>
  <c r="I161" i="19"/>
  <c r="H161" i="19"/>
  <c r="G161" i="19"/>
  <c r="F161" i="19"/>
  <c r="E161" i="19"/>
  <c r="D161" i="19"/>
  <c r="L147" i="19"/>
  <c r="K147" i="19"/>
  <c r="J147" i="19"/>
  <c r="I147" i="19"/>
  <c r="H147" i="19"/>
  <c r="G147" i="19"/>
  <c r="F147" i="19"/>
  <c r="E147" i="19"/>
  <c r="D147" i="19"/>
  <c r="L146" i="19"/>
  <c r="K146" i="19"/>
  <c r="J146" i="19"/>
  <c r="I146" i="19"/>
  <c r="H146" i="19"/>
  <c r="G146" i="19"/>
  <c r="F146" i="19"/>
  <c r="E146" i="19"/>
  <c r="D146" i="19"/>
  <c r="L145" i="19"/>
  <c r="K145" i="19"/>
  <c r="J145" i="19"/>
  <c r="I145" i="19"/>
  <c r="H145" i="19"/>
  <c r="G145" i="19"/>
  <c r="F145" i="19"/>
  <c r="E145" i="19"/>
  <c r="D145" i="19"/>
  <c r="L106" i="19"/>
  <c r="K106" i="19"/>
  <c r="J106" i="19"/>
  <c r="I106" i="19"/>
  <c r="H106" i="19"/>
  <c r="G106" i="19"/>
  <c r="F106" i="19"/>
  <c r="E106" i="19"/>
  <c r="D106" i="19"/>
  <c r="L105" i="19"/>
  <c r="K105" i="19"/>
  <c r="J105" i="19"/>
  <c r="I105" i="19"/>
  <c r="H105" i="19"/>
  <c r="G105" i="19"/>
  <c r="F105" i="19"/>
  <c r="E105" i="19"/>
  <c r="D105" i="19"/>
  <c r="L104" i="19"/>
  <c r="K104" i="19"/>
  <c r="J104" i="19"/>
  <c r="I104" i="19"/>
  <c r="H104" i="19"/>
  <c r="G104" i="19"/>
  <c r="F104" i="19"/>
  <c r="E104" i="19"/>
  <c r="D104" i="19"/>
  <c r="L154" i="19"/>
  <c r="K154" i="19"/>
  <c r="J154" i="19"/>
  <c r="I154" i="19"/>
  <c r="H154" i="19"/>
  <c r="G154" i="19"/>
  <c r="F154" i="19"/>
  <c r="E154" i="19"/>
  <c r="D154" i="19"/>
  <c r="C154" i="19"/>
  <c r="L133" i="19"/>
  <c r="K133" i="19"/>
  <c r="J133" i="19"/>
  <c r="I133" i="19"/>
  <c r="H133" i="19"/>
  <c r="G133" i="19"/>
  <c r="F133" i="19"/>
  <c r="E133" i="19"/>
  <c r="D133" i="19"/>
  <c r="C133" i="19"/>
  <c r="L132" i="19"/>
  <c r="L134" i="19" s="1"/>
  <c r="K132" i="19"/>
  <c r="K134" i="19" s="1"/>
  <c r="J132" i="19"/>
  <c r="J134" i="19" s="1"/>
  <c r="I132" i="19"/>
  <c r="I134" i="19" s="1"/>
  <c r="H132" i="19"/>
  <c r="H134" i="19" s="1"/>
  <c r="G132" i="19"/>
  <c r="G134" i="19" s="1"/>
  <c r="F132" i="19"/>
  <c r="F134" i="19" s="1"/>
  <c r="E132" i="19"/>
  <c r="E134" i="19" s="1"/>
  <c r="D132" i="19"/>
  <c r="D134" i="19" s="1"/>
  <c r="L126" i="19"/>
  <c r="K126" i="19"/>
  <c r="J126" i="19"/>
  <c r="I126" i="19"/>
  <c r="H126" i="19"/>
  <c r="G126" i="19"/>
  <c r="F126" i="19"/>
  <c r="E126" i="19"/>
  <c r="D126" i="19"/>
  <c r="L125" i="19"/>
  <c r="K125" i="19"/>
  <c r="J125" i="19"/>
  <c r="I125" i="19"/>
  <c r="H125" i="19"/>
  <c r="G125" i="19"/>
  <c r="F125" i="19"/>
  <c r="E125" i="19"/>
  <c r="D125" i="19"/>
  <c r="L186" i="19"/>
  <c r="K186" i="19"/>
  <c r="J186" i="19"/>
  <c r="I186" i="19"/>
  <c r="H186" i="19"/>
  <c r="G186" i="19"/>
  <c r="F186" i="19"/>
  <c r="E186" i="19"/>
  <c r="D186" i="19"/>
  <c r="L98" i="19"/>
  <c r="K98" i="19"/>
  <c r="J98" i="19"/>
  <c r="I98" i="19"/>
  <c r="H98" i="19"/>
  <c r="G98" i="19"/>
  <c r="F98" i="19"/>
  <c r="E98" i="19"/>
  <c r="L97" i="19"/>
  <c r="K97" i="19"/>
  <c r="J97" i="19"/>
  <c r="I97" i="19"/>
  <c r="H97" i="19"/>
  <c r="G97" i="19"/>
  <c r="F97" i="19"/>
  <c r="E97" i="19"/>
  <c r="D97" i="19"/>
  <c r="L82" i="19"/>
  <c r="K82" i="19"/>
  <c r="J82" i="19"/>
  <c r="I82" i="19"/>
  <c r="H82" i="19"/>
  <c r="G82" i="19"/>
  <c r="F82" i="19"/>
  <c r="O82" i="19"/>
  <c r="M82" i="19"/>
  <c r="C82" i="19"/>
  <c r="L91" i="19"/>
  <c r="K91" i="19"/>
  <c r="J91" i="19"/>
  <c r="I91" i="19"/>
  <c r="H91" i="19"/>
  <c r="G91" i="19"/>
  <c r="F91" i="19"/>
  <c r="E91" i="19"/>
  <c r="D91" i="19"/>
  <c r="L90" i="19"/>
  <c r="K90" i="19"/>
  <c r="J90" i="19"/>
  <c r="I90" i="19"/>
  <c r="H90" i="19"/>
  <c r="G90" i="19"/>
  <c r="F90" i="19"/>
  <c r="E90" i="19"/>
  <c r="D90" i="19"/>
  <c r="L89" i="19"/>
  <c r="K89" i="19"/>
  <c r="J89" i="19"/>
  <c r="I89" i="19"/>
  <c r="H89" i="19"/>
  <c r="G89" i="19"/>
  <c r="F89" i="19"/>
  <c r="E89" i="19"/>
  <c r="D89" i="19"/>
  <c r="L80" i="19"/>
  <c r="K80" i="19"/>
  <c r="J80" i="19"/>
  <c r="I80" i="19"/>
  <c r="H80" i="19"/>
  <c r="G80" i="19"/>
  <c r="F80" i="19"/>
  <c r="E80" i="19"/>
  <c r="D80" i="19"/>
  <c r="L71" i="19"/>
  <c r="K71" i="19"/>
  <c r="J71" i="19"/>
  <c r="I71" i="19"/>
  <c r="H71" i="19"/>
  <c r="G71" i="19"/>
  <c r="F71" i="19"/>
  <c r="E71" i="19"/>
  <c r="D71" i="19"/>
  <c r="O71" i="19"/>
  <c r="M71" i="19"/>
  <c r="C71" i="19"/>
  <c r="L70" i="19"/>
  <c r="K70" i="19"/>
  <c r="J70" i="19"/>
  <c r="I70" i="19"/>
  <c r="H70" i="19"/>
  <c r="G70" i="19"/>
  <c r="F70" i="19"/>
  <c r="E70" i="19"/>
  <c r="D70" i="19"/>
  <c r="L69" i="19"/>
  <c r="K69" i="19"/>
  <c r="J69" i="19"/>
  <c r="I69" i="19"/>
  <c r="H69" i="19"/>
  <c r="G69" i="19"/>
  <c r="F69" i="19"/>
  <c r="E69" i="19"/>
  <c r="D69" i="19"/>
  <c r="L18" i="19"/>
  <c r="K18" i="19"/>
  <c r="J18" i="19"/>
  <c r="I18" i="19"/>
  <c r="H18" i="19"/>
  <c r="G18" i="19"/>
  <c r="F18" i="19"/>
  <c r="E18" i="19"/>
  <c r="D18" i="19"/>
  <c r="C18" i="19"/>
  <c r="C17" i="19"/>
  <c r="L118" i="19"/>
  <c r="L117" i="19"/>
  <c r="L116" i="19"/>
  <c r="K118" i="19"/>
  <c r="K117" i="19"/>
  <c r="K116" i="19"/>
  <c r="J118" i="19"/>
  <c r="J117" i="19"/>
  <c r="J116" i="19"/>
  <c r="I118" i="19"/>
  <c r="I117" i="19"/>
  <c r="I116" i="19"/>
  <c r="H118" i="19"/>
  <c r="H117" i="19"/>
  <c r="H116" i="19"/>
  <c r="D118" i="19"/>
  <c r="D117" i="19"/>
  <c r="E118" i="19"/>
  <c r="E117" i="19"/>
  <c r="G118" i="19"/>
  <c r="G117" i="19"/>
  <c r="G116" i="19"/>
  <c r="F118" i="19"/>
  <c r="F117" i="19"/>
  <c r="F116" i="19"/>
  <c r="E116" i="19"/>
  <c r="D116" i="19"/>
  <c r="L115" i="19"/>
  <c r="K115" i="19"/>
  <c r="J115" i="19"/>
  <c r="I115" i="19"/>
  <c r="H115" i="19"/>
  <c r="G115" i="19"/>
  <c r="F115" i="19"/>
  <c r="E115" i="19"/>
  <c r="D115" i="19"/>
  <c r="L114" i="19"/>
  <c r="K114" i="19"/>
  <c r="J114" i="19"/>
  <c r="I114" i="19"/>
  <c r="H114" i="19"/>
  <c r="G114" i="19"/>
  <c r="F114" i="19"/>
  <c r="E114" i="19"/>
  <c r="D114" i="19"/>
  <c r="L113" i="19"/>
  <c r="K113" i="19"/>
  <c r="J113" i="19"/>
  <c r="I113" i="19"/>
  <c r="H113" i="19"/>
  <c r="G113" i="19"/>
  <c r="F113" i="19"/>
  <c r="E113" i="19"/>
  <c r="D113" i="19"/>
  <c r="I56" i="19"/>
  <c r="H56" i="19"/>
  <c r="G56" i="19"/>
  <c r="F56" i="19"/>
  <c r="E56" i="19"/>
  <c r="D56" i="19"/>
  <c r="I55" i="19"/>
  <c r="H55" i="19"/>
  <c r="G55" i="19"/>
  <c r="F55" i="19"/>
  <c r="E55" i="19"/>
  <c r="D55" i="19"/>
  <c r="E49" i="19"/>
  <c r="L48" i="19"/>
  <c r="K48" i="19"/>
  <c r="J48" i="19"/>
  <c r="I48" i="19"/>
  <c r="H48" i="19"/>
  <c r="G48" i="19"/>
  <c r="F48" i="19"/>
  <c r="E48" i="19"/>
  <c r="D48" i="19"/>
  <c r="L47" i="19"/>
  <c r="K47" i="19"/>
  <c r="J47" i="19"/>
  <c r="I47" i="19"/>
  <c r="H47" i="19"/>
  <c r="G47" i="19"/>
  <c r="F47" i="19"/>
  <c r="E47" i="19"/>
  <c r="D47" i="19"/>
  <c r="L46" i="19"/>
  <c r="K46" i="19"/>
  <c r="J46" i="19"/>
  <c r="I46" i="19"/>
  <c r="H46" i="19"/>
  <c r="G46" i="19"/>
  <c r="F46" i="19"/>
  <c r="E46" i="19"/>
  <c r="D46" i="19"/>
  <c r="J45" i="19"/>
  <c r="I45" i="19"/>
  <c r="H45" i="19"/>
  <c r="G45" i="19"/>
  <c r="F45" i="19"/>
  <c r="C31" i="19"/>
  <c r="O31" i="19"/>
  <c r="P31" i="19" s="1"/>
  <c r="M31" i="19"/>
  <c r="N31" i="19" s="1"/>
  <c r="L30" i="19"/>
  <c r="K30" i="19"/>
  <c r="J30" i="19"/>
  <c r="I30" i="19"/>
  <c r="H30" i="19"/>
  <c r="G30" i="19"/>
  <c r="F30" i="19"/>
  <c r="E30" i="19"/>
  <c r="D30" i="19"/>
  <c r="C30" i="19"/>
  <c r="J27" i="19"/>
  <c r="L29" i="19"/>
  <c r="K29" i="19"/>
  <c r="J29" i="19"/>
  <c r="I29" i="19"/>
  <c r="H29" i="19"/>
  <c r="G29" i="19"/>
  <c r="F29" i="19"/>
  <c r="E29" i="19"/>
  <c r="D29" i="19"/>
  <c r="L28" i="19"/>
  <c r="K28" i="19"/>
  <c r="J28" i="19"/>
  <c r="I28" i="19"/>
  <c r="H28" i="19"/>
  <c r="G28" i="19"/>
  <c r="F28" i="19"/>
  <c r="E28" i="19"/>
  <c r="D28" i="19"/>
  <c r="L27" i="19"/>
  <c r="K27" i="19"/>
  <c r="I27" i="19"/>
  <c r="H27" i="19"/>
  <c r="G27" i="19"/>
  <c r="F27" i="19"/>
  <c r="E27" i="19"/>
  <c r="D27" i="19"/>
  <c r="L26" i="19"/>
  <c r="K26" i="19"/>
  <c r="J26" i="19"/>
  <c r="I26" i="19"/>
  <c r="H26" i="19"/>
  <c r="G26" i="19"/>
  <c r="F26" i="19"/>
  <c r="E26" i="19"/>
  <c r="D26" i="19"/>
  <c r="L25" i="19"/>
  <c r="K25" i="19"/>
  <c r="J25" i="19"/>
  <c r="I25" i="19"/>
  <c r="H25" i="19"/>
  <c r="G25" i="19"/>
  <c r="F25" i="19"/>
  <c r="E25" i="19"/>
  <c r="D24" i="19"/>
  <c r="D25" i="19"/>
  <c r="H11" i="19"/>
  <c r="L9" i="19"/>
  <c r="K9" i="19"/>
  <c r="J9" i="19"/>
  <c r="I9" i="19"/>
  <c r="H9" i="19"/>
  <c r="G9" i="19"/>
  <c r="F9" i="19"/>
  <c r="E9" i="19"/>
  <c r="D9" i="19"/>
  <c r="L8" i="19"/>
  <c r="K8" i="19"/>
  <c r="J8" i="19"/>
  <c r="I8" i="19"/>
  <c r="H8" i="19"/>
  <c r="G8" i="19"/>
  <c r="F8" i="19"/>
  <c r="E8" i="19"/>
  <c r="D8" i="19"/>
  <c r="L7" i="19"/>
  <c r="K7" i="19"/>
  <c r="J7" i="19"/>
  <c r="I7" i="19"/>
  <c r="H7" i="19"/>
  <c r="G7" i="19"/>
  <c r="F7" i="19"/>
  <c r="E7" i="19"/>
  <c r="D7" i="19"/>
  <c r="L6" i="19"/>
  <c r="K6" i="19"/>
  <c r="J6" i="19"/>
  <c r="I6" i="19"/>
  <c r="H6" i="19"/>
  <c r="G6" i="19"/>
  <c r="F6" i="19"/>
  <c r="E6" i="19"/>
  <c r="D6" i="19"/>
  <c r="L5" i="19"/>
  <c r="K5" i="19"/>
  <c r="J5" i="19"/>
  <c r="I5" i="19"/>
  <c r="H5" i="19"/>
  <c r="G5" i="19"/>
  <c r="F5" i="19"/>
  <c r="E5" i="19"/>
  <c r="D5" i="19"/>
  <c r="D4" i="19"/>
  <c r="L62" i="19"/>
  <c r="K62" i="19"/>
  <c r="J62" i="19"/>
  <c r="I62" i="19"/>
  <c r="H62" i="19"/>
  <c r="G62" i="19"/>
  <c r="F62" i="19"/>
  <c r="E62" i="19"/>
  <c r="D62" i="19"/>
  <c r="L153" i="19"/>
  <c r="L155" i="19" s="1"/>
  <c r="K153" i="19"/>
  <c r="K155" i="19" s="1"/>
  <c r="J153" i="19"/>
  <c r="J155" i="19" s="1"/>
  <c r="I153" i="19"/>
  <c r="I155" i="19" s="1"/>
  <c r="H153" i="19"/>
  <c r="H155" i="19" s="1"/>
  <c r="G153" i="19"/>
  <c r="G155" i="19" s="1"/>
  <c r="F153" i="19"/>
  <c r="F155" i="19" s="1"/>
  <c r="E153" i="19"/>
  <c r="E155" i="19" s="1"/>
  <c r="D153" i="19"/>
  <c r="D155" i="19" s="1"/>
  <c r="L79" i="19"/>
  <c r="K79" i="19"/>
  <c r="J79" i="19"/>
  <c r="I79" i="19"/>
  <c r="H79" i="19"/>
  <c r="G79" i="19"/>
  <c r="F79" i="19"/>
  <c r="E79" i="19"/>
  <c r="D79" i="19"/>
  <c r="L88" i="19"/>
  <c r="K88" i="19"/>
  <c r="J88" i="19"/>
  <c r="I88" i="19"/>
  <c r="H88" i="19"/>
  <c r="G88" i="19"/>
  <c r="F88" i="19"/>
  <c r="E88" i="19"/>
  <c r="D88" i="19"/>
  <c r="L68" i="19"/>
  <c r="L72" i="19" s="1"/>
  <c r="K68" i="19"/>
  <c r="K72" i="19" s="1"/>
  <c r="J68" i="19"/>
  <c r="J72" i="19" s="1"/>
  <c r="I68" i="19"/>
  <c r="I72" i="19" s="1"/>
  <c r="H68" i="19"/>
  <c r="H72" i="19" s="1"/>
  <c r="G68" i="19"/>
  <c r="G72" i="19" s="1"/>
  <c r="F68" i="19"/>
  <c r="F72" i="19" s="1"/>
  <c r="E68" i="19"/>
  <c r="E72" i="19" s="1"/>
  <c r="D68" i="19"/>
  <c r="D72" i="19" s="1"/>
  <c r="L112" i="19"/>
  <c r="K112" i="19"/>
  <c r="J112" i="19"/>
  <c r="I112" i="19"/>
  <c r="H112" i="19"/>
  <c r="G112" i="19"/>
  <c r="E112" i="19"/>
  <c r="D112" i="19"/>
  <c r="I44" i="19"/>
  <c r="L24" i="19"/>
  <c r="K24" i="19"/>
  <c r="J24" i="19"/>
  <c r="I24" i="19"/>
  <c r="H24" i="19"/>
  <c r="G24" i="19"/>
  <c r="F24" i="19"/>
  <c r="E24" i="19"/>
  <c r="L4" i="19"/>
  <c r="K4" i="19"/>
  <c r="J4" i="19"/>
  <c r="I4" i="19"/>
  <c r="H4" i="19"/>
  <c r="G4" i="19"/>
  <c r="F4" i="19"/>
  <c r="E4" i="19"/>
  <c r="C105" i="19"/>
  <c r="C106" i="19"/>
  <c r="C104" i="19"/>
  <c r="C98" i="19"/>
  <c r="C97" i="19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7" i="24"/>
  <c r="M11" i="27"/>
  <c r="M10" i="27"/>
  <c r="M9" i="27"/>
  <c r="M8" i="27"/>
  <c r="M7" i="27"/>
  <c r="M56" i="19"/>
  <c r="A6" i="20"/>
  <c r="J204" i="19"/>
  <c r="K10" i="24" s="1"/>
  <c r="K204" i="19"/>
  <c r="L10" i="24" s="1"/>
  <c r="L204" i="19"/>
  <c r="M10" i="24" s="1"/>
  <c r="M38" i="19"/>
  <c r="M55" i="19"/>
  <c r="M37" i="19"/>
  <c r="J40" i="19"/>
  <c r="K40" i="19"/>
  <c r="L40" i="19"/>
  <c r="O38" i="19"/>
  <c r="C38" i="19"/>
  <c r="O37" i="19"/>
  <c r="C37" i="19"/>
  <c r="C172" i="19"/>
  <c r="M6" i="27"/>
  <c r="C194" i="19"/>
  <c r="C188" i="19"/>
  <c r="C187" i="19"/>
  <c r="C180" i="19"/>
  <c r="C179" i="19"/>
  <c r="C162" i="19"/>
  <c r="C161" i="19"/>
  <c r="C160" i="19"/>
  <c r="C153" i="19"/>
  <c r="C147" i="19"/>
  <c r="C146" i="19"/>
  <c r="C145" i="19"/>
  <c r="C132" i="19"/>
  <c r="C134" i="19" s="1"/>
  <c r="C126" i="19"/>
  <c r="C125" i="19"/>
  <c r="C81" i="19"/>
  <c r="C80" i="19"/>
  <c r="C56" i="19"/>
  <c r="C55" i="19"/>
  <c r="C49" i="19"/>
  <c r="C48" i="19"/>
  <c r="C47" i="19"/>
  <c r="C46" i="19"/>
  <c r="C45" i="19"/>
  <c r="M5" i="27"/>
  <c r="C62" i="19"/>
  <c r="L189" i="19"/>
  <c r="K189" i="19"/>
  <c r="J189" i="19"/>
  <c r="I189" i="19"/>
  <c r="H189" i="19"/>
  <c r="G189" i="19"/>
  <c r="F189" i="19"/>
  <c r="E189" i="19"/>
  <c r="C91" i="19"/>
  <c r="C90" i="19"/>
  <c r="C89" i="19"/>
  <c r="C88" i="19"/>
  <c r="C79" i="19"/>
  <c r="C70" i="19"/>
  <c r="C69" i="19"/>
  <c r="C68" i="19"/>
  <c r="C72" i="19" s="1"/>
  <c r="C119" i="19"/>
  <c r="C118" i="19"/>
  <c r="C117" i="19"/>
  <c r="C116" i="19"/>
  <c r="C115" i="19"/>
  <c r="C114" i="19"/>
  <c r="C113" i="19"/>
  <c r="C112" i="19"/>
  <c r="C44" i="19"/>
  <c r="C29" i="19"/>
  <c r="C28" i="19"/>
  <c r="C27" i="19"/>
  <c r="C26" i="19"/>
  <c r="C25" i="19"/>
  <c r="C24" i="19"/>
  <c r="C5" i="19"/>
  <c r="C6" i="19"/>
  <c r="C7" i="19"/>
  <c r="C8" i="19"/>
  <c r="C9" i="19"/>
  <c r="C10" i="19"/>
  <c r="C11" i="19"/>
  <c r="C4" i="19"/>
  <c r="P221" i="19"/>
  <c r="N221" i="19"/>
  <c r="O187" i="19"/>
  <c r="P187" i="19" s="1"/>
  <c r="O188" i="19"/>
  <c r="M187" i="19"/>
  <c r="N187" i="19" s="1"/>
  <c r="M188" i="19"/>
  <c r="O161" i="19"/>
  <c r="P161" i="19" s="1"/>
  <c r="M161" i="19"/>
  <c r="N161" i="19" s="1"/>
  <c r="O146" i="19"/>
  <c r="P146" i="19" s="1"/>
  <c r="M146" i="19"/>
  <c r="N146" i="19" s="1"/>
  <c r="O89" i="19"/>
  <c r="P89" i="19" s="1"/>
  <c r="O90" i="19"/>
  <c r="P90" i="19" s="1"/>
  <c r="M89" i="19"/>
  <c r="N89" i="19" s="1"/>
  <c r="M90" i="19"/>
  <c r="N90" i="19" s="1"/>
  <c r="O18" i="19"/>
  <c r="P18" i="19" s="1"/>
  <c r="M18" i="19"/>
  <c r="N18" i="19" s="1"/>
  <c r="M106" i="19"/>
  <c r="M17" i="19"/>
  <c r="M186" i="19"/>
  <c r="E120" i="19"/>
  <c r="E211" i="19" s="1"/>
  <c r="F17" i="24" s="1"/>
  <c r="F120" i="19"/>
  <c r="F211" i="19" s="1"/>
  <c r="G17" i="24" s="1"/>
  <c r="G120" i="19"/>
  <c r="G211" i="19" s="1"/>
  <c r="H17" i="24" s="1"/>
  <c r="H120" i="19"/>
  <c r="H211" i="19" s="1"/>
  <c r="I17" i="24" s="1"/>
  <c r="I120" i="19"/>
  <c r="I211" i="19" s="1"/>
  <c r="J17" i="24" s="1"/>
  <c r="J120" i="19"/>
  <c r="J211" i="19" s="1"/>
  <c r="K17" i="24" s="1"/>
  <c r="K120" i="19"/>
  <c r="K211" i="19" s="1"/>
  <c r="L17" i="24" s="1"/>
  <c r="L120" i="19"/>
  <c r="L211" i="19" s="1"/>
  <c r="M17" i="24" s="1"/>
  <c r="C120" i="19"/>
  <c r="D107" i="19"/>
  <c r="D210" i="19" s="1"/>
  <c r="E16" i="24" s="1"/>
  <c r="E107" i="19"/>
  <c r="E210" i="19" s="1"/>
  <c r="F16" i="24" s="1"/>
  <c r="F107" i="19"/>
  <c r="F210" i="19" s="1"/>
  <c r="G16" i="24" s="1"/>
  <c r="G107" i="19"/>
  <c r="G210" i="19" s="1"/>
  <c r="H16" i="24" s="1"/>
  <c r="H107" i="19"/>
  <c r="H210" i="19" s="1"/>
  <c r="I16" i="24" s="1"/>
  <c r="I107" i="19"/>
  <c r="I210" i="19" s="1"/>
  <c r="J16" i="24" s="1"/>
  <c r="J107" i="19"/>
  <c r="J210" i="19" s="1"/>
  <c r="K16" i="24" s="1"/>
  <c r="K107" i="19"/>
  <c r="K210" i="19" s="1"/>
  <c r="L16" i="24" s="1"/>
  <c r="L107" i="19"/>
  <c r="L210" i="19" s="1"/>
  <c r="M16" i="24" s="1"/>
  <c r="C107" i="19"/>
  <c r="C99" i="19"/>
  <c r="D92" i="19"/>
  <c r="D208" i="19" s="1"/>
  <c r="E14" i="24" s="1"/>
  <c r="E92" i="19"/>
  <c r="E208" i="19" s="1"/>
  <c r="F14" i="24" s="1"/>
  <c r="F92" i="19"/>
  <c r="F208" i="19" s="1"/>
  <c r="G14" i="24" s="1"/>
  <c r="G92" i="19"/>
  <c r="G208" i="19" s="1"/>
  <c r="H14" i="24" s="1"/>
  <c r="H92" i="19"/>
  <c r="H208" i="19" s="1"/>
  <c r="I14" i="24" s="1"/>
  <c r="I92" i="19"/>
  <c r="I208" i="19" s="1"/>
  <c r="J14" i="24" s="1"/>
  <c r="J92" i="19"/>
  <c r="J208" i="19" s="1"/>
  <c r="K14" i="24" s="1"/>
  <c r="K92" i="19"/>
  <c r="K208" i="19" s="1"/>
  <c r="L14" i="24" s="1"/>
  <c r="L92" i="19"/>
  <c r="L208" i="19" s="1"/>
  <c r="M14" i="24" s="1"/>
  <c r="C92" i="19"/>
  <c r="D206" i="19"/>
  <c r="E12" i="24" s="1"/>
  <c r="E206" i="19"/>
  <c r="F12" i="24" s="1"/>
  <c r="F206" i="19"/>
  <c r="G12" i="24" s="1"/>
  <c r="G206" i="19"/>
  <c r="H12" i="24" s="1"/>
  <c r="H206" i="19"/>
  <c r="I12" i="24" s="1"/>
  <c r="I206" i="19"/>
  <c r="J12" i="24" s="1"/>
  <c r="J206" i="19"/>
  <c r="K12" i="24" s="1"/>
  <c r="K206" i="19"/>
  <c r="L12" i="24" s="1"/>
  <c r="L206" i="19"/>
  <c r="M12" i="24" s="1"/>
  <c r="D63" i="19"/>
  <c r="D205" i="19" s="1"/>
  <c r="E11" i="24" s="1"/>
  <c r="E63" i="19"/>
  <c r="E205" i="19" s="1"/>
  <c r="F11" i="24" s="1"/>
  <c r="F63" i="19"/>
  <c r="F205" i="19" s="1"/>
  <c r="G11" i="24" s="1"/>
  <c r="G63" i="19"/>
  <c r="G205" i="19" s="1"/>
  <c r="H11" i="24" s="1"/>
  <c r="H63" i="19"/>
  <c r="H205" i="19" s="1"/>
  <c r="I11" i="24" s="1"/>
  <c r="I63" i="19"/>
  <c r="I205" i="19" s="1"/>
  <c r="J11" i="24" s="1"/>
  <c r="J63" i="19"/>
  <c r="J205" i="19" s="1"/>
  <c r="K11" i="24" s="1"/>
  <c r="K63" i="19"/>
  <c r="K205" i="19" s="1"/>
  <c r="L11" i="24" s="1"/>
  <c r="L63" i="19"/>
  <c r="L205" i="19" s="1"/>
  <c r="M11" i="24" s="1"/>
  <c r="D50" i="19"/>
  <c r="D203" i="19" s="1"/>
  <c r="E9" i="24" s="1"/>
  <c r="E50" i="19"/>
  <c r="E203" i="19" s="1"/>
  <c r="F9" i="24" s="1"/>
  <c r="F50" i="19"/>
  <c r="F203" i="19" s="1"/>
  <c r="G9" i="24" s="1"/>
  <c r="G50" i="19"/>
  <c r="G203" i="19" s="1"/>
  <c r="H9" i="24" s="1"/>
  <c r="H50" i="19"/>
  <c r="H203" i="19" s="1"/>
  <c r="I9" i="24" s="1"/>
  <c r="I50" i="19"/>
  <c r="I203" i="19" s="1"/>
  <c r="J9" i="24" s="1"/>
  <c r="J50" i="19"/>
  <c r="J203" i="19" s="1"/>
  <c r="K9" i="24" s="1"/>
  <c r="K50" i="19"/>
  <c r="K203" i="19" s="1"/>
  <c r="L9" i="24" s="1"/>
  <c r="L50" i="19"/>
  <c r="L203" i="19" s="1"/>
  <c r="M9" i="24" s="1"/>
  <c r="D32" i="19"/>
  <c r="D202" i="19" s="1"/>
  <c r="E8" i="24" s="1"/>
  <c r="E32" i="19"/>
  <c r="E202" i="19" s="1"/>
  <c r="F8" i="24" s="1"/>
  <c r="F32" i="19"/>
  <c r="F202" i="19" s="1"/>
  <c r="G8" i="24" s="1"/>
  <c r="G32" i="19"/>
  <c r="G202" i="19" s="1"/>
  <c r="H8" i="24" s="1"/>
  <c r="H32" i="19"/>
  <c r="H202" i="19" s="1"/>
  <c r="I8" i="24" s="1"/>
  <c r="I32" i="19"/>
  <c r="I202" i="19" s="1"/>
  <c r="J8" i="24" s="1"/>
  <c r="J32" i="19"/>
  <c r="J202" i="19" s="1"/>
  <c r="K8" i="24" s="1"/>
  <c r="K32" i="19"/>
  <c r="K202" i="19" s="1"/>
  <c r="L8" i="24" s="1"/>
  <c r="L32" i="19"/>
  <c r="L202" i="19" s="1"/>
  <c r="M8" i="24" s="1"/>
  <c r="C32" i="19"/>
  <c r="D12" i="19"/>
  <c r="D201" i="19" s="1"/>
  <c r="E7" i="24" s="1"/>
  <c r="E12" i="19"/>
  <c r="E201" i="19" s="1"/>
  <c r="F7" i="24" s="1"/>
  <c r="F12" i="19"/>
  <c r="F201" i="19" s="1"/>
  <c r="G7" i="24" s="1"/>
  <c r="G12" i="19"/>
  <c r="G201" i="19" s="1"/>
  <c r="H7" i="24" s="1"/>
  <c r="H12" i="19"/>
  <c r="H201" i="19" s="1"/>
  <c r="I7" i="24" s="1"/>
  <c r="I12" i="19"/>
  <c r="I201" i="19" s="1"/>
  <c r="J7" i="24" s="1"/>
  <c r="J12" i="19"/>
  <c r="J201" i="19" s="1"/>
  <c r="K7" i="24" s="1"/>
  <c r="K12" i="19"/>
  <c r="K201" i="19" s="1"/>
  <c r="L7" i="24" s="1"/>
  <c r="L12" i="19"/>
  <c r="L201" i="19" s="1"/>
  <c r="M7" i="24" s="1"/>
  <c r="C12" i="19"/>
  <c r="M179" i="19"/>
  <c r="M172" i="19"/>
  <c r="N172" i="19" s="1"/>
  <c r="O6" i="27"/>
  <c r="O7" i="27"/>
  <c r="O8" i="27"/>
  <c r="P8" i="27" s="1"/>
  <c r="O9" i="27"/>
  <c r="O10" i="27"/>
  <c r="O11" i="27"/>
  <c r="O5" i="27"/>
  <c r="O112" i="19"/>
  <c r="P112" i="19" s="1"/>
  <c r="M112" i="19"/>
  <c r="N112" i="19" s="1"/>
  <c r="O88" i="19"/>
  <c r="P88" i="19" s="1"/>
  <c r="M88" i="19"/>
  <c r="N88" i="19" s="1"/>
  <c r="O79" i="19"/>
  <c r="M79" i="19"/>
  <c r="N79" i="19" s="1"/>
  <c r="O68" i="19"/>
  <c r="P68" i="19" s="1"/>
  <c r="M68" i="19"/>
  <c r="O62" i="19"/>
  <c r="M62" i="19"/>
  <c r="O44" i="19"/>
  <c r="P44" i="19" s="1"/>
  <c r="M44" i="19"/>
  <c r="N44" i="19" s="1"/>
  <c r="O24" i="19"/>
  <c r="P24" i="19" s="1"/>
  <c r="M24" i="19"/>
  <c r="N24" i="19" s="1"/>
  <c r="O4" i="19"/>
  <c r="M4" i="19"/>
  <c r="N4" i="19" s="1"/>
  <c r="E221" i="19"/>
  <c r="F27" i="24" s="1"/>
  <c r="F221" i="19"/>
  <c r="G27" i="24" s="1"/>
  <c r="G221" i="19"/>
  <c r="H27" i="24" s="1"/>
  <c r="H221" i="19"/>
  <c r="I27" i="24" s="1"/>
  <c r="I221" i="19"/>
  <c r="J27" i="24" s="1"/>
  <c r="J221" i="19"/>
  <c r="K27" i="24" s="1"/>
  <c r="K221" i="19"/>
  <c r="L27" i="24" s="1"/>
  <c r="L221" i="19"/>
  <c r="M27" i="24" s="1"/>
  <c r="O106" i="19"/>
  <c r="P106" i="19" s="1"/>
  <c r="N106" i="19"/>
  <c r="O105" i="19"/>
  <c r="P105" i="19" s="1"/>
  <c r="M105" i="19"/>
  <c r="N105" i="19" s="1"/>
  <c r="O104" i="19"/>
  <c r="P104" i="19" s="1"/>
  <c r="M104" i="19"/>
  <c r="N104" i="19" s="1"/>
  <c r="D195" i="19"/>
  <c r="D220" i="19" s="1"/>
  <c r="E26" i="24" s="1"/>
  <c r="E195" i="19"/>
  <c r="E220" i="19" s="1"/>
  <c r="F26" i="24" s="1"/>
  <c r="F195" i="19"/>
  <c r="F220" i="19" s="1"/>
  <c r="G26" i="24" s="1"/>
  <c r="G195" i="19"/>
  <c r="G220" i="19" s="1"/>
  <c r="H26" i="24" s="1"/>
  <c r="H195" i="19"/>
  <c r="H220" i="19" s="1"/>
  <c r="I26" i="24" s="1"/>
  <c r="I195" i="19"/>
  <c r="I220" i="19" s="1"/>
  <c r="J26" i="24" s="1"/>
  <c r="J195" i="19"/>
  <c r="J220" i="19" s="1"/>
  <c r="K26" i="24" s="1"/>
  <c r="K195" i="19"/>
  <c r="K220" i="19" s="1"/>
  <c r="L26" i="24" s="1"/>
  <c r="L195" i="19"/>
  <c r="L220" i="19" s="1"/>
  <c r="M26" i="24" s="1"/>
  <c r="C195" i="19"/>
  <c r="M98" i="19"/>
  <c r="N98" i="19" s="1"/>
  <c r="O98" i="19"/>
  <c r="P98" i="19" s="1"/>
  <c r="L214" i="19"/>
  <c r="M20" i="24" s="1"/>
  <c r="K214" i="19"/>
  <c r="L20" i="24" s="1"/>
  <c r="J214" i="19"/>
  <c r="K20" i="24" s="1"/>
  <c r="I214" i="19"/>
  <c r="J20" i="24" s="1"/>
  <c r="H214" i="19"/>
  <c r="I20" i="24" s="1"/>
  <c r="G214" i="19"/>
  <c r="H20" i="24" s="1"/>
  <c r="F214" i="19"/>
  <c r="G20" i="24" s="1"/>
  <c r="E214" i="19"/>
  <c r="F20" i="24" s="1"/>
  <c r="D214" i="19"/>
  <c r="O153" i="19"/>
  <c r="M153" i="19"/>
  <c r="O25" i="19"/>
  <c r="P25" i="19" s="1"/>
  <c r="O26" i="19"/>
  <c r="P26" i="19" s="1"/>
  <c r="O27" i="19"/>
  <c r="P27" i="19" s="1"/>
  <c r="O28" i="19"/>
  <c r="P28" i="19" s="1"/>
  <c r="O29" i="19"/>
  <c r="P29" i="19" s="1"/>
  <c r="M25" i="19"/>
  <c r="M26" i="19"/>
  <c r="N26" i="19" s="1"/>
  <c r="M27" i="19"/>
  <c r="N27" i="19" s="1"/>
  <c r="M28" i="19"/>
  <c r="N28" i="19" s="1"/>
  <c r="M29" i="19"/>
  <c r="N29" i="19" s="1"/>
  <c r="O132" i="19"/>
  <c r="P132" i="19" s="1"/>
  <c r="M132" i="19"/>
  <c r="E213" i="19"/>
  <c r="F19" i="24" s="1"/>
  <c r="H213" i="19"/>
  <c r="I19" i="24" s="1"/>
  <c r="I213" i="19"/>
  <c r="J19" i="24" s="1"/>
  <c r="J213" i="19"/>
  <c r="K19" i="24" s="1"/>
  <c r="K213" i="19"/>
  <c r="L19" i="24" s="1"/>
  <c r="L213" i="19"/>
  <c r="M19" i="24" s="1"/>
  <c r="C135" i="19"/>
  <c r="M80" i="19"/>
  <c r="O80" i="19"/>
  <c r="M81" i="19"/>
  <c r="N81" i="19" s="1"/>
  <c r="O81" i="19"/>
  <c r="P81" i="19" s="1"/>
  <c r="M69" i="19"/>
  <c r="N69" i="19" s="1"/>
  <c r="O69" i="19"/>
  <c r="P69" i="19" s="1"/>
  <c r="M70" i="19"/>
  <c r="N70" i="19" s="1"/>
  <c r="O70" i="19"/>
  <c r="P70" i="19" s="1"/>
  <c r="M48" i="19"/>
  <c r="N48" i="19" s="1"/>
  <c r="O48" i="19"/>
  <c r="P48" i="19" s="1"/>
  <c r="M113" i="19"/>
  <c r="N113" i="19" s="1"/>
  <c r="O113" i="19"/>
  <c r="P113" i="19" s="1"/>
  <c r="M114" i="19"/>
  <c r="N114" i="19" s="1"/>
  <c r="O114" i="19"/>
  <c r="P114" i="19" s="1"/>
  <c r="M115" i="19"/>
  <c r="N115" i="19" s="1"/>
  <c r="O115" i="19"/>
  <c r="P115" i="19" s="1"/>
  <c r="M116" i="19"/>
  <c r="N116" i="19" s="1"/>
  <c r="O116" i="19"/>
  <c r="P116" i="19" s="1"/>
  <c r="M117" i="19"/>
  <c r="N117" i="19" s="1"/>
  <c r="O117" i="19"/>
  <c r="P117" i="19" s="1"/>
  <c r="N9" i="27"/>
  <c r="N10" i="27"/>
  <c r="M180" i="19"/>
  <c r="N180" i="19" s="1"/>
  <c r="O180" i="19"/>
  <c r="P180" i="19" s="1"/>
  <c r="M119" i="19"/>
  <c r="N119" i="19" s="1"/>
  <c r="O119" i="19"/>
  <c r="P119" i="19" s="1"/>
  <c r="N56" i="19"/>
  <c r="O56" i="19"/>
  <c r="P56" i="19" s="1"/>
  <c r="M10" i="19"/>
  <c r="N10" i="19" s="1"/>
  <c r="O10" i="19"/>
  <c r="P10" i="19" s="1"/>
  <c r="C19" i="19"/>
  <c r="O47" i="19"/>
  <c r="P47" i="19" s="1"/>
  <c r="M47" i="19"/>
  <c r="N47" i="19" s="1"/>
  <c r="M91" i="19"/>
  <c r="N91" i="19" s="1"/>
  <c r="O172" i="19"/>
  <c r="P172" i="19" s="1"/>
  <c r="O165" i="19"/>
  <c r="M147" i="19"/>
  <c r="N147" i="19" s="1"/>
  <c r="O147" i="19"/>
  <c r="P147" i="19" s="1"/>
  <c r="O162" i="19"/>
  <c r="P162" i="19" s="1"/>
  <c r="M162" i="19"/>
  <c r="N162" i="19" s="1"/>
  <c r="O55" i="19"/>
  <c r="P55" i="19" s="1"/>
  <c r="O9" i="19"/>
  <c r="P9" i="19" s="1"/>
  <c r="M9" i="19"/>
  <c r="N9" i="19" s="1"/>
  <c r="J148" i="19"/>
  <c r="J215" i="19" s="1"/>
  <c r="K21" i="24" s="1"/>
  <c r="M194" i="19"/>
  <c r="N194" i="19" s="1"/>
  <c r="O194" i="19"/>
  <c r="O91" i="19"/>
  <c r="P91" i="19" s="1"/>
  <c r="M46" i="19"/>
  <c r="N46" i="19" s="1"/>
  <c r="O46" i="19"/>
  <c r="P46" i="19" s="1"/>
  <c r="M45" i="19"/>
  <c r="N45" i="19" s="1"/>
  <c r="M49" i="19"/>
  <c r="N49" i="19" s="1"/>
  <c r="D40" i="19"/>
  <c r="E38" i="24" s="1"/>
  <c r="E40" i="19"/>
  <c r="F38" i="24" s="1"/>
  <c r="F40" i="19"/>
  <c r="G38" i="24" s="1"/>
  <c r="G40" i="19"/>
  <c r="H38" i="24" s="1"/>
  <c r="H40" i="19"/>
  <c r="I38" i="24" s="1"/>
  <c r="C40" i="19"/>
  <c r="I40" i="19"/>
  <c r="D57" i="19"/>
  <c r="E57" i="19"/>
  <c r="F57" i="19"/>
  <c r="G57" i="19"/>
  <c r="H57" i="19"/>
  <c r="C57" i="19"/>
  <c r="I57" i="19"/>
  <c r="M126" i="19"/>
  <c r="N126" i="19" s="1"/>
  <c r="M125" i="19"/>
  <c r="N125" i="19" s="1"/>
  <c r="O97" i="19"/>
  <c r="P97" i="19" s="1"/>
  <c r="M97" i="19"/>
  <c r="N97" i="19" s="1"/>
  <c r="M118" i="19"/>
  <c r="N118" i="19" s="1"/>
  <c r="O118" i="19"/>
  <c r="P118" i="19" s="1"/>
  <c r="O45" i="19"/>
  <c r="P45" i="19" s="1"/>
  <c r="O5" i="19"/>
  <c r="P5" i="19" s="1"/>
  <c r="O6" i="19"/>
  <c r="P6" i="19" s="1"/>
  <c r="O7" i="19"/>
  <c r="P7" i="19" s="1"/>
  <c r="O8" i="19"/>
  <c r="P8" i="19" s="1"/>
  <c r="M5" i="19"/>
  <c r="M6" i="19"/>
  <c r="N6" i="19" s="1"/>
  <c r="M7" i="19"/>
  <c r="N7" i="19" s="1"/>
  <c r="M8" i="19"/>
  <c r="N8" i="19" s="1"/>
  <c r="O186" i="19"/>
  <c r="I10" i="23"/>
  <c r="M160" i="19"/>
  <c r="N160" i="19" s="1"/>
  <c r="M145" i="19"/>
  <c r="N145" i="19" s="1"/>
  <c r="D19" i="19"/>
  <c r="D219" i="19" s="1"/>
  <c r="E25" i="24" s="1"/>
  <c r="E19" i="19"/>
  <c r="E219" i="19" s="1"/>
  <c r="F25" i="24" s="1"/>
  <c r="F19" i="19"/>
  <c r="F219" i="19" s="1"/>
  <c r="G25" i="24" s="1"/>
  <c r="G19" i="19"/>
  <c r="G219" i="19" s="1"/>
  <c r="H25" i="24" s="1"/>
  <c r="H19" i="19"/>
  <c r="H219" i="19" s="1"/>
  <c r="I25" i="24" s="1"/>
  <c r="I19" i="19"/>
  <c r="I219" i="19" s="1"/>
  <c r="J25" i="24" s="1"/>
  <c r="J19" i="19"/>
  <c r="J219" i="19" s="1"/>
  <c r="K25" i="24" s="1"/>
  <c r="K19" i="19"/>
  <c r="K219" i="19" s="1"/>
  <c r="L25" i="24" s="1"/>
  <c r="L19" i="19"/>
  <c r="L219" i="19" s="1"/>
  <c r="M25" i="24" s="1"/>
  <c r="O49" i="19"/>
  <c r="P49" i="19" s="1"/>
  <c r="L181" i="19"/>
  <c r="L217" i="19" s="1"/>
  <c r="M23" i="24" s="1"/>
  <c r="C181" i="19"/>
  <c r="K181" i="19"/>
  <c r="K217" i="19" s="1"/>
  <c r="L23" i="24" s="1"/>
  <c r="J181" i="19"/>
  <c r="J217" i="19" s="1"/>
  <c r="K23" i="24" s="1"/>
  <c r="I181" i="19"/>
  <c r="I217" i="19" s="1"/>
  <c r="J23" i="24" s="1"/>
  <c r="H181" i="19"/>
  <c r="H217" i="19" s="1"/>
  <c r="I23" i="24" s="1"/>
  <c r="G181" i="19"/>
  <c r="G217" i="19" s="1"/>
  <c r="H23" i="24" s="1"/>
  <c r="F181" i="19"/>
  <c r="F217" i="19" s="1"/>
  <c r="G23" i="24" s="1"/>
  <c r="E181" i="19"/>
  <c r="E217" i="19" s="1"/>
  <c r="F23" i="24" s="1"/>
  <c r="D181" i="19"/>
  <c r="D217" i="19" s="1"/>
  <c r="O179" i="19"/>
  <c r="P179" i="19" s="1"/>
  <c r="T12" i="23"/>
  <c r="S12" i="23"/>
  <c r="R12" i="23"/>
  <c r="Q12" i="23"/>
  <c r="P12" i="23"/>
  <c r="O12" i="23"/>
  <c r="D24" i="22"/>
  <c r="D23" i="22"/>
  <c r="L166" i="19"/>
  <c r="L216" i="19" s="1"/>
  <c r="M22" i="24" s="1"/>
  <c r="D166" i="19"/>
  <c r="D216" i="19" s="1"/>
  <c r="E22" i="24" s="1"/>
  <c r="E166" i="19"/>
  <c r="E216" i="19" s="1"/>
  <c r="F22" i="24" s="1"/>
  <c r="F166" i="19"/>
  <c r="F216" i="19" s="1"/>
  <c r="G22" i="24" s="1"/>
  <c r="G166" i="19"/>
  <c r="G216" i="19" s="1"/>
  <c r="H22" i="24" s="1"/>
  <c r="H166" i="19"/>
  <c r="H216" i="19" s="1"/>
  <c r="I22" i="24" s="1"/>
  <c r="I166" i="19"/>
  <c r="I216" i="19" s="1"/>
  <c r="J22" i="24" s="1"/>
  <c r="O160" i="19"/>
  <c r="P160" i="19" s="1"/>
  <c r="K166" i="19"/>
  <c r="K216" i="19" s="1"/>
  <c r="L22" i="24" s="1"/>
  <c r="J166" i="19"/>
  <c r="J216" i="19" s="1"/>
  <c r="K22" i="24" s="1"/>
  <c r="N5" i="21"/>
  <c r="N14" i="21"/>
  <c r="O5" i="21"/>
  <c r="P5" i="21"/>
  <c r="P14" i="21"/>
  <c r="N6" i="21"/>
  <c r="O6" i="21"/>
  <c r="P6" i="21"/>
  <c r="N7" i="21"/>
  <c r="O7" i="21"/>
  <c r="P7" i="21"/>
  <c r="N8" i="21"/>
  <c r="O8" i="21"/>
  <c r="P8" i="21"/>
  <c r="N9" i="21"/>
  <c r="O9" i="21"/>
  <c r="P9" i="21"/>
  <c r="N10" i="21"/>
  <c r="O10" i="21"/>
  <c r="P10" i="21"/>
  <c r="N11" i="21"/>
  <c r="O11" i="21"/>
  <c r="P11" i="21"/>
  <c r="N12" i="21"/>
  <c r="O12" i="21"/>
  <c r="P12" i="21"/>
  <c r="N13" i="21"/>
  <c r="O13" i="21"/>
  <c r="P13" i="21"/>
  <c r="N19" i="21"/>
  <c r="O19" i="21"/>
  <c r="P19" i="21"/>
  <c r="P29" i="21"/>
  <c r="N20" i="21"/>
  <c r="O20" i="21"/>
  <c r="P20" i="21"/>
  <c r="N21" i="21"/>
  <c r="O21" i="21"/>
  <c r="P21" i="21"/>
  <c r="N22" i="21"/>
  <c r="P22" i="21"/>
  <c r="N23" i="21"/>
  <c r="P23" i="21"/>
  <c r="N24" i="21"/>
  <c r="P24" i="21"/>
  <c r="N25" i="21"/>
  <c r="P25" i="21"/>
  <c r="N26" i="21"/>
  <c r="P26" i="21"/>
  <c r="N27" i="21"/>
  <c r="P27" i="21"/>
  <c r="N28" i="21"/>
  <c r="P28" i="21"/>
  <c r="N29" i="21"/>
  <c r="N34" i="21"/>
  <c r="N43" i="21"/>
  <c r="P34" i="21"/>
  <c r="P43" i="21"/>
  <c r="N35" i="21"/>
  <c r="P35" i="21"/>
  <c r="N36" i="21"/>
  <c r="P36" i="21"/>
  <c r="N37" i="21"/>
  <c r="P37" i="21"/>
  <c r="N38" i="21"/>
  <c r="P38" i="21"/>
  <c r="N39" i="21"/>
  <c r="P39" i="21"/>
  <c r="N40" i="21"/>
  <c r="P40" i="21"/>
  <c r="N41" i="21"/>
  <c r="P41" i="21"/>
  <c r="N42" i="21"/>
  <c r="P42" i="21"/>
  <c r="N48" i="21"/>
  <c r="N57" i="21"/>
  <c r="P48" i="21"/>
  <c r="P57" i="21"/>
  <c r="N49" i="21"/>
  <c r="P49" i="21"/>
  <c r="N50" i="21"/>
  <c r="P50" i="21"/>
  <c r="N51" i="21"/>
  <c r="P51" i="21"/>
  <c r="N52" i="21"/>
  <c r="P52" i="21"/>
  <c r="N53" i="21"/>
  <c r="P53" i="21"/>
  <c r="N54" i="21"/>
  <c r="P54" i="21"/>
  <c r="N55" i="21"/>
  <c r="P55" i="21"/>
  <c r="N56" i="21"/>
  <c r="P56" i="21"/>
  <c r="N62" i="21"/>
  <c r="N70" i="21"/>
  <c r="P62" i="21"/>
  <c r="N63" i="21"/>
  <c r="P63" i="21"/>
  <c r="N64" i="21"/>
  <c r="P64" i="21"/>
  <c r="N65" i="21"/>
  <c r="P65" i="21"/>
  <c r="N66" i="21"/>
  <c r="P66" i="21"/>
  <c r="N67" i="21"/>
  <c r="P67" i="21"/>
  <c r="N68" i="21"/>
  <c r="P68" i="21"/>
  <c r="N69" i="21"/>
  <c r="P69" i="21"/>
  <c r="P70" i="21"/>
  <c r="N75" i="21"/>
  <c r="P75" i="21"/>
  <c r="N76" i="21"/>
  <c r="P76" i="21"/>
  <c r="N77" i="21"/>
  <c r="P77" i="21"/>
  <c r="N78" i="21"/>
  <c r="P78" i="21"/>
  <c r="N79" i="21"/>
  <c r="P79" i="21"/>
  <c r="N80" i="21"/>
  <c r="P80" i="21"/>
  <c r="N81" i="21"/>
  <c r="P81" i="21"/>
  <c r="N82" i="21"/>
  <c r="P82" i="21"/>
  <c r="N83" i="21"/>
  <c r="P83" i="21"/>
  <c r="N89" i="21"/>
  <c r="N96" i="21"/>
  <c r="P89" i="21"/>
  <c r="P96" i="21"/>
  <c r="N90" i="21"/>
  <c r="P90" i="21"/>
  <c r="N91" i="21"/>
  <c r="P91" i="21"/>
  <c r="N92" i="21"/>
  <c r="P92" i="21"/>
  <c r="N93" i="21"/>
  <c r="P93" i="21"/>
  <c r="N94" i="21"/>
  <c r="P94" i="21"/>
  <c r="N95" i="21"/>
  <c r="P95" i="21"/>
  <c r="N102" i="21"/>
  <c r="N109" i="21"/>
  <c r="P102" i="21"/>
  <c r="P109" i="21"/>
  <c r="N103" i="21"/>
  <c r="P103" i="21"/>
  <c r="N104" i="21"/>
  <c r="P104" i="21"/>
  <c r="N105" i="21"/>
  <c r="P105" i="21"/>
  <c r="N106" i="21"/>
  <c r="P106" i="21"/>
  <c r="N107" i="21"/>
  <c r="P107" i="21"/>
  <c r="N108" i="21"/>
  <c r="P108" i="21"/>
  <c r="N136" i="21"/>
  <c r="P136" i="21"/>
  <c r="D99" i="19"/>
  <c r="D209" i="19" s="1"/>
  <c r="E15" i="24" s="1"/>
  <c r="E99" i="19"/>
  <c r="E209" i="19" s="1"/>
  <c r="F15" i="24" s="1"/>
  <c r="F99" i="19"/>
  <c r="F209" i="19" s="1"/>
  <c r="G15" i="24" s="1"/>
  <c r="G99" i="19"/>
  <c r="G209" i="19" s="1"/>
  <c r="H15" i="24" s="1"/>
  <c r="H99" i="19"/>
  <c r="H209" i="19" s="1"/>
  <c r="I15" i="24" s="1"/>
  <c r="I99" i="19"/>
  <c r="I209" i="19" s="1"/>
  <c r="J15" i="24" s="1"/>
  <c r="J99" i="19"/>
  <c r="J209" i="19" s="1"/>
  <c r="K15" i="24" s="1"/>
  <c r="K99" i="19"/>
  <c r="K209" i="19" s="1"/>
  <c r="L15" i="24" s="1"/>
  <c r="L99" i="19"/>
  <c r="L209" i="19" s="1"/>
  <c r="M15" i="24" s="1"/>
  <c r="O125" i="19"/>
  <c r="P125" i="19" s="1"/>
  <c r="O126" i="19"/>
  <c r="P126" i="19" s="1"/>
  <c r="E127" i="19"/>
  <c r="E212" i="19" s="1"/>
  <c r="F18" i="24" s="1"/>
  <c r="F127" i="19"/>
  <c r="F212" i="19" s="1"/>
  <c r="G18" i="24" s="1"/>
  <c r="G127" i="19"/>
  <c r="G212" i="19" s="1"/>
  <c r="H18" i="24" s="1"/>
  <c r="H127" i="19"/>
  <c r="H212" i="19" s="1"/>
  <c r="I18" i="24" s="1"/>
  <c r="I127" i="19"/>
  <c r="I212" i="19" s="1"/>
  <c r="J18" i="24" s="1"/>
  <c r="J127" i="19"/>
  <c r="J212" i="19" s="1"/>
  <c r="K18" i="24" s="1"/>
  <c r="K127" i="19"/>
  <c r="K212" i="19" s="1"/>
  <c r="L18" i="24" s="1"/>
  <c r="L127" i="19"/>
  <c r="L212" i="19" s="1"/>
  <c r="M18" i="24" s="1"/>
  <c r="M139" i="19"/>
  <c r="N139" i="19" s="1"/>
  <c r="O139" i="19"/>
  <c r="P139" i="19" s="1"/>
  <c r="C140" i="19"/>
  <c r="D140" i="19"/>
  <c r="E140" i="19"/>
  <c r="F140" i="19"/>
  <c r="G140" i="19"/>
  <c r="H140" i="19"/>
  <c r="I140" i="19"/>
  <c r="J140" i="19"/>
  <c r="K140" i="19"/>
  <c r="L140" i="19"/>
  <c r="O145" i="19"/>
  <c r="P145" i="19" s="1"/>
  <c r="C148" i="19"/>
  <c r="D148" i="19"/>
  <c r="D215" i="19" s="1"/>
  <c r="E21" i="24" s="1"/>
  <c r="E148" i="19"/>
  <c r="E215" i="19" s="1"/>
  <c r="F21" i="24" s="1"/>
  <c r="F148" i="19"/>
  <c r="F215" i="19" s="1"/>
  <c r="G21" i="24" s="1"/>
  <c r="G148" i="19"/>
  <c r="G215" i="19" s="1"/>
  <c r="H21" i="24" s="1"/>
  <c r="H148" i="19"/>
  <c r="H215" i="19" s="1"/>
  <c r="I21" i="24" s="1"/>
  <c r="I148" i="19"/>
  <c r="I215" i="19" s="1"/>
  <c r="J21" i="24" s="1"/>
  <c r="K148" i="19"/>
  <c r="K215" i="19" s="1"/>
  <c r="L21" i="24" s="1"/>
  <c r="L148" i="19"/>
  <c r="L215" i="19" s="1"/>
  <c r="M21" i="24" s="1"/>
  <c r="O17" i="19"/>
  <c r="P17" i="19" s="1"/>
  <c r="Q11" i="23"/>
  <c r="P11" i="23"/>
  <c r="E11" i="23"/>
  <c r="T11" i="23" s="1"/>
  <c r="M11" i="23"/>
  <c r="R11" i="23" s="1"/>
  <c r="F11" i="23"/>
  <c r="P11" i="27"/>
  <c r="N11" i="27"/>
  <c r="P10" i="27"/>
  <c r="N8" i="27"/>
  <c r="P7" i="27"/>
  <c r="N7" i="27"/>
  <c r="O11" i="19"/>
  <c r="P11" i="19" s="1"/>
  <c r="M11" i="19"/>
  <c r="N11" i="19" s="1"/>
  <c r="I32" i="24"/>
  <c r="E135" i="19"/>
  <c r="C32" i="24"/>
  <c r="O32" i="24" s="1"/>
  <c r="D32" i="24"/>
  <c r="C9" i="23"/>
  <c r="O9" i="23" s="1"/>
  <c r="B6" i="27" l="1"/>
  <c r="B5" i="27"/>
  <c r="B13" i="27" s="1"/>
  <c r="C13" i="27"/>
  <c r="O163" i="19"/>
  <c r="P163" i="19" s="1"/>
  <c r="M163" i="19"/>
  <c r="N163" i="19" s="1"/>
  <c r="M165" i="19"/>
  <c r="C165" i="19"/>
  <c r="N164" i="19"/>
  <c r="P164" i="19"/>
  <c r="P153" i="19"/>
  <c r="O154" i="19"/>
  <c r="M154" i="19"/>
  <c r="N154" i="19" s="1"/>
  <c r="N132" i="19"/>
  <c r="N153" i="19"/>
  <c r="M155" i="19"/>
  <c r="C155" i="19"/>
  <c r="O133" i="19"/>
  <c r="P133" i="19" s="1"/>
  <c r="M133" i="19"/>
  <c r="C83" i="19"/>
  <c r="D83" i="19"/>
  <c r="D207" i="19" s="1"/>
  <c r="E13" i="24" s="1"/>
  <c r="E83" i="19"/>
  <c r="E207" i="19" s="1"/>
  <c r="F13" i="24" s="1"/>
  <c r="F83" i="19"/>
  <c r="F207" i="19" s="1"/>
  <c r="G13" i="24" s="1"/>
  <c r="G83" i="19"/>
  <c r="G207" i="19" s="1"/>
  <c r="H13" i="24" s="1"/>
  <c r="H83" i="19"/>
  <c r="H207" i="19" s="1"/>
  <c r="I13" i="24" s="1"/>
  <c r="I83" i="19"/>
  <c r="I207" i="19" s="1"/>
  <c r="J13" i="24" s="1"/>
  <c r="J83" i="19"/>
  <c r="J207" i="19" s="1"/>
  <c r="K13" i="24" s="1"/>
  <c r="K83" i="19"/>
  <c r="K207" i="19" s="1"/>
  <c r="L13" i="24" s="1"/>
  <c r="L83" i="19"/>
  <c r="L207" i="19" s="1"/>
  <c r="M13" i="24" s="1"/>
  <c r="P80" i="19"/>
  <c r="O83" i="19"/>
  <c r="N80" i="19"/>
  <c r="M83" i="19"/>
  <c r="P83" i="19"/>
  <c r="N82" i="19"/>
  <c r="P82" i="19"/>
  <c r="N68" i="19"/>
  <c r="M72" i="19"/>
  <c r="N71" i="19"/>
  <c r="P71" i="19"/>
  <c r="M32" i="24"/>
  <c r="J38" i="24"/>
  <c r="M38" i="24"/>
  <c r="L38" i="24"/>
  <c r="K38" i="24"/>
  <c r="D120" i="19"/>
  <c r="D211" i="19" s="1"/>
  <c r="E17" i="24" s="1"/>
  <c r="O30" i="19"/>
  <c r="P30" i="19" s="1"/>
  <c r="M30" i="19"/>
  <c r="N30" i="19" s="1"/>
  <c r="C173" i="19"/>
  <c r="D173" i="19"/>
  <c r="D218" i="19" s="1"/>
  <c r="E173" i="19"/>
  <c r="E218" i="19" s="1"/>
  <c r="F24" i="24" s="1"/>
  <c r="F173" i="19"/>
  <c r="F218" i="19" s="1"/>
  <c r="G24" i="24" s="1"/>
  <c r="G173" i="19"/>
  <c r="G218" i="19" s="1"/>
  <c r="H24" i="24" s="1"/>
  <c r="H173" i="19"/>
  <c r="H218" i="19" s="1"/>
  <c r="I24" i="24" s="1"/>
  <c r="I173" i="19"/>
  <c r="I218" i="19" s="1"/>
  <c r="J24" i="24" s="1"/>
  <c r="J173" i="19"/>
  <c r="J218" i="19" s="1"/>
  <c r="K24" i="24" s="1"/>
  <c r="K173" i="19"/>
  <c r="K218" i="19" s="1"/>
  <c r="L24" i="24" s="1"/>
  <c r="L173" i="19"/>
  <c r="L218" i="19" s="1"/>
  <c r="M24" i="24" s="1"/>
  <c r="O189" i="19"/>
  <c r="M189" i="19"/>
  <c r="M221" i="19" s="1"/>
  <c r="C186" i="19"/>
  <c r="D189" i="19"/>
  <c r="D221" i="19" s="1"/>
  <c r="C218" i="19"/>
  <c r="E24" i="24"/>
  <c r="C214" i="19"/>
  <c r="E20" i="24"/>
  <c r="C217" i="19"/>
  <c r="E23" i="24"/>
  <c r="C221" i="19"/>
  <c r="E27" i="24"/>
  <c r="B19" i="28"/>
  <c r="D9" i="28" s="1"/>
  <c r="M13" i="27"/>
  <c r="P5" i="27"/>
  <c r="O12" i="27"/>
  <c r="M12" i="27"/>
  <c r="N12" i="27" s="1"/>
  <c r="I204" i="19"/>
  <c r="J10" i="24" s="1"/>
  <c r="M33" i="24"/>
  <c r="H204" i="19"/>
  <c r="I10" i="24" s="1"/>
  <c r="L33" i="24"/>
  <c r="G204" i="19"/>
  <c r="H10" i="24" s="1"/>
  <c r="K33" i="24"/>
  <c r="F204" i="19"/>
  <c r="G10" i="24" s="1"/>
  <c r="J33" i="24"/>
  <c r="E204" i="19"/>
  <c r="F10" i="24" s="1"/>
  <c r="I33" i="24"/>
  <c r="D204" i="19"/>
  <c r="E10" i="24" s="1"/>
  <c r="H33" i="24"/>
  <c r="D38" i="24"/>
  <c r="C38" i="24"/>
  <c r="O38" i="24" s="1"/>
  <c r="S38" i="24"/>
  <c r="N55" i="19"/>
  <c r="T38" i="24"/>
  <c r="P38" i="24"/>
  <c r="Q38" i="24"/>
  <c r="R38" i="24"/>
  <c r="D9" i="23"/>
  <c r="L32" i="24"/>
  <c r="K32" i="24"/>
  <c r="J9" i="23"/>
  <c r="I9" i="23"/>
  <c r="H32" i="24"/>
  <c r="D33" i="24"/>
  <c r="C204" i="19"/>
  <c r="N37" i="19"/>
  <c r="P37" i="19"/>
  <c r="N38" i="19"/>
  <c r="P38" i="19"/>
  <c r="C209" i="19"/>
  <c r="C15" i="24"/>
  <c r="D23" i="24"/>
  <c r="C216" i="19"/>
  <c r="C219" i="19"/>
  <c r="C220" i="19"/>
  <c r="G135" i="19"/>
  <c r="G213" i="19"/>
  <c r="H19" i="24" s="1"/>
  <c r="F135" i="19"/>
  <c r="F213" i="19"/>
  <c r="G19" i="24" s="1"/>
  <c r="D135" i="19"/>
  <c r="D213" i="19"/>
  <c r="C215" i="19"/>
  <c r="C210" i="19"/>
  <c r="C205" i="19"/>
  <c r="C206" i="19"/>
  <c r="D12" i="24" s="1"/>
  <c r="C207" i="19"/>
  <c r="C208" i="19"/>
  <c r="C211" i="19"/>
  <c r="C203" i="19"/>
  <c r="C202" i="19"/>
  <c r="C201" i="19"/>
  <c r="O12" i="19"/>
  <c r="O201" i="19" s="1"/>
  <c r="N188" i="19"/>
  <c r="P188" i="19"/>
  <c r="N5" i="27"/>
  <c r="P9" i="27"/>
  <c r="C23" i="28"/>
  <c r="N13" i="27"/>
  <c r="B15" i="27" s="1"/>
  <c r="C25" i="28"/>
  <c r="M9" i="23"/>
  <c r="L9" i="23"/>
  <c r="M57" i="19"/>
  <c r="O140" i="19"/>
  <c r="P140" i="19" s="1"/>
  <c r="S11" i="23"/>
  <c r="O40" i="19"/>
  <c r="C12" i="24"/>
  <c r="Q12" i="24" s="1"/>
  <c r="L135" i="19"/>
  <c r="O11" i="23"/>
  <c r="C14" i="24"/>
  <c r="Q14" i="24" s="1"/>
  <c r="D14" i="24"/>
  <c r="D9" i="24"/>
  <c r="C9" i="24"/>
  <c r="J135" i="19"/>
  <c r="K9" i="23"/>
  <c r="H9" i="23"/>
  <c r="S9" i="23" s="1"/>
  <c r="R32" i="24"/>
  <c r="J32" i="24"/>
  <c r="Q32" i="24" s="1"/>
  <c r="C23" i="24"/>
  <c r="R23" i="24" s="1"/>
  <c r="D25" i="24"/>
  <c r="C25" i="24"/>
  <c r="P25" i="24" s="1"/>
  <c r="D26" i="24"/>
  <c r="C26" i="24"/>
  <c r="Q26" i="24" s="1"/>
  <c r="R9" i="23"/>
  <c r="M140" i="19"/>
  <c r="N140" i="19" s="1"/>
  <c r="M40" i="19"/>
  <c r="C13" i="24"/>
  <c r="R13" i="24" s="1"/>
  <c r="D13" i="24"/>
  <c r="C8" i="24"/>
  <c r="O8" i="24" s="1"/>
  <c r="D8" i="24"/>
  <c r="D27" i="24"/>
  <c r="C27" i="24"/>
  <c r="R27" i="24" s="1"/>
  <c r="C22" i="24"/>
  <c r="P22" i="24" s="1"/>
  <c r="D22" i="24"/>
  <c r="P32" i="24"/>
  <c r="S32" i="24"/>
  <c r="D21" i="24"/>
  <c r="C21" i="24"/>
  <c r="O21" i="24" s="1"/>
  <c r="C24" i="24"/>
  <c r="P24" i="24" s="1"/>
  <c r="D24" i="24"/>
  <c r="D20" i="24"/>
  <c r="C20" i="24"/>
  <c r="P20" i="24" s="1"/>
  <c r="R12" i="24"/>
  <c r="C7" i="24"/>
  <c r="R7" i="24" s="1"/>
  <c r="D7" i="24"/>
  <c r="M19" i="19"/>
  <c r="N19" i="19" s="1"/>
  <c r="N219" i="19" s="1"/>
  <c r="B21" i="20" s="1"/>
  <c r="S25" i="24" s="1"/>
  <c r="D15" i="24"/>
  <c r="R15" i="24"/>
  <c r="D17" i="24"/>
  <c r="C17" i="24"/>
  <c r="R17" i="24" s="1"/>
  <c r="C10" i="23"/>
  <c r="D10" i="23"/>
  <c r="T10" i="23" s="1"/>
  <c r="C33" i="24"/>
  <c r="O33" i="24" s="1"/>
  <c r="M195" i="19"/>
  <c r="M220" i="19" s="1"/>
  <c r="O195" i="19"/>
  <c r="P195" i="19" s="1"/>
  <c r="P220" i="19" s="1"/>
  <c r="C22" i="20" s="1"/>
  <c r="T26" i="24" s="1"/>
  <c r="O166" i="19"/>
  <c r="M181" i="19"/>
  <c r="M217" i="19" s="1"/>
  <c r="D16" i="24"/>
  <c r="C16" i="24"/>
  <c r="P16" i="24" s="1"/>
  <c r="N17" i="19"/>
  <c r="N179" i="19"/>
  <c r="O181" i="19"/>
  <c r="P181" i="19" s="1"/>
  <c r="P217" i="19" s="1"/>
  <c r="C19" i="20" s="1"/>
  <c r="T23" i="24" s="1"/>
  <c r="K135" i="19"/>
  <c r="I135" i="19"/>
  <c r="M173" i="19"/>
  <c r="N173" i="19" s="1"/>
  <c r="N218" i="19" s="1"/>
  <c r="B20" i="20" s="1"/>
  <c r="S24" i="24" s="1"/>
  <c r="O173" i="19"/>
  <c r="M99" i="19"/>
  <c r="M209" i="19" s="1"/>
  <c r="P15" i="24"/>
  <c r="O99" i="19"/>
  <c r="O209" i="19" s="1"/>
  <c r="M12" i="19"/>
  <c r="N12" i="19" s="1"/>
  <c r="N201" i="19" s="1"/>
  <c r="O148" i="19"/>
  <c r="O215" i="19" s="1"/>
  <c r="P207" i="19"/>
  <c r="C9" i="20" s="1"/>
  <c r="T13" i="24" s="1"/>
  <c r="N155" i="19"/>
  <c r="N214" i="19" s="1"/>
  <c r="B16" i="20" s="1"/>
  <c r="S20" i="24" s="1"/>
  <c r="P194" i="19"/>
  <c r="N5" i="19"/>
  <c r="O92" i="19"/>
  <c r="O208" i="19" s="1"/>
  <c r="M92" i="19"/>
  <c r="M208" i="19" s="1"/>
  <c r="O14" i="24"/>
  <c r="N83" i="19"/>
  <c r="N207" i="19" s="1"/>
  <c r="B9" i="20" s="1"/>
  <c r="S13" i="24" s="1"/>
  <c r="M206" i="19"/>
  <c r="O72" i="19"/>
  <c r="O206" i="19" s="1"/>
  <c r="O12" i="24"/>
  <c r="O120" i="19"/>
  <c r="O211" i="19" s="1"/>
  <c r="O32" i="19"/>
  <c r="P32" i="19" s="1"/>
  <c r="M32" i="19"/>
  <c r="N32" i="19" s="1"/>
  <c r="N202" i="19" s="1"/>
  <c r="B4" i="20" s="1"/>
  <c r="S8" i="24" s="1"/>
  <c r="M166" i="19"/>
  <c r="M148" i="19"/>
  <c r="O134" i="19"/>
  <c r="H135" i="19"/>
  <c r="M120" i="19"/>
  <c r="M107" i="19"/>
  <c r="M210" i="19" s="1"/>
  <c r="O107" i="19"/>
  <c r="Q15" i="24"/>
  <c r="O15" i="24"/>
  <c r="P14" i="24"/>
  <c r="P79" i="19"/>
  <c r="P12" i="24"/>
  <c r="O63" i="19"/>
  <c r="M63" i="19"/>
  <c r="T33" i="24"/>
  <c r="O57" i="19"/>
  <c r="M50" i="19"/>
  <c r="O50" i="19"/>
  <c r="N25" i="19"/>
  <c r="O19" i="19"/>
  <c r="P4" i="19"/>
  <c r="P6" i="27" l="1"/>
  <c r="N6" i="27"/>
  <c r="C166" i="19"/>
  <c r="P166" i="19" s="1"/>
  <c r="P216" i="19" s="1"/>
  <c r="C18" i="20" s="1"/>
  <c r="T22" i="24" s="1"/>
  <c r="P165" i="19"/>
  <c r="N165" i="19"/>
  <c r="P154" i="19"/>
  <c r="O155" i="19"/>
  <c r="O214" i="19" s="1"/>
  <c r="N133" i="19"/>
  <c r="M134" i="19"/>
  <c r="N134" i="19" s="1"/>
  <c r="N213" i="19" s="1"/>
  <c r="B15" i="20" s="1"/>
  <c r="S19" i="24" s="1"/>
  <c r="C189" i="19"/>
  <c r="N189" i="19" s="1"/>
  <c r="P186" i="19"/>
  <c r="N186" i="19"/>
  <c r="P189" i="19"/>
  <c r="C213" i="19"/>
  <c r="E19" i="24"/>
  <c r="D10" i="24"/>
  <c r="C10" i="24"/>
  <c r="O10" i="24"/>
  <c r="P10" i="24"/>
  <c r="R9" i="24"/>
  <c r="Q9" i="24"/>
  <c r="P9" i="24"/>
  <c r="O9" i="24"/>
  <c r="P12" i="27"/>
  <c r="O13" i="27"/>
  <c r="P13" i="27" s="1"/>
  <c r="B16" i="27" s="1"/>
  <c r="P202" i="19"/>
  <c r="C4" i="20" s="1"/>
  <c r="T8" i="24" s="1"/>
  <c r="N40" i="19"/>
  <c r="P40" i="19"/>
  <c r="P57" i="19"/>
  <c r="P204" i="19" s="1"/>
  <c r="C6" i="20" s="1"/>
  <c r="T10" i="24" s="1"/>
  <c r="O204" i="19"/>
  <c r="N57" i="19"/>
  <c r="N204" i="19" s="1"/>
  <c r="B6" i="20" s="1"/>
  <c r="S10" i="24" s="1"/>
  <c r="M204" i="19"/>
  <c r="C63" i="19"/>
  <c r="N62" i="19"/>
  <c r="P62" i="19"/>
  <c r="C24" i="28"/>
  <c r="D25" i="28"/>
  <c r="R14" i="24"/>
  <c r="Q9" i="23"/>
  <c r="T9" i="23"/>
  <c r="O24" i="24"/>
  <c r="R16" i="24"/>
  <c r="P8" i="24"/>
  <c r="Q20" i="24"/>
  <c r="P21" i="24"/>
  <c r="Q25" i="24"/>
  <c r="O23" i="24"/>
  <c r="O17" i="24"/>
  <c r="O26" i="24"/>
  <c r="Q17" i="24"/>
  <c r="R25" i="24"/>
  <c r="O16" i="24"/>
  <c r="Q27" i="24"/>
  <c r="P26" i="24"/>
  <c r="P13" i="24"/>
  <c r="O13" i="24"/>
  <c r="O20" i="24"/>
  <c r="Q13" i="24"/>
  <c r="Q23" i="24"/>
  <c r="R21" i="24"/>
  <c r="R26" i="24"/>
  <c r="R20" i="24"/>
  <c r="P9" i="23"/>
  <c r="O7" i="24"/>
  <c r="P23" i="24"/>
  <c r="C19" i="24"/>
  <c r="O19" i="24" s="1"/>
  <c r="D19" i="24"/>
  <c r="Q21" i="24"/>
  <c r="P7" i="24"/>
  <c r="O27" i="24"/>
  <c r="Q24" i="24"/>
  <c r="O25" i="24"/>
  <c r="R24" i="24"/>
  <c r="T32" i="24"/>
  <c r="Q7" i="24"/>
  <c r="Q8" i="24"/>
  <c r="P27" i="24"/>
  <c r="Q22" i="24"/>
  <c r="R8" i="24"/>
  <c r="O22" i="24"/>
  <c r="R22" i="24"/>
  <c r="M219" i="19"/>
  <c r="P17" i="24"/>
  <c r="S33" i="24"/>
  <c r="Q16" i="24"/>
  <c r="P33" i="24"/>
  <c r="R33" i="24"/>
  <c r="Q33" i="24"/>
  <c r="O10" i="23"/>
  <c r="S10" i="23"/>
  <c r="R10" i="23"/>
  <c r="Q10" i="23"/>
  <c r="P10" i="23"/>
  <c r="O216" i="19"/>
  <c r="N195" i="19"/>
  <c r="N220" i="19" s="1"/>
  <c r="B22" i="20" s="1"/>
  <c r="S26" i="24" s="1"/>
  <c r="O220" i="19"/>
  <c r="N181" i="19"/>
  <c r="N217" i="19" s="1"/>
  <c r="B19" i="20" s="1"/>
  <c r="S23" i="24" s="1"/>
  <c r="N99" i="19"/>
  <c r="N209" i="19" s="1"/>
  <c r="B11" i="20" s="1"/>
  <c r="S15" i="24" s="1"/>
  <c r="M201" i="19"/>
  <c r="O217" i="19"/>
  <c r="P99" i="19"/>
  <c r="P209" i="19" s="1"/>
  <c r="C11" i="20" s="1"/>
  <c r="T15" i="24" s="1"/>
  <c r="M135" i="19"/>
  <c r="N135" i="19" s="1"/>
  <c r="M213" i="19"/>
  <c r="M218" i="19"/>
  <c r="O218" i="19"/>
  <c r="P173" i="19"/>
  <c r="P218" i="19" s="1"/>
  <c r="C20" i="20" s="1"/>
  <c r="T24" i="24" s="1"/>
  <c r="P148" i="19"/>
  <c r="P215" i="19" s="1"/>
  <c r="C17" i="20" s="1"/>
  <c r="T21" i="24" s="1"/>
  <c r="O207" i="19"/>
  <c r="P155" i="19"/>
  <c r="P214" i="19" s="1"/>
  <c r="C16" i="20" s="1"/>
  <c r="T20" i="24" s="1"/>
  <c r="M214" i="19"/>
  <c r="O221" i="19"/>
  <c r="S27" i="24"/>
  <c r="M207" i="19"/>
  <c r="O202" i="19"/>
  <c r="P12" i="19"/>
  <c r="P201" i="19" s="1"/>
  <c r="N107" i="19"/>
  <c r="N210" i="19" s="1"/>
  <c r="B12" i="20" s="1"/>
  <c r="S16" i="24" s="1"/>
  <c r="P92" i="19"/>
  <c r="P208" i="19" s="1"/>
  <c r="C10" i="20" s="1"/>
  <c r="T14" i="24" s="1"/>
  <c r="N92" i="19"/>
  <c r="N208" i="19" s="1"/>
  <c r="B10" i="20" s="1"/>
  <c r="S14" i="24" s="1"/>
  <c r="N72" i="19"/>
  <c r="N206" i="19" s="1"/>
  <c r="B8" i="20" s="1"/>
  <c r="S12" i="24" s="1"/>
  <c r="P72" i="19"/>
  <c r="P206" i="19" s="1"/>
  <c r="C8" i="20" s="1"/>
  <c r="T12" i="24" s="1"/>
  <c r="P120" i="19"/>
  <c r="P211" i="19" s="1"/>
  <c r="C13" i="20" s="1"/>
  <c r="T17" i="24" s="1"/>
  <c r="M202" i="19"/>
  <c r="N166" i="19"/>
  <c r="N216" i="19" s="1"/>
  <c r="B18" i="20" s="1"/>
  <c r="S22" i="24" s="1"/>
  <c r="M216" i="19"/>
  <c r="M215" i="19"/>
  <c r="N148" i="19"/>
  <c r="N215" i="19" s="1"/>
  <c r="B17" i="20" s="1"/>
  <c r="S21" i="24" s="1"/>
  <c r="P134" i="19"/>
  <c r="P213" i="19" s="1"/>
  <c r="C15" i="20" s="1"/>
  <c r="T19" i="24" s="1"/>
  <c r="O213" i="19"/>
  <c r="O135" i="19"/>
  <c r="P135" i="19" s="1"/>
  <c r="M211" i="19"/>
  <c r="N120" i="19"/>
  <c r="N211" i="19" s="1"/>
  <c r="B13" i="20" s="1"/>
  <c r="S17" i="24" s="1"/>
  <c r="P107" i="19"/>
  <c r="P210" i="19" s="1"/>
  <c r="C12" i="20" s="1"/>
  <c r="T16" i="24" s="1"/>
  <c r="O210" i="19"/>
  <c r="N63" i="19"/>
  <c r="N205" i="19" s="1"/>
  <c r="B7" i="20" s="1"/>
  <c r="S11" i="24" s="1"/>
  <c r="M205" i="19"/>
  <c r="O205" i="19"/>
  <c r="P63" i="19"/>
  <c r="P205" i="19" s="1"/>
  <c r="C7" i="20" s="1"/>
  <c r="T11" i="24" s="1"/>
  <c r="P50" i="19"/>
  <c r="P203" i="19" s="1"/>
  <c r="C5" i="20" s="1"/>
  <c r="T9" i="24" s="1"/>
  <c r="O203" i="19"/>
  <c r="N50" i="19"/>
  <c r="N203" i="19" s="1"/>
  <c r="M203" i="19"/>
  <c r="O219" i="19"/>
  <c r="P19" i="19"/>
  <c r="P219" i="19" s="1"/>
  <c r="C21" i="20" s="1"/>
  <c r="T25" i="24" s="1"/>
  <c r="B3" i="20"/>
  <c r="S7" i="24" s="1"/>
  <c r="R10" i="24" l="1"/>
  <c r="Q10" i="24"/>
  <c r="B5" i="20"/>
  <c r="S9" i="24" s="1"/>
  <c r="C3" i="20"/>
  <c r="T7" i="24" s="1"/>
  <c r="D11" i="24"/>
  <c r="C11" i="24"/>
  <c r="D24" i="28"/>
  <c r="D14" i="28"/>
  <c r="D15" i="28"/>
  <c r="D12" i="28"/>
  <c r="D10" i="28"/>
  <c r="D11" i="28"/>
  <c r="E5" i="28"/>
  <c r="D18" i="28"/>
  <c r="D13" i="28"/>
  <c r="D17" i="28"/>
  <c r="D16" i="28"/>
  <c r="D23" i="28"/>
  <c r="P19" i="24"/>
  <c r="Q19" i="24"/>
  <c r="R19" i="24"/>
  <c r="T27" i="24"/>
  <c r="R11" i="24" l="1"/>
  <c r="P11" i="24"/>
  <c r="O11" i="24"/>
  <c r="Q11" i="24"/>
  <c r="D127" i="19"/>
  <c r="D212" i="19"/>
  <c r="E18" i="24" s="1"/>
  <c r="C212" i="19"/>
  <c r="C18" i="24" s="1"/>
  <c r="D18" i="24"/>
  <c r="C127" i="19"/>
  <c r="O18" i="24" l="1"/>
  <c r="P18" i="24"/>
  <c r="Q18" i="24"/>
  <c r="R18" i="24"/>
  <c r="M127" i="19"/>
  <c r="O127" i="19"/>
  <c r="P127" i="19" l="1"/>
  <c r="P212" i="19" s="1"/>
  <c r="P222" i="19" s="1"/>
  <c r="O212" i="19"/>
  <c r="N127" i="19"/>
  <c r="N212" i="19" s="1"/>
  <c r="N222" i="19" s="1"/>
  <c r="M212" i="19"/>
  <c r="B14" i="20" l="1"/>
  <c r="S18" i="24" s="1"/>
  <c r="C14" i="20"/>
  <c r="T18" i="24" s="1"/>
</calcChain>
</file>

<file path=xl/sharedStrings.xml><?xml version="1.0" encoding="utf-8"?>
<sst xmlns="http://schemas.openxmlformats.org/spreadsheetml/2006/main" count="1137" uniqueCount="222">
  <si>
    <t>BAHASA MELAYU (1201)</t>
  </si>
  <si>
    <t xml:space="preserve">    Distinction</t>
  </si>
  <si>
    <t xml:space="preserve">        Credit</t>
  </si>
  <si>
    <t xml:space="preserve">       Pass</t>
  </si>
  <si>
    <t>Fail</t>
  </si>
  <si>
    <t>Class</t>
  </si>
  <si>
    <t>Taught By</t>
  </si>
  <si>
    <t>Total</t>
  </si>
  <si>
    <t>A*</t>
  </si>
  <si>
    <t>A2</t>
  </si>
  <si>
    <t>B3</t>
  </si>
  <si>
    <t>B4</t>
  </si>
  <si>
    <t>C5</t>
  </si>
  <si>
    <t>C6</t>
  </si>
  <si>
    <t>D7</t>
  </si>
  <si>
    <t>E8</t>
  </si>
  <si>
    <t>U</t>
  </si>
  <si>
    <t>Total
1-6</t>
  </si>
  <si>
    <t>%
1-6</t>
  </si>
  <si>
    <t>Total
1-8</t>
  </si>
  <si>
    <t>%
1-8</t>
  </si>
  <si>
    <t>11D</t>
  </si>
  <si>
    <t>CG HAJI HABIL</t>
  </si>
  <si>
    <t>11I</t>
  </si>
  <si>
    <t>CG AMALINA</t>
  </si>
  <si>
    <t>11S</t>
  </si>
  <si>
    <t>11C</t>
  </si>
  <si>
    <t>11O</t>
  </si>
  <si>
    <t>CG HAJI HABIL;</t>
  </si>
  <si>
    <t>11V</t>
  </si>
  <si>
    <t>CG HAJAH NOORAINI</t>
  </si>
  <si>
    <t>11E</t>
  </si>
  <si>
    <t>11R</t>
  </si>
  <si>
    <t>Overall</t>
  </si>
  <si>
    <t>SASTERA (2023)</t>
  </si>
  <si>
    <t>CG UMMI SAHIRAH</t>
  </si>
  <si>
    <t>ENGLISH LANGUAGE (1120)</t>
  </si>
  <si>
    <t>CG ASFARINA</t>
  </si>
  <si>
    <t>CG CHANTELLE</t>
  </si>
  <si>
    <t>CG HAJAH MARIAH</t>
  </si>
  <si>
    <t>IG ICT</t>
  </si>
  <si>
    <t>GRADE</t>
  </si>
  <si>
    <t>A</t>
  </si>
  <si>
    <t>B</t>
  </si>
  <si>
    <t>C</t>
  </si>
  <si>
    <t>D</t>
  </si>
  <si>
    <t>E</t>
  </si>
  <si>
    <t>F</t>
  </si>
  <si>
    <t>G</t>
  </si>
  <si>
    <t>Total   C</t>
  </si>
  <si>
    <t xml:space="preserve">%
C </t>
  </si>
  <si>
    <t>Total
C - G</t>
  </si>
  <si>
    <t>%
C - G</t>
  </si>
  <si>
    <t>MATHEMATICS D (4024)</t>
  </si>
  <si>
    <t>CG ANI AFIFAH</t>
  </si>
  <si>
    <t>CG IQZAL</t>
  </si>
  <si>
    <t>CG ZUNAINAH</t>
  </si>
  <si>
    <t>MATHEMATICS IGCSE - CORE (0580)</t>
  </si>
  <si>
    <t>Total
C</t>
  </si>
  <si>
    <t>%
C</t>
  </si>
  <si>
    <t>Total
C-G</t>
  </si>
  <si>
    <t>%
C-G</t>
  </si>
  <si>
    <t>HAJAH SOFINAH</t>
  </si>
  <si>
    <t>ADDITIONAL MATHEMATICS (4037)</t>
  </si>
  <si>
    <t>PHYSICS (5054)</t>
  </si>
  <si>
    <t>CG CHONG CHEW HAH</t>
  </si>
  <si>
    <t>CG AQLAN</t>
  </si>
  <si>
    <t>CHEMISTRY (5070)</t>
  </si>
  <si>
    <t>CG SITI NURUL ASYIKEN</t>
  </si>
  <si>
    <t>CG AZIEMAH</t>
  </si>
  <si>
    <t>BIOLOGY (5090)</t>
  </si>
  <si>
    <t>LIM YEN SHAN</t>
  </si>
  <si>
    <t>CG MOHD KHAIRUL AZMI</t>
  </si>
  <si>
    <t>COMBINED SCIENCE (5129)</t>
  </si>
  <si>
    <t>Y11E</t>
  </si>
  <si>
    <t>CG LINA HASRINA</t>
  </si>
  <si>
    <t>Y11R</t>
  </si>
  <si>
    <t>GEOGRAPHY (2230)</t>
  </si>
  <si>
    <t>Y11S</t>
  </si>
  <si>
    <t>CG MAZLINA</t>
  </si>
  <si>
    <t>Y11O</t>
  </si>
  <si>
    <t>Y11V</t>
  </si>
  <si>
    <t>CG EZDIANI</t>
  </si>
  <si>
    <t>ISLAMIC RELIGIOUS KNOWLEDGE (2047)</t>
  </si>
  <si>
    <t>USTAZAH HAJAH RAHIJAH</t>
  </si>
  <si>
    <t>USTAZAH NORALAM</t>
  </si>
  <si>
    <t>USTAZAH SITI MARDYANA</t>
  </si>
  <si>
    <t>HISTORY (2171)</t>
  </si>
  <si>
    <t>Y11I</t>
  </si>
  <si>
    <t>CG ASNAH</t>
  </si>
  <si>
    <t>Y11C</t>
  </si>
  <si>
    <t>COMMERCE (7100)</t>
  </si>
  <si>
    <t>CG KHUZAIMAH</t>
  </si>
  <si>
    <t>ECONOMICS</t>
  </si>
  <si>
    <t>ACCOUNTING (7077)</t>
  </si>
  <si>
    <t>CG MASTUNAH</t>
  </si>
  <si>
    <t>CG TANG POW GIOK</t>
  </si>
  <si>
    <t>ECONOMICS (2281)</t>
  </si>
  <si>
    <t>CG DALINA</t>
  </si>
  <si>
    <t>ART &amp; DESIGN (6089)</t>
  </si>
  <si>
    <t>CG ANI FIVIVIANTY</t>
  </si>
  <si>
    <t>CG HAJAH NUR IZZAH</t>
  </si>
  <si>
    <t>AGRICULTURE (5038)</t>
  </si>
  <si>
    <t>CG HAJAH SITI AMINAH</t>
  </si>
  <si>
    <t>FOOD &amp; NUTRITION (6065)</t>
  </si>
  <si>
    <t>CG DK NURUR RAHIMMAH</t>
  </si>
  <si>
    <t>COMPUTER SCIENCE (2210)</t>
  </si>
  <si>
    <t>CG DK ERNA</t>
  </si>
  <si>
    <t>CG DK NORHASMIMIWATI</t>
  </si>
  <si>
    <t>Distinction</t>
  </si>
  <si>
    <t>Credit</t>
  </si>
  <si>
    <t>Pass</t>
  </si>
  <si>
    <t>Subject</t>
  </si>
  <si>
    <t>A*1</t>
  </si>
  <si>
    <t>B.Melayu</t>
  </si>
  <si>
    <t>English Language</t>
  </si>
  <si>
    <t>Mathematics D</t>
  </si>
  <si>
    <t>Mathematics IGCSE (Core)</t>
  </si>
  <si>
    <t>Additional Maths</t>
  </si>
  <si>
    <t>Physics</t>
  </si>
  <si>
    <t>Chemistry</t>
  </si>
  <si>
    <t>Biology</t>
  </si>
  <si>
    <t>Combined Science</t>
  </si>
  <si>
    <t>Geography</t>
  </si>
  <si>
    <t>IRK</t>
  </si>
  <si>
    <t>History</t>
  </si>
  <si>
    <t>Commerce</t>
  </si>
  <si>
    <t>Economics</t>
  </si>
  <si>
    <t>Accounting</t>
  </si>
  <si>
    <t>Art &amp; Design</t>
  </si>
  <si>
    <t>Food &amp; Nutrition</t>
  </si>
  <si>
    <t>Agriculture</t>
  </si>
  <si>
    <t>Sastera</t>
  </si>
  <si>
    <t>Computer Science</t>
  </si>
  <si>
    <t>Average</t>
  </si>
  <si>
    <t>Subjects</t>
  </si>
  <si>
    <t>Class + No of stdn</t>
  </si>
  <si>
    <t>Class Avg</t>
  </si>
  <si>
    <t>10Sci2 (26)</t>
  </si>
  <si>
    <t>10Sci3 (25)</t>
  </si>
  <si>
    <t>10A (31)</t>
  </si>
  <si>
    <t>10M (30)</t>
  </si>
  <si>
    <t>10B (31)</t>
  </si>
  <si>
    <t>10E (32)</t>
  </si>
  <si>
    <t>10R (31)</t>
  </si>
  <si>
    <t>Menengah 4A</t>
  </si>
  <si>
    <t>English</t>
  </si>
  <si>
    <t>Maths</t>
  </si>
  <si>
    <t>Add Maths</t>
  </si>
  <si>
    <t>Computer</t>
  </si>
  <si>
    <t>Menengah 4B</t>
  </si>
  <si>
    <t>POA</t>
  </si>
  <si>
    <t>Menengah 4C</t>
  </si>
  <si>
    <t>Comb Sc</t>
  </si>
  <si>
    <t>Agr Sc</t>
  </si>
  <si>
    <t>Menengah 4D</t>
  </si>
  <si>
    <t>Art</t>
  </si>
  <si>
    <t>Menengah 4E</t>
  </si>
  <si>
    <t>Menengah 4F</t>
  </si>
  <si>
    <t>Menengah 4G</t>
  </si>
  <si>
    <t>Menengah 4H</t>
  </si>
  <si>
    <t>B.Mel</t>
  </si>
  <si>
    <t>Eng</t>
  </si>
  <si>
    <t>A Math</t>
  </si>
  <si>
    <t>Phy</t>
  </si>
  <si>
    <t>Chem</t>
  </si>
  <si>
    <t>Bio</t>
  </si>
  <si>
    <t>C Sci</t>
  </si>
  <si>
    <t>Geog</t>
  </si>
  <si>
    <t>His</t>
  </si>
  <si>
    <t>Comm</t>
  </si>
  <si>
    <t>Eco</t>
  </si>
  <si>
    <t>Comp</t>
  </si>
  <si>
    <t>A Sci</t>
  </si>
  <si>
    <t>Sas</t>
  </si>
  <si>
    <t>Sub</t>
  </si>
  <si>
    <t>Y10 MID YEAR EXAMINATION 2016</t>
  </si>
  <si>
    <t xml:space="preserve">SEKOLAH MENENGAH PG ANAK PUTERI HAJAH MASNA </t>
  </si>
  <si>
    <t>IGCSE SUBJECTS</t>
  </si>
  <si>
    <t>NUMBER OF CANDIDATES OBTAINING</t>
  </si>
  <si>
    <t>PERCENTAGE FOR GRADES</t>
  </si>
  <si>
    <t>NO. OF CANDIDATE</t>
  </si>
  <si>
    <t>ABSENT</t>
  </si>
  <si>
    <t>REGISTERED</t>
  </si>
  <si>
    <t>SAT</t>
  </si>
  <si>
    <t>X</t>
  </si>
  <si>
    <t>A*- A</t>
  </si>
  <si>
    <t>B-C</t>
  </si>
  <si>
    <t>D-G</t>
  </si>
  <si>
    <t>%
A* - C</t>
  </si>
  <si>
    <t>%
A* - G</t>
  </si>
  <si>
    <t>IGCSE English E2L 
(Core)</t>
  </si>
  <si>
    <t>IGCSE Mathematics 
(Core)</t>
  </si>
  <si>
    <t>IGCSE PE
(Extended)</t>
  </si>
  <si>
    <t>IGCSE ICT 
(Extended)</t>
  </si>
  <si>
    <t>SEKOLAH MENENGAH PG ANAK PUTERI HAJAH MASNA</t>
  </si>
  <si>
    <t>OVERALL RESULTS - YEAR 11 QUALIFYING EXAMINATION  2026</t>
  </si>
  <si>
    <t>REMARKS</t>
  </si>
  <si>
    <t>NO. OF CANDIDATES</t>
  </si>
  <si>
    <t>1-2</t>
  </si>
  <si>
    <t>3-6</t>
  </si>
  <si>
    <t>7-8</t>
  </si>
  <si>
    <t>9</t>
  </si>
  <si>
    <t xml:space="preserve">No. Of Candidate Registered </t>
  </si>
  <si>
    <t>No. Of Candidate Sitting</t>
  </si>
  <si>
    <t>Withdrawn</t>
  </si>
  <si>
    <t>Credit Attained</t>
  </si>
  <si>
    <t>No. Of Student</t>
  </si>
  <si>
    <t>%</t>
  </si>
  <si>
    <t>No. of 
Student</t>
  </si>
  <si>
    <t>4 or more Credits</t>
  </si>
  <si>
    <t>5 or more Credits</t>
  </si>
  <si>
    <t>YEAR 11 QUALIFYING EXAMINATION 2026</t>
  </si>
  <si>
    <t>No. of Candidates</t>
  </si>
  <si>
    <t>No. of Credits Obtained</t>
  </si>
  <si>
    <t>5 'O' &amp; above</t>
  </si>
  <si>
    <t>3 'O' &amp; above</t>
  </si>
  <si>
    <t>Total No. of Candidates</t>
  </si>
  <si>
    <t>% obtained 5'O' &amp; above</t>
  </si>
  <si>
    <t>% obtained 3'O' &amp; above</t>
  </si>
  <si>
    <t>No. Of Students</t>
  </si>
  <si>
    <t>3 or more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</si>
</sst>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Helv"/>
    </font>
    <font>
      <b/>
      <sz val="14"/>
      <name val="Helv"/>
    </font>
    <font>
      <b/>
      <sz val="8"/>
      <name val="Arial"/>
      <family val="2"/>
    </font>
    <font>
      <b/>
      <sz val="11"/>
      <name val="Arial"/>
      <family val="2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b/>
      <sz val="24"/>
      <color indexed="8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20"/>
      <color rgb="FF0000FF"/>
      <name val="Arial"/>
      <family val="2"/>
    </font>
    <font>
      <b/>
      <sz val="18"/>
      <color rgb="FF0000FF"/>
      <name val="Arial"/>
      <family val="2"/>
    </font>
    <font>
      <sz val="12"/>
      <color rgb="FF0000FF"/>
      <name val="Arial"/>
      <family val="2"/>
    </font>
    <font>
      <b/>
      <sz val="24"/>
      <color rgb="FF0000FF"/>
      <name val="Arial"/>
      <family val="2"/>
    </font>
    <font>
      <b/>
      <sz val="24"/>
      <color rgb="FF0000FF"/>
      <name val="Calibri"/>
      <family val="2"/>
    </font>
    <font>
      <i/>
      <sz val="22"/>
      <color rgb="FF0000FF"/>
      <name val="Calibri"/>
      <family val="2"/>
    </font>
    <font>
      <b/>
      <sz val="12"/>
      <color rgb="FF0000FF"/>
      <name val="Arial"/>
      <family val="2"/>
    </font>
    <font>
      <sz val="10"/>
      <color theme="1"/>
      <name val="Arial"/>
      <family val="2"/>
    </font>
    <font>
      <sz val="12"/>
      <name val="Arial"/>
    </font>
    <font>
      <sz val="12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14" fillId="0" borderId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0" borderId="0" xfId="0" applyFont="1"/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2" borderId="0" xfId="0" applyFont="1" applyFill="1"/>
    <xf numFmtId="164" fontId="8" fillId="2" borderId="0" xfId="0" applyNumberFormat="1" applyFont="1" applyFill="1" applyAlignment="1">
      <alignment horizontal="center"/>
    </xf>
    <xf numFmtId="0" fontId="7" fillId="0" borderId="0" xfId="0" applyFont="1"/>
    <xf numFmtId="164" fontId="8" fillId="0" borderId="0" xfId="0" applyNumberFormat="1" applyFont="1" applyAlignment="1">
      <alignment horizontal="center"/>
    </xf>
    <xf numFmtId="1" fontId="7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4" xfId="0" applyNumberFormat="1" applyBorder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4" xfId="0" applyFont="1" applyBorder="1" applyAlignment="1">
      <alignment horizontal="left"/>
    </xf>
    <xf numFmtId="164" fontId="9" fillId="0" borderId="0" xfId="0" applyNumberFormat="1" applyFont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left"/>
    </xf>
    <xf numFmtId="18" fontId="2" fillId="0" borderId="4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0" fillId="0" borderId="0" xfId="0" applyFont="1"/>
    <xf numFmtId="0" fontId="0" fillId="0" borderId="4" xfId="0" applyBorder="1" applyAlignment="1">
      <alignment horizontal="center" vertical="center"/>
    </xf>
    <xf numFmtId="0" fontId="26" fillId="0" borderId="4" xfId="1" applyFont="1" applyBorder="1" applyAlignment="1">
      <alignment horizontal="center"/>
    </xf>
    <xf numFmtId="0" fontId="26" fillId="0" borderId="0" xfId="2" applyFont="1"/>
    <xf numFmtId="0" fontId="27" fillId="0" borderId="0" xfId="0" applyFont="1"/>
    <xf numFmtId="0" fontId="28" fillId="0" borderId="4" xfId="1" applyFont="1" applyBorder="1" applyAlignment="1">
      <alignment horizontal="center" vertical="center" wrapText="1"/>
    </xf>
    <xf numFmtId="0" fontId="28" fillId="0" borderId="4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2" fontId="26" fillId="0" borderId="4" xfId="1" applyNumberFormat="1" applyFont="1" applyBorder="1" applyAlignment="1">
      <alignment horizontal="center"/>
    </xf>
    <xf numFmtId="0" fontId="4" fillId="0" borderId="0" xfId="1"/>
    <xf numFmtId="0" fontId="15" fillId="0" borderId="0" xfId="3" applyFont="1" applyAlignment="1">
      <alignment horizontal="center"/>
    </xf>
    <xf numFmtId="0" fontId="29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31" fillId="0" borderId="4" xfId="3" applyFont="1" applyBorder="1" applyAlignment="1">
      <alignment horizontal="center" vertical="center"/>
    </xf>
    <xf numFmtId="165" fontId="26" fillId="0" borderId="4" xfId="3" applyNumberFormat="1" applyFont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/>
    </xf>
    <xf numFmtId="0" fontId="8" fillId="0" borderId="0" xfId="0" applyFont="1"/>
    <xf numFmtId="0" fontId="11" fillId="0" borderId="0" xfId="0" applyFont="1"/>
    <xf numFmtId="0" fontId="12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1" fillId="0" borderId="0" xfId="1" applyFont="1"/>
    <xf numFmtId="0" fontId="16" fillId="0" borderId="4" xfId="1" applyFont="1" applyBorder="1" applyAlignment="1">
      <alignment horizontal="center" vertical="center"/>
    </xf>
    <xf numFmtId="0" fontId="4" fillId="2" borderId="0" xfId="1" applyFill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4" fillId="2" borderId="4" xfId="1" applyFill="1" applyBorder="1" applyAlignment="1">
      <alignment horizontal="center" vertical="center"/>
    </xf>
    <xf numFmtId="0" fontId="11" fillId="0" borderId="4" xfId="1" applyFont="1" applyBorder="1"/>
    <xf numFmtId="49" fontId="2" fillId="2" borderId="4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165" fontId="4" fillId="0" borderId="4" xfId="1" applyNumberForma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0" fontId="4" fillId="0" borderId="4" xfId="1" applyNumberFormat="1" applyBorder="1" applyAlignment="1">
      <alignment horizontal="center" vertical="center"/>
    </xf>
    <xf numFmtId="165" fontId="17" fillId="0" borderId="4" xfId="1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1" fillId="5" borderId="0" xfId="1" applyFont="1" applyFill="1"/>
    <xf numFmtId="0" fontId="3" fillId="0" borderId="4" xfId="0" applyFont="1" applyBorder="1" applyAlignment="1">
      <alignment horizontal="center" vertical="center"/>
    </xf>
    <xf numFmtId="164" fontId="0" fillId="0" borderId="0" xfId="0" applyNumberFormat="1"/>
    <xf numFmtId="164" fontId="2" fillId="0" borderId="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wrapText="1"/>
    </xf>
    <xf numFmtId="164" fontId="0" fillId="0" borderId="0" xfId="0" applyNumberFormat="1" applyAlignment="1">
      <alignment horizontal="center" vertical="center"/>
    </xf>
    <xf numFmtId="164" fontId="10" fillId="0" borderId="0" xfId="0" applyNumberFormat="1" applyFont="1"/>
    <xf numFmtId="164" fontId="10" fillId="2" borderId="0" xfId="0" applyNumberFormat="1" applyFont="1" applyFill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0" fontId="9" fillId="0" borderId="0" xfId="1" applyFont="1"/>
    <xf numFmtId="0" fontId="9" fillId="0" borderId="0" xfId="1" applyFont="1" applyAlignment="1">
      <alignment horizont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165" fontId="9" fillId="0" borderId="8" xfId="1" applyNumberFormat="1" applyFont="1" applyBorder="1" applyAlignment="1">
      <alignment horizontal="center" vertical="center"/>
    </xf>
    <xf numFmtId="165" fontId="9" fillId="0" borderId="9" xfId="1" applyNumberFormat="1" applyFont="1" applyBorder="1" applyAlignment="1">
      <alignment horizontal="center" vertical="center"/>
    </xf>
    <xf numFmtId="0" fontId="18" fillId="0" borderId="4" xfId="1" applyFont="1" applyBorder="1" applyAlignment="1">
      <alignment horizontal="center"/>
    </xf>
    <xf numFmtId="0" fontId="18" fillId="0" borderId="0" xfId="2" applyFont="1"/>
    <xf numFmtId="0" fontId="19" fillId="0" borderId="0" xfId="1" applyFont="1"/>
    <xf numFmtId="0" fontId="20" fillId="0" borderId="4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165" fontId="18" fillId="0" borderId="4" xfId="1" applyNumberFormat="1" applyFont="1" applyBorder="1" applyAlignment="1">
      <alignment horizontal="center"/>
    </xf>
    <xf numFmtId="0" fontId="21" fillId="0" borderId="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/>
    </xf>
    <xf numFmtId="0" fontId="23" fillId="0" borderId="4" xfId="3" applyFont="1" applyBorder="1" applyAlignment="1">
      <alignment horizontal="center" vertical="center"/>
    </xf>
    <xf numFmtId="10" fontId="18" fillId="0" borderId="4" xfId="3" applyNumberFormat="1" applyFont="1" applyBorder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164" fontId="1" fillId="0" borderId="4" xfId="4" applyNumberFormat="1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25" fillId="0" borderId="0" xfId="1" applyFont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left"/>
    </xf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0" fillId="2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9" fillId="0" borderId="18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165" fontId="9" fillId="0" borderId="26" xfId="1" applyNumberFormat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165" fontId="9" fillId="0" borderId="28" xfId="1" applyNumberFormat="1" applyFont="1" applyBorder="1" applyAlignment="1">
      <alignment horizontal="center" vertical="center"/>
    </xf>
    <xf numFmtId="165" fontId="9" fillId="0" borderId="29" xfId="1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64" fontId="10" fillId="2" borderId="7" xfId="0" applyNumberFormat="1" applyFont="1" applyFill="1" applyBorder="1" applyAlignment="1">
      <alignment horizontal="center" vertical="center"/>
    </xf>
    <xf numFmtId="164" fontId="10" fillId="2" borderId="16" xfId="0" applyNumberFormat="1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right" vertical="center"/>
    </xf>
    <xf numFmtId="164" fontId="10" fillId="2" borderId="36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right" vertical="center"/>
    </xf>
    <xf numFmtId="0" fontId="3" fillId="2" borderId="38" xfId="0" applyFont="1" applyFill="1" applyBorder="1" applyAlignment="1">
      <alignment horizontal="right" vertical="center"/>
    </xf>
    <xf numFmtId="0" fontId="9" fillId="5" borderId="4" xfId="1" applyFont="1" applyFill="1" applyBorder="1" applyAlignment="1">
      <alignment horizontal="center" vertical="center"/>
    </xf>
    <xf numFmtId="0" fontId="46" fillId="0" borderId="4" xfId="1" applyFont="1" applyBorder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47" fillId="6" borderId="4" xfId="0" applyFont="1" applyFill="1" applyBorder="1" applyAlignment="1">
      <alignment horizontal="center" vertical="center"/>
    </xf>
    <xf numFmtId="0" fontId="46" fillId="0" borderId="35" xfId="1" applyFont="1" applyBorder="1" applyAlignment="1">
      <alignment horizontal="center" vertical="center"/>
    </xf>
    <xf numFmtId="0" fontId="46" fillId="0" borderId="34" xfId="1" applyFont="1" applyBorder="1" applyAlignment="1">
      <alignment horizontal="center" vertical="center"/>
    </xf>
    <xf numFmtId="0" fontId="47" fillId="6" borderId="34" xfId="0" applyFont="1" applyFill="1" applyBorder="1" applyAlignment="1">
      <alignment horizontal="center" vertical="center"/>
    </xf>
    <xf numFmtId="0" fontId="47" fillId="6" borderId="35" xfId="0" applyFont="1" applyFill="1" applyBorder="1" applyAlignment="1">
      <alignment horizontal="center" vertical="center"/>
    </xf>
    <xf numFmtId="0" fontId="46" fillId="0" borderId="13" xfId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9" fillId="7" borderId="12" xfId="1" applyFont="1" applyFill="1" applyBorder="1" applyAlignment="1">
      <alignment horizontal="center" vertical="center"/>
    </xf>
    <xf numFmtId="0" fontId="9" fillId="7" borderId="33" xfId="1" applyFont="1" applyFill="1" applyBorder="1" applyAlignment="1">
      <alignment horizontal="center" vertical="center"/>
    </xf>
    <xf numFmtId="0" fontId="9" fillId="7" borderId="8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0" fillId="2" borderId="4" xfId="1" applyFont="1" applyFill="1" applyBorder="1" applyAlignment="1">
      <alignment horizontal="left" vertical="center" wrapText="1"/>
    </xf>
    <xf numFmtId="0" fontId="40" fillId="2" borderId="4" xfId="1" applyFont="1" applyFill="1" applyBorder="1" applyAlignment="1">
      <alignment horizontal="left" vertical="center"/>
    </xf>
    <xf numFmtId="0" fontId="44" fillId="2" borderId="4" xfId="1" applyFont="1" applyFill="1" applyBorder="1" applyAlignment="1">
      <alignment horizontal="left" vertical="center" wrapText="1"/>
    </xf>
    <xf numFmtId="0" fontId="44" fillId="2" borderId="4" xfId="1" applyFont="1" applyFill="1" applyBorder="1" applyAlignment="1">
      <alignment horizontal="left" vertical="center"/>
    </xf>
    <xf numFmtId="0" fontId="44" fillId="5" borderId="1" xfId="0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8" fillId="0" borderId="0" xfId="1" applyFont="1" applyAlignment="1">
      <alignment horizontal="center"/>
    </xf>
    <xf numFmtId="0" fontId="39" fillId="0" borderId="0" xfId="1" applyFont="1" applyAlignment="1">
      <alignment horizontal="center"/>
    </xf>
    <xf numFmtId="0" fontId="26" fillId="0" borderId="1" xfId="1" applyFont="1" applyBorder="1" applyAlignment="1">
      <alignment horizontal="center"/>
    </xf>
    <xf numFmtId="0" fontId="26" fillId="0" borderId="2" xfId="1" applyFont="1" applyBorder="1" applyAlignment="1">
      <alignment horizontal="center"/>
    </xf>
    <xf numFmtId="0" fontId="28" fillId="0" borderId="1" xfId="1" applyFont="1" applyBorder="1" applyAlignment="1">
      <alignment horizontal="center"/>
    </xf>
    <xf numFmtId="0" fontId="28" fillId="0" borderId="3" xfId="1" applyFont="1" applyBorder="1" applyAlignment="1">
      <alignment horizontal="center"/>
    </xf>
    <xf numFmtId="0" fontId="28" fillId="0" borderId="2" xfId="1" applyFont="1" applyBorder="1" applyAlignment="1">
      <alignment horizontal="center"/>
    </xf>
    <xf numFmtId="0" fontId="28" fillId="0" borderId="1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 wrapText="1"/>
    </xf>
    <xf numFmtId="0" fontId="34" fillId="0" borderId="1" xfId="3" applyFont="1" applyBorder="1" applyAlignment="1">
      <alignment horizontal="center" vertical="center"/>
    </xf>
    <xf numFmtId="0" fontId="34" fillId="0" borderId="2" xfId="3" applyFont="1" applyBorder="1" applyAlignment="1">
      <alignment horizontal="center" vertical="center"/>
    </xf>
    <xf numFmtId="0" fontId="28" fillId="0" borderId="4" xfId="1" applyFont="1" applyBorder="1" applyAlignment="1">
      <alignment horizontal="center"/>
    </xf>
    <xf numFmtId="0" fontId="41" fillId="0" borderId="0" xfId="1" applyFont="1" applyAlignment="1">
      <alignment horizontal="center"/>
    </xf>
    <xf numFmtId="0" fontId="2" fillId="0" borderId="15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43" fillId="0" borderId="0" xfId="1" applyFont="1" applyAlignment="1">
      <alignment horizontal="center"/>
    </xf>
    <xf numFmtId="0" fontId="20" fillId="0" borderId="1" xfId="1" applyFont="1" applyBorder="1" applyAlignment="1">
      <alignment horizontal="center"/>
    </xf>
    <xf numFmtId="0" fontId="20" fillId="0" borderId="3" xfId="1" applyFont="1" applyBorder="1" applyAlignment="1">
      <alignment horizontal="center"/>
    </xf>
    <xf numFmtId="0" fontId="20" fillId="0" borderId="2" xfId="1" applyFont="1" applyBorder="1" applyAlignment="1">
      <alignment horizontal="center"/>
    </xf>
    <xf numFmtId="0" fontId="42" fillId="0" borderId="0" xfId="1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_M1 Subject Marks" xfId="3" xr:uid="{00000000-0005-0000-0000-000003000000}"/>
    <cellStyle name="Per 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210254225230011E-2"/>
          <c:y val="2.6119402985074626E-2"/>
          <c:w val="0.82165668980820949"/>
          <c:h val="0.776119402985074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PERFORMANCES'!$B$2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'OVERALL PERFORMANCES'!$A$3:$A$23</c:f>
              <c:strCache>
                <c:ptCount val="21"/>
                <c:pt idx="0">
                  <c:v>B.Melayu</c:v>
                </c:pt>
                <c:pt idx="1">
                  <c:v>English Language</c:v>
                </c:pt>
                <c:pt idx="2">
                  <c:v>Mathematics D</c:v>
                </c:pt>
                <c:pt idx="3">
                  <c:v>Mathematics IGCSE (Core)</c:v>
                </c:pt>
                <c:pt idx="4">
                  <c:v>Additional Maths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Combined Science</c:v>
                </c:pt>
                <c:pt idx="9">
                  <c:v>Geography</c:v>
                </c:pt>
                <c:pt idx="10">
                  <c:v>IRK</c:v>
                </c:pt>
                <c:pt idx="11">
                  <c:v>History</c:v>
                </c:pt>
                <c:pt idx="12">
                  <c:v>Commerce</c:v>
                </c:pt>
                <c:pt idx="13">
                  <c:v>Economics</c:v>
                </c:pt>
                <c:pt idx="14">
                  <c:v>Accounting</c:v>
                </c:pt>
                <c:pt idx="15">
                  <c:v>Art &amp; Design</c:v>
                </c:pt>
                <c:pt idx="16">
                  <c:v>Food &amp; Nutrition</c:v>
                </c:pt>
                <c:pt idx="17">
                  <c:v>Agriculture</c:v>
                </c:pt>
                <c:pt idx="18">
                  <c:v>Sastera</c:v>
                </c:pt>
                <c:pt idx="19">
                  <c:v>IG ICT</c:v>
                </c:pt>
                <c:pt idx="20">
                  <c:v>Computer Science</c:v>
                </c:pt>
              </c:strCache>
            </c:strRef>
          </c:cat>
          <c:val>
            <c:numRef>
              <c:f>'OVERALL PERFORMANCES'!$B$3:$B$23</c:f>
              <c:numCache>
                <c:formatCode>0.0</c:formatCode>
                <c:ptCount val="21"/>
                <c:pt idx="0">
                  <c:v>80</c:v>
                </c:pt>
                <c:pt idx="1">
                  <c:v>82.424242424242422</c:v>
                </c:pt>
                <c:pt idx="2">
                  <c:v>27.777777777777779</c:v>
                </c:pt>
                <c:pt idx="3">
                  <c:v>2.5641025641025639</c:v>
                </c:pt>
                <c:pt idx="4">
                  <c:v>5.8823529411764701</c:v>
                </c:pt>
                <c:pt idx="5">
                  <c:v>61.111111111111114</c:v>
                </c:pt>
                <c:pt idx="6">
                  <c:v>37.179487179487182</c:v>
                </c:pt>
                <c:pt idx="7">
                  <c:v>53.246753246753244</c:v>
                </c:pt>
                <c:pt idx="8">
                  <c:v>5.1282051282051277</c:v>
                </c:pt>
                <c:pt idx="9">
                  <c:v>18.75</c:v>
                </c:pt>
                <c:pt idx="10">
                  <c:v>58.18181818181818</c:v>
                </c:pt>
                <c:pt idx="11">
                  <c:v>21.739130434782609</c:v>
                </c:pt>
                <c:pt idx="12">
                  <c:v>63.636363636363633</c:v>
                </c:pt>
                <c:pt idx="13">
                  <c:v>79.310344827586206</c:v>
                </c:pt>
                <c:pt idx="14">
                  <c:v>2.7397260273972601</c:v>
                </c:pt>
                <c:pt idx="15">
                  <c:v>69</c:v>
                </c:pt>
                <c:pt idx="16">
                  <c:v>26.666666666666668</c:v>
                </c:pt>
                <c:pt idx="17">
                  <c:v>40</c:v>
                </c:pt>
                <c:pt idx="18">
                  <c:v>25.641025641025639</c:v>
                </c:pt>
                <c:pt idx="19">
                  <c:v>33.333333333333329</c:v>
                </c:pt>
                <c:pt idx="2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8-404C-8B50-6A3D948B4953}"/>
            </c:ext>
          </c:extLst>
        </c:ser>
        <c:ser>
          <c:idx val="1"/>
          <c:order val="1"/>
          <c:tx>
            <c:strRef>
              <c:f>'OVERALL PERFORMANCES'!$C$2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'OVERALL PERFORMANCES'!$A$3:$A$23</c:f>
              <c:strCache>
                <c:ptCount val="21"/>
                <c:pt idx="0">
                  <c:v>B.Melayu</c:v>
                </c:pt>
                <c:pt idx="1">
                  <c:v>English Language</c:v>
                </c:pt>
                <c:pt idx="2">
                  <c:v>Mathematics D</c:v>
                </c:pt>
                <c:pt idx="3">
                  <c:v>Mathematics IGCSE (Core)</c:v>
                </c:pt>
                <c:pt idx="4">
                  <c:v>Additional Maths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Combined Science</c:v>
                </c:pt>
                <c:pt idx="9">
                  <c:v>Geography</c:v>
                </c:pt>
                <c:pt idx="10">
                  <c:v>IRK</c:v>
                </c:pt>
                <c:pt idx="11">
                  <c:v>History</c:v>
                </c:pt>
                <c:pt idx="12">
                  <c:v>Commerce</c:v>
                </c:pt>
                <c:pt idx="13">
                  <c:v>Economics</c:v>
                </c:pt>
                <c:pt idx="14">
                  <c:v>Accounting</c:v>
                </c:pt>
                <c:pt idx="15">
                  <c:v>Art &amp; Design</c:v>
                </c:pt>
                <c:pt idx="16">
                  <c:v>Food &amp; Nutrition</c:v>
                </c:pt>
                <c:pt idx="17">
                  <c:v>Agriculture</c:v>
                </c:pt>
                <c:pt idx="18">
                  <c:v>Sastera</c:v>
                </c:pt>
                <c:pt idx="19">
                  <c:v>IG ICT</c:v>
                </c:pt>
                <c:pt idx="20">
                  <c:v>Computer Science</c:v>
                </c:pt>
              </c:strCache>
            </c:strRef>
          </c:cat>
          <c:val>
            <c:numRef>
              <c:f>'OVERALL PERFORMANCES'!$C$3:$C$23</c:f>
              <c:numCache>
                <c:formatCode>0.0</c:formatCode>
                <c:ptCount val="21"/>
                <c:pt idx="0">
                  <c:v>96.36363636363636</c:v>
                </c:pt>
                <c:pt idx="1">
                  <c:v>93.333333333333329</c:v>
                </c:pt>
                <c:pt idx="2">
                  <c:v>50.793650793650791</c:v>
                </c:pt>
                <c:pt idx="3">
                  <c:v>87.179487179487182</c:v>
                </c:pt>
                <c:pt idx="4">
                  <c:v>52.941176470588239</c:v>
                </c:pt>
                <c:pt idx="5">
                  <c:v>93.055555555555557</c:v>
                </c:pt>
                <c:pt idx="6">
                  <c:v>73.076923076923066</c:v>
                </c:pt>
                <c:pt idx="7">
                  <c:v>93.506493506493499</c:v>
                </c:pt>
                <c:pt idx="8">
                  <c:v>41.025641025641022</c:v>
                </c:pt>
                <c:pt idx="9">
                  <c:v>70.3125</c:v>
                </c:pt>
                <c:pt idx="10">
                  <c:v>85.454545454545453</c:v>
                </c:pt>
                <c:pt idx="11">
                  <c:v>69.565217391304344</c:v>
                </c:pt>
                <c:pt idx="12">
                  <c:v>90.909090909090907</c:v>
                </c:pt>
                <c:pt idx="13">
                  <c:v>100</c:v>
                </c:pt>
                <c:pt idx="14">
                  <c:v>41.095890410958901</c:v>
                </c:pt>
                <c:pt idx="15">
                  <c:v>95</c:v>
                </c:pt>
                <c:pt idx="16">
                  <c:v>86.666666666666671</c:v>
                </c:pt>
                <c:pt idx="17">
                  <c:v>100</c:v>
                </c:pt>
                <c:pt idx="18">
                  <c:v>76.923076923076934</c:v>
                </c:pt>
                <c:pt idx="19">
                  <c:v>55.555555555555557</c:v>
                </c:pt>
                <c:pt idx="2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8-404C-8B50-6A3D948B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23072"/>
        <c:axId val="65124608"/>
      </c:barChart>
      <c:catAx>
        <c:axId val="651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5124608"/>
        <c:crosses val="autoZero"/>
        <c:auto val="1"/>
        <c:lblAlgn val="ctr"/>
        <c:lblOffset val="100"/>
        <c:noMultiLvlLbl val="0"/>
      </c:catAx>
      <c:valAx>
        <c:axId val="6512460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512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607608536637854"/>
          <c:y val="0.34741273863742256"/>
          <c:w val="2.0261021470676821E-2"/>
          <c:h val="9.1347901038997342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BN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BN"/>
    </a:p>
  </c:txPr>
  <c:printSettings>
    <c:headerFooter>
      <c:oddHeader>&amp;CSEKOLAH MENENGAH PENGIRAN ANAK PUTERI HAJAH MASNA
MID YEAR EXAMINATION, 2014, YEAR 10</c:oddHeader>
      <c:oddFooter>&amp;LExam Dept SMPAPHM&amp;CY10 2022</c:oddFooter>
    </c:headerFooter>
    <c:pageMargins b="0.75" l="0.7" r="0.7" t="0.75" header="0.3" footer="0.3"/>
    <c:pageSetup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CLASS AVERAGE MARKS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YEAR 10, MID YEAR EXAMINATION 2016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'CLASS AVERAGE'!$B$2</c:f>
              <c:strCache>
                <c:ptCount val="1"/>
                <c:pt idx="0">
                  <c:v>Class Avg</c:v>
                </c:pt>
              </c:strCache>
            </c:strRef>
          </c:tx>
          <c:invertIfNegative val="0"/>
          <c:cat>
            <c:strRef>
              <c:f>'CLASS AVERAGE'!$A$3:$A$9</c:f>
              <c:strCache>
                <c:ptCount val="7"/>
                <c:pt idx="0">
                  <c:v>10Sci2 (26)</c:v>
                </c:pt>
                <c:pt idx="1">
                  <c:v>10Sci3 (25)</c:v>
                </c:pt>
                <c:pt idx="2">
                  <c:v>10A (31)</c:v>
                </c:pt>
                <c:pt idx="3">
                  <c:v>10M (30)</c:v>
                </c:pt>
                <c:pt idx="4">
                  <c:v>10B (31)</c:v>
                </c:pt>
                <c:pt idx="5">
                  <c:v>10E (32)</c:v>
                </c:pt>
                <c:pt idx="6">
                  <c:v>10R (31)</c:v>
                </c:pt>
              </c:strCache>
            </c:strRef>
          </c:cat>
          <c:val>
            <c:numRef>
              <c:f>'CLASS AVERAGE'!$B$3:$B$9</c:f>
              <c:numCache>
                <c:formatCode>0.0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809A-445D-B30F-5A3F84CEE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gapDepth val="61"/>
        <c:shape val="cylinder"/>
        <c:axId val="66198144"/>
        <c:axId val="66220800"/>
        <c:axId val="0"/>
      </c:bar3DChart>
      <c:catAx>
        <c:axId val="6619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 &amp; No of students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6220800"/>
        <c:crosses val="autoZero"/>
        <c:auto val="1"/>
        <c:lblAlgn val="ctr"/>
        <c:lblOffset val="100"/>
        <c:noMultiLvlLbl val="0"/>
      </c:catAx>
      <c:valAx>
        <c:axId val="66220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Class 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6198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BN"/>
    </a:p>
  </c:txPr>
  <c:printSettings>
    <c:headerFooter>
      <c:oddHeader>&amp;CSEKOLAH MENENGAH PENGIRAN ANAK PUTERI HAJAH MASNA
ANALYSIS YEAR 10Sci1 and YEAR 11 MID YEAR EXAMINATION 2015
</c:oddHeader>
      <c:oddFooter>&amp;LExam Dept SMPAPHM&amp;CY10Sci1 and Y11 2015</c:oddFooter>
    </c:headerFooter>
    <c:pageMargins b="0.75" l="0.7" r="0.7" t="0.75" header="0.3" footer="0.3"/>
    <c:pageSetup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Subjects Average Marks(%) Vs M4'O' Level Classes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kDnDiag">
              <a:fgClr>
                <a:srgbClr val="993366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2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B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3B-4C10-BCE3-DE83494C43C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'By Class'!#REF!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'By Class'!#REF!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73B-4C10-BCE3-DE83494C4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78560"/>
        <c:axId val="54588544"/>
      </c:barChart>
      <c:catAx>
        <c:axId val="5457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BN"/>
          </a:p>
        </c:txPr>
        <c:crossAx val="54588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88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BN"/>
          </a:p>
        </c:txPr>
        <c:crossAx val="545785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BN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Subject Analysis Men 4 'O' Level 
Monthly Test 2004</a:t>
            </a:r>
          </a:p>
        </c:rich>
      </c:tx>
      <c:layout>
        <c:manualLayout>
          <c:xMode val="edge"/>
          <c:yMode val="edge"/>
          <c:x val="0.25238128567262424"/>
          <c:y val="2.6988636363636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69858739240357"/>
          <c:y val="0.16761363636363635"/>
          <c:w val="0.77936628746014303"/>
          <c:h val="0.73579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Class'!$C$142</c:f>
              <c:strCache>
                <c:ptCount val="1"/>
                <c:pt idx="0">
                  <c:v>%
1-6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Class'!$C$143:$C$160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0-D43F-40EC-B6AD-08A778E83FC2}"/>
            </c:ext>
          </c:extLst>
        </c:ser>
        <c:ser>
          <c:idx val="1"/>
          <c:order val="1"/>
          <c:tx>
            <c:strRef>
              <c:f>'By Class'!$D$142</c:f>
              <c:strCache>
                <c:ptCount val="1"/>
                <c:pt idx="0">
                  <c:v>%
1-8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'By Class'!$B$143:$B$160</c:f>
              <c:strCache>
                <c:ptCount val="18"/>
                <c:pt idx="0">
                  <c:v>B.Mel</c:v>
                </c:pt>
                <c:pt idx="1">
                  <c:v>Eng</c:v>
                </c:pt>
                <c:pt idx="2">
                  <c:v>Maths</c:v>
                </c:pt>
                <c:pt idx="3">
                  <c:v>A Math</c:v>
                </c:pt>
                <c:pt idx="4">
                  <c:v>Phy</c:v>
                </c:pt>
                <c:pt idx="5">
                  <c:v>Chem</c:v>
                </c:pt>
                <c:pt idx="6">
                  <c:v>Bio</c:v>
                </c:pt>
                <c:pt idx="7">
                  <c:v>C Sci</c:v>
                </c:pt>
                <c:pt idx="8">
                  <c:v>Geog</c:v>
                </c:pt>
                <c:pt idx="9">
                  <c:v>His</c:v>
                </c:pt>
                <c:pt idx="10">
                  <c:v>IRK</c:v>
                </c:pt>
                <c:pt idx="11">
                  <c:v>Comm</c:v>
                </c:pt>
                <c:pt idx="12">
                  <c:v>Eco</c:v>
                </c:pt>
                <c:pt idx="13">
                  <c:v>Comp</c:v>
                </c:pt>
                <c:pt idx="14">
                  <c:v>POA</c:v>
                </c:pt>
                <c:pt idx="15">
                  <c:v>A Sci</c:v>
                </c:pt>
                <c:pt idx="16">
                  <c:v>Art</c:v>
                </c:pt>
                <c:pt idx="17">
                  <c:v>Sas</c:v>
                </c:pt>
              </c:strCache>
            </c:strRef>
          </c:cat>
          <c:val>
            <c:numRef>
              <c:f>'By Class'!$D$143:$D$160</c:f>
              <c:numCache>
                <c:formatCode>0.0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01-D43F-40EC-B6AD-08A778E83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06080"/>
        <c:axId val="54611968"/>
      </c:barChart>
      <c:catAx>
        <c:axId val="5460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BN"/>
          </a:p>
        </c:txPr>
        <c:crossAx val="5461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611968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BN"/>
          </a:p>
        </c:txPr>
        <c:crossAx val="54606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09525142690497"/>
          <c:y val="0.47443181818181818"/>
          <c:w val="0.98730308711411074"/>
          <c:h val="0.598011363636363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B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BN"/>
    </a:p>
  </c:txPr>
  <c:printSettings>
    <c:headerFooter alignWithMargins="0"/>
    <c:pageMargins b="1" l="0.75" r="0.75" t="1" header="0.5" footer="0.5"/>
    <c:pageSetup orientation="landscape" horizontalDpi="300" verticalDpi="300" copies="6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Number of Credits Attained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3426620436418719E-2"/>
          <c:y val="4.2553173069222926E-2"/>
          <c:w val="0.84790264075388289"/>
          <c:h val="0.85460955914022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'No.of Credits Attained'!$D$8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'No.of Credits Attained'!$A$9:$A$18</c:f>
              <c:numCache>
                <c:formatCode>General</c:formatCod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cat>
          <c:val>
            <c:numRef>
              <c:f>'No.of Credits Attained'!$D$9:$D$18</c:f>
              <c:numCache>
                <c:formatCode>0.0%</c:formatCode>
                <c:ptCount val="10"/>
                <c:pt idx="0">
                  <c:v>3.870967741935484E-2</c:v>
                </c:pt>
                <c:pt idx="1">
                  <c:v>7.7419354838709681E-2</c:v>
                </c:pt>
                <c:pt idx="2">
                  <c:v>5.8064516129032261E-2</c:v>
                </c:pt>
                <c:pt idx="3">
                  <c:v>6.4516129032258063E-2</c:v>
                </c:pt>
                <c:pt idx="4">
                  <c:v>0.10967741935483871</c:v>
                </c:pt>
                <c:pt idx="5">
                  <c:v>0.17419354838709677</c:v>
                </c:pt>
                <c:pt idx="6">
                  <c:v>0.16774193548387098</c:v>
                </c:pt>
                <c:pt idx="7">
                  <c:v>0.16774193548387098</c:v>
                </c:pt>
                <c:pt idx="8">
                  <c:v>0.1032258064516129</c:v>
                </c:pt>
                <c:pt idx="9">
                  <c:v>3.870967741935484E-2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9-4804-BD2D-58997067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67325952"/>
        <c:axId val="67327488"/>
      </c:barChart>
      <c:catAx>
        <c:axId val="6732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7327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732748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BN"/>
          </a:p>
        </c:txPr>
        <c:crossAx val="6732595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BN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76200</xdr:rowOff>
    </xdr:from>
    <xdr:to>
      <xdr:col>27</xdr:col>
      <xdr:colOff>533400</xdr:colOff>
      <xdr:row>27</xdr:row>
      <xdr:rowOff>66675</xdr:rowOff>
    </xdr:to>
    <xdr:graphicFrame macro="">
      <xdr:nvGraphicFramePr>
        <xdr:cNvPr id="4079" name="Chart 2">
          <a:extLst>
            <a:ext uri="{FF2B5EF4-FFF2-40B4-BE49-F238E27FC236}">
              <a16:creationId xmlns:a16="http://schemas.microsoft.com/office/drawing/2014/main" id="{68614FF3-F033-4D62-9124-6F06A5FEC97F}"/>
            </a:ext>
            <a:ext uri="{147F2762-F138-4A5C-976F-8EAC2B608ADB}">
              <a16:predDERef xmlns:a16="http://schemas.microsoft.com/office/drawing/2014/main" pred="{135F2FF9-F7C7-49AE-8A9D-E49A844DD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0</xdr:rowOff>
    </xdr:from>
    <xdr:to>
      <xdr:col>12</xdr:col>
      <xdr:colOff>619125</xdr:colOff>
      <xdr:row>31</xdr:row>
      <xdr:rowOff>142875</xdr:rowOff>
    </xdr:to>
    <xdr:graphicFrame macro="">
      <xdr:nvGraphicFramePr>
        <xdr:cNvPr id="4796" name="Chart 2">
          <a:extLst>
            <a:ext uri="{FF2B5EF4-FFF2-40B4-BE49-F238E27FC236}">
              <a16:creationId xmlns:a16="http://schemas.microsoft.com/office/drawing/2014/main" id="{B4169A2D-BF54-4AAC-A723-F334C0C6B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137</xdr:row>
      <xdr:rowOff>0</xdr:rowOff>
    </xdr:from>
    <xdr:to>
      <xdr:col>15</xdr:col>
      <xdr:colOff>485775</xdr:colOff>
      <xdr:row>137</xdr:row>
      <xdr:rowOff>0</xdr:rowOff>
    </xdr:to>
    <xdr:graphicFrame macro="">
      <xdr:nvGraphicFramePr>
        <xdr:cNvPr id="3525682" name="Chart 1">
          <a:extLst>
            <a:ext uri="{FF2B5EF4-FFF2-40B4-BE49-F238E27FC236}">
              <a16:creationId xmlns:a16="http://schemas.microsoft.com/office/drawing/2014/main" id="{05EF5BF2-1FD0-4CC6-A072-2F54A5F43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104775</xdr:colOff>
      <xdr:row>137</xdr:row>
      <xdr:rowOff>0</xdr:rowOff>
    </xdr:from>
    <xdr:to>
      <xdr:col>2</xdr:col>
      <xdr:colOff>371475</xdr:colOff>
      <xdr:row>137</xdr:row>
      <xdr:rowOff>0</xdr:rowOff>
    </xdr:to>
    <xdr:sp macro="" textlink="">
      <xdr:nvSpPr>
        <xdr:cNvPr id="3525683" name="AutoShape 2">
          <a:extLst>
            <a:ext uri="{FF2B5EF4-FFF2-40B4-BE49-F238E27FC236}">
              <a16:creationId xmlns:a16="http://schemas.microsoft.com/office/drawing/2014/main" id="{EAAB721A-7941-473F-8872-DF09FCEDD5C3}"/>
            </a:ext>
          </a:extLst>
        </xdr:cNvPr>
        <xdr:cNvSpPr>
          <a:spLocks noChangeArrowheads="1"/>
        </xdr:cNvSpPr>
      </xdr:nvSpPr>
      <xdr:spPr bwMode="auto">
        <a:xfrm>
          <a:off x="1200150" y="29470350"/>
          <a:ext cx="1162050" cy="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0 h 21600"/>
            <a:gd name="T4" fmla="*/ 2147483647 w 21600"/>
            <a:gd name="T5" fmla="*/ 0 h 21600"/>
            <a:gd name="T6" fmla="*/ 2147483647 w 21600"/>
            <a:gd name="T7" fmla="*/ 0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0 h 21600"/>
            <a:gd name="T14" fmla="*/ 18227 w 21600"/>
            <a:gd name="T15" fmla="*/ 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47625</xdr:colOff>
      <xdr:row>159</xdr:row>
      <xdr:rowOff>142875</xdr:rowOff>
    </xdr:from>
    <xdr:to>
      <xdr:col>28</xdr:col>
      <xdr:colOff>561975</xdr:colOff>
      <xdr:row>183</xdr:row>
      <xdr:rowOff>104775</xdr:rowOff>
    </xdr:to>
    <xdr:graphicFrame macro="">
      <xdr:nvGraphicFramePr>
        <xdr:cNvPr id="3525684" name="Chart 3">
          <a:extLst>
            <a:ext uri="{FF2B5EF4-FFF2-40B4-BE49-F238E27FC236}">
              <a16:creationId xmlns:a16="http://schemas.microsoft.com/office/drawing/2014/main" id="{4F1179AA-FF3F-42DE-8251-2E7C27F1811C}"/>
            </a:ext>
            <a:ext uri="{147F2762-F138-4A5C-976F-8EAC2B608ADB}">
              <a16:predDERef xmlns:a16="http://schemas.microsoft.com/office/drawing/2014/main" pred="{EAAB721A-7941-473F-8872-DF09FCED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28575</xdr:rowOff>
    </xdr:from>
    <xdr:to>
      <xdr:col>1</xdr:col>
      <xdr:colOff>190500</xdr:colOff>
      <xdr:row>4</xdr:row>
      <xdr:rowOff>161925</xdr:rowOff>
    </xdr:to>
    <xdr:pic>
      <xdr:nvPicPr>
        <xdr:cNvPr id="2573494" name="Picture 1">
          <a:extLst>
            <a:ext uri="{FF2B5EF4-FFF2-40B4-BE49-F238E27FC236}">
              <a16:creationId xmlns:a16="http://schemas.microsoft.com/office/drawing/2014/main" id="{9CF41ECB-0577-4971-ADFE-2F1D2A7A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8575"/>
          <a:ext cx="92392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4</xdr:row>
      <xdr:rowOff>57150</xdr:rowOff>
    </xdr:from>
    <xdr:to>
      <xdr:col>21</xdr:col>
      <xdr:colOff>752475</xdr:colOff>
      <xdr:row>26</xdr:row>
      <xdr:rowOff>114300</xdr:rowOff>
    </xdr:to>
    <xdr:graphicFrame macro="">
      <xdr:nvGraphicFramePr>
        <xdr:cNvPr id="3154058" name="Chart 2">
          <a:extLst>
            <a:ext uri="{FF2B5EF4-FFF2-40B4-BE49-F238E27FC236}">
              <a16:creationId xmlns:a16="http://schemas.microsoft.com/office/drawing/2014/main" id="{1327E618-6165-4606-91F2-0B09F412E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11%20ASSESSMENT%202%202026/MMS%20Y%2011D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11%20ASSESSMENT%202%202026/MMS%20Y%2011D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1%20ASSESSMENT%202%202026/MMS%20Y%2011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11%20ASSESSMENT%202%202026/MMS%20Y%2011I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11%20ASSESSMENT%202%202026/MMS%20Y%2011I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1%20ASSESSMENT%202%202026/MMS%20Y%2011I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11%20ASSESSMENT%202%202026/MMS%20Y%2011S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11%20ASSESSMENT%202%202026/MMS%20Y%2011S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1%20ASSESSMENT%202%202026/MMS%20Y%2011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ASTERMARK%20SHEETS/MMS%202026/ASSESSMENT%202/YEAR%2011%20ASSESSMENT%202%202026/MMS%20Y%2011C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1%20ASSESSMENT%202%202026/MMS%20Y%2011C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11%20ASSESSMENT%202%202026/MMS%20Y%2011O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11%20ASSESSMENT%202%202026/MMS%20Y%2011O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1%20ASSESSMENT%202%202026/MMS%20Y%2011O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11%20ASSESSMENT%202%202026/MMS%20Y%2011V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11%20ASSESSMENT%202%202026/MMS%20Y%2011V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1%20ASSESSMENT%202%202026/MMS%20Y%2011V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11%20ASSESSMENT%202%202026/MMS%20Y%2011E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11%20ASSESSMENT%202%202026/MMS%20Y%2011E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1%20ASSESSMENT%202%202026/MMS%20Y%2011E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MARK%20SHEETS/MMS%202026/ASSESSMENT%202/YEAR%2011%20ASSESSMENT%202%202026/MMS%20Y%2011R.xlsx" TargetMode="External"/><Relationship Id="rId2" Type="http://schemas.openxmlformats.org/officeDocument/2006/relationships/externalLinkPath" Target="https://edumoebn-my.sharepoint.com/personal/exam_section_smpapmasna_edu_moe_bn/Documents/EXAM%20SECTION%20SMPAPHM/MASTERMARK%20SHEETS/MMS%202026/ASSESSMENT%202/YEAR%2011%20ASSESSMENT%202%202026/MMS%20Y%2011R.xlsx" TargetMode="External"/><Relationship Id="rId1" Type="http://schemas.openxmlformats.org/officeDocument/2006/relationships/externalLinkPath" Target="/personal/exam_section_smpapmasna_edu_moe_bn/Documents/EXAM%20SECTION%20SMPAPHM/MASTERMARK%20SHEETS/MMS%202026/ASSESSMENT%202/YEAR%2011%20ASSESSMENT%202%202026/MMS%20Y%2011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JCZEZMKYZAWBBYAQKXVLAGELPS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2</v>
          </cell>
          <cell r="AN38">
            <v>4</v>
          </cell>
          <cell r="AX38">
            <v>0</v>
          </cell>
          <cell r="BI38">
            <v>0</v>
          </cell>
          <cell r="BS38">
            <v>0</v>
          </cell>
          <cell r="CM38">
            <v>0</v>
          </cell>
          <cell r="CW38">
            <v>0</v>
          </cell>
          <cell r="DW38">
            <v>1</v>
          </cell>
        </row>
        <row r="39">
          <cell r="J39">
            <v>10</v>
          </cell>
          <cell r="T39">
            <v>8</v>
          </cell>
          <cell r="AE39">
            <v>3</v>
          </cell>
          <cell r="AN39">
            <v>7</v>
          </cell>
          <cell r="AX39">
            <v>2</v>
          </cell>
          <cell r="BI39">
            <v>1</v>
          </cell>
          <cell r="BS39">
            <v>2</v>
          </cell>
          <cell r="CM39">
            <v>1</v>
          </cell>
          <cell r="CW39">
            <v>0</v>
          </cell>
          <cell r="DW39">
            <v>6</v>
          </cell>
        </row>
        <row r="40">
          <cell r="J40">
            <v>5</v>
          </cell>
          <cell r="T40">
            <v>8</v>
          </cell>
          <cell r="AE40">
            <v>4</v>
          </cell>
          <cell r="AN40">
            <v>2</v>
          </cell>
          <cell r="AX40">
            <v>3</v>
          </cell>
          <cell r="BI40">
            <v>3</v>
          </cell>
          <cell r="BS40">
            <v>1</v>
          </cell>
          <cell r="CM40">
            <v>3</v>
          </cell>
          <cell r="CW40">
            <v>0</v>
          </cell>
          <cell r="DW40">
            <v>5</v>
          </cell>
        </row>
        <row r="41">
          <cell r="J41">
            <v>2</v>
          </cell>
          <cell r="T41">
            <v>0</v>
          </cell>
          <cell r="AE41">
            <v>0</v>
          </cell>
          <cell r="AN41">
            <v>1</v>
          </cell>
          <cell r="AX41">
            <v>0</v>
          </cell>
          <cell r="BI41">
            <v>4</v>
          </cell>
          <cell r="BS41">
            <v>2</v>
          </cell>
          <cell r="CM41">
            <v>4</v>
          </cell>
          <cell r="CW41">
            <v>0</v>
          </cell>
          <cell r="DW41">
            <v>3</v>
          </cell>
        </row>
        <row r="42">
          <cell r="J42">
            <v>0</v>
          </cell>
          <cell r="T42">
            <v>1</v>
          </cell>
          <cell r="AE42">
            <v>3</v>
          </cell>
          <cell r="AN42">
            <v>0</v>
          </cell>
          <cell r="AX42">
            <v>4</v>
          </cell>
          <cell r="BI42">
            <v>5</v>
          </cell>
          <cell r="BS42">
            <v>1</v>
          </cell>
          <cell r="CM42">
            <v>3</v>
          </cell>
          <cell r="CW42">
            <v>1</v>
          </cell>
          <cell r="DW42">
            <v>1</v>
          </cell>
        </row>
        <row r="43">
          <cell r="J43">
            <v>0</v>
          </cell>
          <cell r="T43">
            <v>0</v>
          </cell>
          <cell r="AE43">
            <v>3</v>
          </cell>
          <cell r="AN43">
            <v>3</v>
          </cell>
          <cell r="AX43">
            <v>3</v>
          </cell>
          <cell r="BI43">
            <v>3</v>
          </cell>
          <cell r="BS43">
            <v>4</v>
          </cell>
          <cell r="CM43">
            <v>4</v>
          </cell>
          <cell r="CW43">
            <v>0</v>
          </cell>
          <cell r="DW43">
            <v>1</v>
          </cell>
        </row>
        <row r="44">
          <cell r="J44">
            <v>0</v>
          </cell>
          <cell r="T44">
            <v>0</v>
          </cell>
          <cell r="AE44">
            <v>2</v>
          </cell>
          <cell r="AN44">
            <v>0</v>
          </cell>
          <cell r="AX44">
            <v>3</v>
          </cell>
          <cell r="BI44">
            <v>1</v>
          </cell>
          <cell r="BS44">
            <v>6</v>
          </cell>
          <cell r="CM44">
            <v>2</v>
          </cell>
          <cell r="CW44">
            <v>6</v>
          </cell>
          <cell r="DW44">
            <v>0</v>
          </cell>
        </row>
        <row r="45">
          <cell r="J45">
            <v>0</v>
          </cell>
          <cell r="T45">
            <v>0</v>
          </cell>
          <cell r="AE45">
            <v>0</v>
          </cell>
          <cell r="AN45">
            <v>0</v>
          </cell>
          <cell r="AX45">
            <v>2</v>
          </cell>
          <cell r="BI45">
            <v>0</v>
          </cell>
          <cell r="BS45">
            <v>1</v>
          </cell>
          <cell r="CM45">
            <v>0</v>
          </cell>
          <cell r="CW45">
            <v>2</v>
          </cell>
          <cell r="DW45">
            <v>0</v>
          </cell>
        </row>
        <row r="46">
          <cell r="J46">
            <v>0</v>
          </cell>
          <cell r="T46">
            <v>0</v>
          </cell>
          <cell r="AE46">
            <v>0</v>
          </cell>
          <cell r="AN46">
            <v>0</v>
          </cell>
          <cell r="AX46">
            <v>0</v>
          </cell>
          <cell r="BI46">
            <v>0</v>
          </cell>
          <cell r="BS46">
            <v>0</v>
          </cell>
          <cell r="CM46">
            <v>0</v>
          </cell>
          <cell r="CW46">
            <v>8</v>
          </cell>
          <cell r="DW46">
            <v>0</v>
          </cell>
        </row>
        <row r="47">
          <cell r="DW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OFMYHL27FXIFB2DUXOWWIQ56CH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0</v>
          </cell>
          <cell r="AN38">
            <v>0</v>
          </cell>
          <cell r="AX38">
            <v>0</v>
          </cell>
          <cell r="BI38">
            <v>0</v>
          </cell>
          <cell r="BS38">
            <v>0</v>
          </cell>
          <cell r="CM38">
            <v>0</v>
          </cell>
          <cell r="CW38">
            <v>0</v>
          </cell>
          <cell r="DG38">
            <v>0</v>
          </cell>
          <cell r="DW38">
            <v>3</v>
          </cell>
        </row>
        <row r="39">
          <cell r="J39">
            <v>3</v>
          </cell>
          <cell r="T39">
            <v>7</v>
          </cell>
          <cell r="AE39">
            <v>3</v>
          </cell>
          <cell r="AN39">
            <v>3</v>
          </cell>
          <cell r="AX39">
            <v>3</v>
          </cell>
          <cell r="BI39">
            <v>0</v>
          </cell>
          <cell r="BS39">
            <v>2</v>
          </cell>
          <cell r="CM39">
            <v>0</v>
          </cell>
          <cell r="CW39">
            <v>0</v>
          </cell>
          <cell r="DG39">
            <v>0</v>
          </cell>
          <cell r="DW39">
            <v>2</v>
          </cell>
        </row>
        <row r="40">
          <cell r="J40">
            <v>5</v>
          </cell>
          <cell r="T40">
            <v>10</v>
          </cell>
          <cell r="AE40">
            <v>2</v>
          </cell>
          <cell r="AN40">
            <v>2</v>
          </cell>
          <cell r="AX40">
            <v>1</v>
          </cell>
          <cell r="BI40">
            <v>2</v>
          </cell>
          <cell r="BS40">
            <v>3</v>
          </cell>
          <cell r="CM40">
            <v>0</v>
          </cell>
          <cell r="CW40">
            <v>0</v>
          </cell>
          <cell r="DG40">
            <v>3</v>
          </cell>
          <cell r="DW40">
            <v>3</v>
          </cell>
        </row>
        <row r="41">
          <cell r="J41">
            <v>5</v>
          </cell>
          <cell r="T41">
            <v>4</v>
          </cell>
          <cell r="AE41">
            <v>1</v>
          </cell>
          <cell r="AN41">
            <v>3</v>
          </cell>
          <cell r="AX41">
            <v>2</v>
          </cell>
          <cell r="BI41">
            <v>4</v>
          </cell>
          <cell r="BS41">
            <v>1</v>
          </cell>
          <cell r="CM41">
            <v>0</v>
          </cell>
          <cell r="CW41">
            <v>1</v>
          </cell>
          <cell r="DG41">
            <v>2</v>
          </cell>
          <cell r="DW41">
            <v>2</v>
          </cell>
        </row>
        <row r="42">
          <cell r="J42">
            <v>3</v>
          </cell>
          <cell r="T42">
            <v>0</v>
          </cell>
          <cell r="AE42">
            <v>2</v>
          </cell>
          <cell r="AN42">
            <v>1</v>
          </cell>
          <cell r="AX42">
            <v>1</v>
          </cell>
          <cell r="BI42">
            <v>3</v>
          </cell>
          <cell r="BS42">
            <v>1</v>
          </cell>
          <cell r="CM42">
            <v>1</v>
          </cell>
          <cell r="CW42">
            <v>2</v>
          </cell>
          <cell r="DG42">
            <v>3</v>
          </cell>
          <cell r="DW42">
            <v>3</v>
          </cell>
        </row>
        <row r="43">
          <cell r="J43">
            <v>5</v>
          </cell>
          <cell r="T43">
            <v>0</v>
          </cell>
          <cell r="AE43">
            <v>3</v>
          </cell>
          <cell r="AN43">
            <v>2</v>
          </cell>
          <cell r="AX43">
            <v>1</v>
          </cell>
          <cell r="BI43">
            <v>6</v>
          </cell>
          <cell r="BS43">
            <v>5</v>
          </cell>
          <cell r="CM43">
            <v>2</v>
          </cell>
          <cell r="CW43">
            <v>1</v>
          </cell>
          <cell r="DG43">
            <v>0</v>
          </cell>
          <cell r="DW43">
            <v>3</v>
          </cell>
        </row>
        <row r="44">
          <cell r="J44">
            <v>0</v>
          </cell>
          <cell r="T44">
            <v>0</v>
          </cell>
          <cell r="AE44">
            <v>3</v>
          </cell>
          <cell r="AN44">
            <v>5</v>
          </cell>
          <cell r="AX44">
            <v>8</v>
          </cell>
          <cell r="BI44">
            <v>4</v>
          </cell>
          <cell r="BS44">
            <v>5</v>
          </cell>
          <cell r="CM44">
            <v>2</v>
          </cell>
          <cell r="CW44">
            <v>1</v>
          </cell>
          <cell r="DG44">
            <v>3</v>
          </cell>
          <cell r="DW44">
            <v>2</v>
          </cell>
        </row>
        <row r="45">
          <cell r="J45">
            <v>0</v>
          </cell>
          <cell r="T45">
            <v>0</v>
          </cell>
          <cell r="AE45">
            <v>4</v>
          </cell>
          <cell r="AN45">
            <v>3</v>
          </cell>
          <cell r="AX45">
            <v>4</v>
          </cell>
          <cell r="BI45">
            <v>2</v>
          </cell>
          <cell r="BS45">
            <v>4</v>
          </cell>
          <cell r="CM45">
            <v>4</v>
          </cell>
          <cell r="CW45">
            <v>2</v>
          </cell>
          <cell r="DG45">
            <v>1</v>
          </cell>
          <cell r="DW45">
            <v>3</v>
          </cell>
        </row>
        <row r="46">
          <cell r="J46">
            <v>0</v>
          </cell>
          <cell r="T46">
            <v>0</v>
          </cell>
          <cell r="AE46">
            <v>3</v>
          </cell>
          <cell r="AN46">
            <v>2</v>
          </cell>
          <cell r="AX46">
            <v>1</v>
          </cell>
          <cell r="BI46">
            <v>0</v>
          </cell>
          <cell r="BS46">
            <v>0</v>
          </cell>
          <cell r="CM46">
            <v>11</v>
          </cell>
          <cell r="CW46">
            <v>2</v>
          </cell>
          <cell r="DG46">
            <v>0</v>
          </cell>
          <cell r="DW46">
            <v>0</v>
          </cell>
        </row>
        <row r="47">
          <cell r="DW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V3DRYVCS7WBFLAJZCTWWKPI6D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1</v>
          </cell>
          <cell r="AE38">
            <v>0</v>
          </cell>
          <cell r="AN38">
            <v>6</v>
          </cell>
          <cell r="AX38">
            <v>0</v>
          </cell>
          <cell r="BI38">
            <v>0</v>
          </cell>
          <cell r="BS38">
            <v>0</v>
          </cell>
          <cell r="CM38">
            <v>0</v>
          </cell>
          <cell r="CW38">
            <v>0</v>
          </cell>
          <cell r="DG38">
            <v>0</v>
          </cell>
          <cell r="DW38">
            <v>2</v>
          </cell>
        </row>
        <row r="39">
          <cell r="J39">
            <v>4</v>
          </cell>
          <cell r="T39">
            <v>2</v>
          </cell>
          <cell r="AE39">
            <v>1</v>
          </cell>
          <cell r="AN39">
            <v>2</v>
          </cell>
          <cell r="AX39">
            <v>0</v>
          </cell>
          <cell r="BI39">
            <v>0</v>
          </cell>
          <cell r="CW39">
            <v>1</v>
          </cell>
          <cell r="DG39">
            <v>0</v>
          </cell>
          <cell r="DW39">
            <v>4</v>
          </cell>
        </row>
        <row r="40">
          <cell r="J40">
            <v>8</v>
          </cell>
          <cell r="T40">
            <v>1</v>
          </cell>
          <cell r="AE40">
            <v>1</v>
          </cell>
          <cell r="AN40">
            <v>4</v>
          </cell>
          <cell r="AX40">
            <v>4</v>
          </cell>
          <cell r="BI40">
            <v>2</v>
          </cell>
          <cell r="BS40">
            <v>0</v>
          </cell>
          <cell r="CW40">
            <v>1</v>
          </cell>
          <cell r="DG40">
            <v>0</v>
          </cell>
          <cell r="DW40">
            <v>2</v>
          </cell>
        </row>
        <row r="41">
          <cell r="J41">
            <v>2</v>
          </cell>
          <cell r="T41">
            <v>4</v>
          </cell>
          <cell r="AE41">
            <v>1</v>
          </cell>
          <cell r="AN41">
            <v>2</v>
          </cell>
          <cell r="AX41">
            <v>2</v>
          </cell>
          <cell r="BI41">
            <v>1</v>
          </cell>
          <cell r="BS41">
            <v>1</v>
          </cell>
          <cell r="CW41">
            <v>0</v>
          </cell>
          <cell r="DG41">
            <v>1</v>
          </cell>
          <cell r="DW41">
            <v>0</v>
          </cell>
        </row>
        <row r="42">
          <cell r="J42">
            <v>1</v>
          </cell>
          <cell r="T42">
            <v>1</v>
          </cell>
          <cell r="AE42">
            <v>2</v>
          </cell>
          <cell r="AN42">
            <v>0</v>
          </cell>
          <cell r="AX42">
            <v>1</v>
          </cell>
          <cell r="BI42">
            <v>4</v>
          </cell>
          <cell r="BS42">
            <v>3</v>
          </cell>
          <cell r="CW42">
            <v>1</v>
          </cell>
          <cell r="DG42">
            <v>0</v>
          </cell>
          <cell r="DW42">
            <v>3</v>
          </cell>
        </row>
        <row r="43">
          <cell r="J43">
            <v>0</v>
          </cell>
          <cell r="T43">
            <v>3</v>
          </cell>
          <cell r="AE43">
            <v>3</v>
          </cell>
          <cell r="AN43">
            <v>0</v>
          </cell>
          <cell r="AX43">
            <v>4</v>
          </cell>
          <cell r="BI43">
            <v>3</v>
          </cell>
          <cell r="BS43">
            <v>3</v>
          </cell>
          <cell r="CW43">
            <v>1</v>
          </cell>
          <cell r="DG43">
            <v>2</v>
          </cell>
          <cell r="DW43">
            <v>2</v>
          </cell>
        </row>
        <row r="44">
          <cell r="J44">
            <v>0</v>
          </cell>
          <cell r="T44">
            <v>3</v>
          </cell>
          <cell r="AE44">
            <v>4</v>
          </cell>
          <cell r="AN44">
            <v>0</v>
          </cell>
          <cell r="AX44">
            <v>2</v>
          </cell>
          <cell r="BI44">
            <v>4</v>
          </cell>
          <cell r="BS44">
            <v>5</v>
          </cell>
          <cell r="CW44">
            <v>1</v>
          </cell>
          <cell r="DG44">
            <v>2</v>
          </cell>
          <cell r="DW44">
            <v>1</v>
          </cell>
        </row>
        <row r="45">
          <cell r="J45">
            <v>0</v>
          </cell>
          <cell r="T45">
            <v>0</v>
          </cell>
          <cell r="AE45">
            <v>2</v>
          </cell>
          <cell r="AN45">
            <v>1</v>
          </cell>
          <cell r="AX45">
            <v>1</v>
          </cell>
          <cell r="BI45">
            <v>1</v>
          </cell>
          <cell r="BS45">
            <v>2</v>
          </cell>
          <cell r="CW45">
            <v>0</v>
          </cell>
          <cell r="DG45">
            <v>0</v>
          </cell>
          <cell r="DW45">
            <v>1</v>
          </cell>
        </row>
        <row r="46">
          <cell r="J46">
            <v>0</v>
          </cell>
          <cell r="T46">
            <v>0</v>
          </cell>
          <cell r="AE46">
            <v>1</v>
          </cell>
          <cell r="AN46">
            <v>0</v>
          </cell>
          <cell r="AX46">
            <v>1</v>
          </cell>
          <cell r="BI46">
            <v>0</v>
          </cell>
          <cell r="BS46">
            <v>1</v>
          </cell>
          <cell r="CW46">
            <v>0</v>
          </cell>
          <cell r="DG46">
            <v>4</v>
          </cell>
          <cell r="DW46">
            <v>0</v>
          </cell>
        </row>
        <row r="47">
          <cell r="DW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PQYUFYAHCAWRCZOLBHSACKYBPK">
      <xxl21:relativeUrl r:id="rId2"/>
    </xxl21:alternateUrls>
    <sheetNames>
      <sheetName val="MASTER "/>
      <sheetName val="TEACHER LIST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>
        <row r="38">
          <cell r="J38">
            <v>0</v>
          </cell>
          <cell r="T38">
            <v>0</v>
          </cell>
          <cell r="AE38">
            <v>0</v>
          </cell>
          <cell r="AN38">
            <v>0</v>
          </cell>
          <cell r="AX38">
            <v>1</v>
          </cell>
          <cell r="BI38">
            <v>0</v>
          </cell>
          <cell r="BS38">
            <v>0</v>
          </cell>
          <cell r="CM38">
            <v>1</v>
          </cell>
          <cell r="CW38">
            <v>0</v>
          </cell>
          <cell r="DG38">
            <v>0</v>
          </cell>
          <cell r="DW38">
            <v>0</v>
          </cell>
        </row>
        <row r="39">
          <cell r="J39">
            <v>2</v>
          </cell>
          <cell r="T39">
            <v>6</v>
          </cell>
          <cell r="AE39">
            <v>0</v>
          </cell>
          <cell r="AN39">
            <v>1</v>
          </cell>
          <cell r="AX39">
            <v>3</v>
          </cell>
          <cell r="BI39">
            <v>0</v>
          </cell>
          <cell r="BS39">
            <v>1</v>
          </cell>
          <cell r="CM39">
            <v>2</v>
          </cell>
          <cell r="CW39">
            <v>0</v>
          </cell>
          <cell r="DG39">
            <v>0</v>
          </cell>
          <cell r="DW39">
            <v>0</v>
          </cell>
        </row>
        <row r="40">
          <cell r="J40">
            <v>2</v>
          </cell>
          <cell r="T40">
            <v>5</v>
          </cell>
          <cell r="AE40">
            <v>0</v>
          </cell>
          <cell r="AN40">
            <v>0</v>
          </cell>
          <cell r="AX40">
            <v>0</v>
          </cell>
          <cell r="BI40">
            <v>0</v>
          </cell>
          <cell r="BS40">
            <v>0</v>
          </cell>
          <cell r="CM40">
            <v>7</v>
          </cell>
          <cell r="CW40">
            <v>1</v>
          </cell>
          <cell r="DG40">
            <v>0</v>
          </cell>
          <cell r="DW40">
            <v>1</v>
          </cell>
        </row>
        <row r="41">
          <cell r="J41">
            <v>3</v>
          </cell>
          <cell r="T41">
            <v>7</v>
          </cell>
          <cell r="AE41">
            <v>0</v>
          </cell>
          <cell r="AN41">
            <v>3</v>
          </cell>
          <cell r="AX41">
            <v>2</v>
          </cell>
          <cell r="BI41">
            <v>0</v>
          </cell>
          <cell r="BS41">
            <v>2</v>
          </cell>
          <cell r="CM41">
            <v>2</v>
          </cell>
          <cell r="CW41">
            <v>0</v>
          </cell>
          <cell r="DG41">
            <v>0</v>
          </cell>
          <cell r="DW41">
            <v>4</v>
          </cell>
        </row>
        <row r="42">
          <cell r="J42">
            <v>7</v>
          </cell>
          <cell r="T42">
            <v>3</v>
          </cell>
          <cell r="AE42">
            <v>0</v>
          </cell>
          <cell r="AN42">
            <v>4</v>
          </cell>
          <cell r="AX42">
            <v>5</v>
          </cell>
          <cell r="BI42">
            <v>0</v>
          </cell>
          <cell r="BS42">
            <v>1</v>
          </cell>
          <cell r="CM42">
            <v>4</v>
          </cell>
          <cell r="CW42">
            <v>0</v>
          </cell>
          <cell r="DG42">
            <v>0</v>
          </cell>
          <cell r="DW42">
            <v>8</v>
          </cell>
        </row>
        <row r="43">
          <cell r="J43">
            <v>5</v>
          </cell>
          <cell r="T43">
            <v>2</v>
          </cell>
          <cell r="AE43">
            <v>0</v>
          </cell>
          <cell r="AN43">
            <v>4</v>
          </cell>
          <cell r="AX43">
            <v>2</v>
          </cell>
          <cell r="BI43">
            <v>2</v>
          </cell>
          <cell r="BS43">
            <v>3</v>
          </cell>
          <cell r="CM43">
            <v>7</v>
          </cell>
          <cell r="CW43">
            <v>0</v>
          </cell>
          <cell r="DG43">
            <v>2</v>
          </cell>
          <cell r="DW43">
            <v>3</v>
          </cell>
        </row>
        <row r="44">
          <cell r="J44">
            <v>2</v>
          </cell>
          <cell r="T44">
            <v>1</v>
          </cell>
          <cell r="AE44">
            <v>1</v>
          </cell>
          <cell r="AN44">
            <v>4</v>
          </cell>
          <cell r="AX44">
            <v>2</v>
          </cell>
          <cell r="BI44">
            <v>1</v>
          </cell>
          <cell r="BS44">
            <v>1</v>
          </cell>
          <cell r="CM44">
            <v>1</v>
          </cell>
          <cell r="CW44">
            <v>3</v>
          </cell>
          <cell r="DG44">
            <v>6</v>
          </cell>
          <cell r="DW44">
            <v>3</v>
          </cell>
        </row>
        <row r="45">
          <cell r="J45">
            <v>3</v>
          </cell>
          <cell r="T45">
            <v>0</v>
          </cell>
          <cell r="AE45">
            <v>6</v>
          </cell>
          <cell r="AN45">
            <v>4</v>
          </cell>
          <cell r="AX45">
            <v>1</v>
          </cell>
          <cell r="BI45">
            <v>2</v>
          </cell>
          <cell r="BS45">
            <v>1</v>
          </cell>
          <cell r="CM45">
            <v>0</v>
          </cell>
          <cell r="CW45">
            <v>5</v>
          </cell>
          <cell r="DG45">
            <v>5</v>
          </cell>
          <cell r="DW45">
            <v>5</v>
          </cell>
        </row>
        <row r="46">
          <cell r="J46">
            <v>0</v>
          </cell>
          <cell r="T46">
            <v>0</v>
          </cell>
          <cell r="AE46">
            <v>17</v>
          </cell>
          <cell r="AN46">
            <v>4</v>
          </cell>
          <cell r="AX46">
            <v>3</v>
          </cell>
          <cell r="BI46">
            <v>0</v>
          </cell>
          <cell r="BS46">
            <v>1</v>
          </cell>
          <cell r="CM46">
            <v>0</v>
          </cell>
          <cell r="CW46">
            <v>5</v>
          </cell>
          <cell r="DG46">
            <v>11</v>
          </cell>
          <cell r="DW46">
            <v>0</v>
          </cell>
        </row>
        <row r="47">
          <cell r="DW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QEX5Y3V3RC5EIRI5R5XM4CNSH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0</v>
          </cell>
          <cell r="AN38">
            <v>1</v>
          </cell>
          <cell r="AX38">
            <v>0</v>
          </cell>
          <cell r="BI38">
            <v>0</v>
          </cell>
          <cell r="BS38">
            <v>0</v>
          </cell>
          <cell r="CM38">
            <v>1</v>
          </cell>
          <cell r="DW38">
            <v>0</v>
          </cell>
        </row>
        <row r="39">
          <cell r="J39">
            <v>5</v>
          </cell>
          <cell r="T39">
            <v>3</v>
          </cell>
          <cell r="AE39">
            <v>0</v>
          </cell>
          <cell r="AN39">
            <v>5</v>
          </cell>
          <cell r="AX39">
            <v>0</v>
          </cell>
          <cell r="BI39">
            <v>0</v>
          </cell>
          <cell r="CM39">
            <v>3</v>
          </cell>
          <cell r="DW39">
            <v>0</v>
          </cell>
        </row>
        <row r="40">
          <cell r="J40">
            <v>10</v>
          </cell>
          <cell r="T40">
            <v>4</v>
          </cell>
          <cell r="AN40">
            <v>3</v>
          </cell>
          <cell r="AX40">
            <v>0</v>
          </cell>
          <cell r="BI40">
            <v>0</v>
          </cell>
          <cell r="CM40">
            <v>1</v>
          </cell>
          <cell r="DW40">
            <v>0</v>
          </cell>
        </row>
        <row r="41">
          <cell r="J41">
            <v>5</v>
          </cell>
          <cell r="T41">
            <v>11</v>
          </cell>
          <cell r="AE41">
            <v>0</v>
          </cell>
          <cell r="AN41">
            <v>3</v>
          </cell>
          <cell r="AX41">
            <v>0</v>
          </cell>
          <cell r="BI41">
            <v>0</v>
          </cell>
          <cell r="CM41">
            <v>3</v>
          </cell>
          <cell r="DW41">
            <v>0</v>
          </cell>
        </row>
        <row r="42">
          <cell r="J42">
            <v>2</v>
          </cell>
          <cell r="T42">
            <v>5</v>
          </cell>
          <cell r="AE42">
            <v>0</v>
          </cell>
          <cell r="AN42">
            <v>1</v>
          </cell>
          <cell r="AX42">
            <v>0</v>
          </cell>
          <cell r="BI42">
            <v>0</v>
          </cell>
          <cell r="CM42">
            <v>4</v>
          </cell>
          <cell r="DW42">
            <v>1</v>
          </cell>
        </row>
        <row r="43">
          <cell r="J43">
            <v>2</v>
          </cell>
          <cell r="T43">
            <v>1</v>
          </cell>
          <cell r="AE43">
            <v>1</v>
          </cell>
          <cell r="AN43">
            <v>2</v>
          </cell>
          <cell r="AX43">
            <v>0</v>
          </cell>
          <cell r="BI43">
            <v>0</v>
          </cell>
          <cell r="CM43">
            <v>3</v>
          </cell>
          <cell r="DW43">
            <v>12</v>
          </cell>
        </row>
        <row r="44">
          <cell r="J44">
            <v>0</v>
          </cell>
          <cell r="T44">
            <v>0</v>
          </cell>
          <cell r="AE44">
            <v>0</v>
          </cell>
          <cell r="AN44">
            <v>4</v>
          </cell>
          <cell r="AX44">
            <v>8</v>
          </cell>
          <cell r="BI44">
            <v>3</v>
          </cell>
          <cell r="CM44">
            <v>6</v>
          </cell>
          <cell r="DW44">
            <v>6</v>
          </cell>
        </row>
        <row r="45">
          <cell r="J45">
            <v>0</v>
          </cell>
          <cell r="T45">
            <v>0</v>
          </cell>
          <cell r="AE45">
            <v>6</v>
          </cell>
          <cell r="AN45">
            <v>4</v>
          </cell>
          <cell r="AX45">
            <v>11</v>
          </cell>
          <cell r="BI45">
            <v>12</v>
          </cell>
          <cell r="CM45">
            <v>2</v>
          </cell>
          <cell r="DW45">
            <v>5</v>
          </cell>
        </row>
        <row r="46">
          <cell r="J46">
            <v>0</v>
          </cell>
          <cell r="T46">
            <v>0</v>
          </cell>
          <cell r="AE46">
            <v>17</v>
          </cell>
          <cell r="AN46">
            <v>1</v>
          </cell>
          <cell r="AX46">
            <v>5</v>
          </cell>
          <cell r="BI46">
            <v>9</v>
          </cell>
          <cell r="CM46">
            <v>1</v>
          </cell>
          <cell r="DW46">
            <v>0</v>
          </cell>
        </row>
        <row r="47">
          <cell r="DW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KFG3TOB6B2A5DLCJFMNDR5OWLD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0</v>
          </cell>
          <cell r="AN38">
            <v>2</v>
          </cell>
          <cell r="AX38">
            <v>0</v>
          </cell>
          <cell r="BI38">
            <v>0</v>
          </cell>
          <cell r="CM38">
            <v>0</v>
          </cell>
          <cell r="CW38">
            <v>0</v>
          </cell>
          <cell r="DW38">
            <v>0</v>
          </cell>
        </row>
        <row r="39">
          <cell r="J39">
            <v>1</v>
          </cell>
          <cell r="T39">
            <v>6</v>
          </cell>
          <cell r="AE39">
            <v>0</v>
          </cell>
          <cell r="AN39">
            <v>1</v>
          </cell>
          <cell r="AX39">
            <v>0</v>
          </cell>
          <cell r="BI39">
            <v>0</v>
          </cell>
          <cell r="BS39">
            <v>0</v>
          </cell>
          <cell r="CM39">
            <v>0</v>
          </cell>
          <cell r="CW39">
            <v>0</v>
          </cell>
          <cell r="DW39">
            <v>0</v>
          </cell>
        </row>
        <row r="40">
          <cell r="J40">
            <v>3</v>
          </cell>
          <cell r="T40">
            <v>3</v>
          </cell>
          <cell r="AE40">
            <v>0</v>
          </cell>
          <cell r="AN40">
            <v>3</v>
          </cell>
          <cell r="AX40">
            <v>0</v>
          </cell>
          <cell r="BI40">
            <v>0</v>
          </cell>
          <cell r="BS40">
            <v>0</v>
          </cell>
          <cell r="CM40">
            <v>0</v>
          </cell>
          <cell r="CW40">
            <v>0</v>
          </cell>
          <cell r="DW40">
            <v>0</v>
          </cell>
        </row>
        <row r="41">
          <cell r="J41">
            <v>6</v>
          </cell>
          <cell r="T41">
            <v>7</v>
          </cell>
          <cell r="AE41">
            <v>0</v>
          </cell>
          <cell r="AN41">
            <v>3</v>
          </cell>
          <cell r="AX41">
            <v>0</v>
          </cell>
          <cell r="BI41">
            <v>0</v>
          </cell>
          <cell r="BS41">
            <v>0</v>
          </cell>
          <cell r="CM41">
            <v>0</v>
          </cell>
          <cell r="CW41">
            <v>1</v>
          </cell>
          <cell r="DW41">
            <v>0</v>
          </cell>
        </row>
        <row r="42">
          <cell r="J42">
            <v>5</v>
          </cell>
          <cell r="T42">
            <v>4</v>
          </cell>
          <cell r="AE42">
            <v>0</v>
          </cell>
          <cell r="AN42">
            <v>6</v>
          </cell>
          <cell r="AX42">
            <v>0</v>
          </cell>
          <cell r="BI42">
            <v>0</v>
          </cell>
          <cell r="BS42">
            <v>0</v>
          </cell>
          <cell r="CM42">
            <v>1</v>
          </cell>
          <cell r="CW42">
            <v>0</v>
          </cell>
          <cell r="DW42">
            <v>1</v>
          </cell>
        </row>
        <row r="43">
          <cell r="J43">
            <v>3</v>
          </cell>
          <cell r="T43">
            <v>5</v>
          </cell>
          <cell r="AE43">
            <v>0</v>
          </cell>
          <cell r="AN43">
            <v>1</v>
          </cell>
          <cell r="AX43">
            <v>0</v>
          </cell>
          <cell r="BI43">
            <v>0</v>
          </cell>
          <cell r="BS43">
            <v>1</v>
          </cell>
          <cell r="CM43">
            <v>3</v>
          </cell>
          <cell r="CW43">
            <v>2</v>
          </cell>
          <cell r="DW43">
            <v>5</v>
          </cell>
        </row>
        <row r="44">
          <cell r="J44">
            <v>6</v>
          </cell>
          <cell r="T44">
            <v>0</v>
          </cell>
          <cell r="AE44">
            <v>0</v>
          </cell>
          <cell r="AN44">
            <v>4</v>
          </cell>
          <cell r="AX44">
            <v>1</v>
          </cell>
          <cell r="BI44">
            <v>0</v>
          </cell>
          <cell r="BS44">
            <v>8</v>
          </cell>
          <cell r="CM44">
            <v>6</v>
          </cell>
          <cell r="CW44">
            <v>4</v>
          </cell>
          <cell r="DW44">
            <v>10</v>
          </cell>
        </row>
        <row r="45">
          <cell r="J45">
            <v>1</v>
          </cell>
          <cell r="T45">
            <v>0</v>
          </cell>
          <cell r="AE45">
            <v>1</v>
          </cell>
          <cell r="AN45">
            <v>4</v>
          </cell>
          <cell r="AX45">
            <v>4</v>
          </cell>
          <cell r="BI45">
            <v>2</v>
          </cell>
          <cell r="BS45">
            <v>7</v>
          </cell>
          <cell r="CM45">
            <v>3</v>
          </cell>
          <cell r="CW45">
            <v>1</v>
          </cell>
          <cell r="DW45">
            <v>3</v>
          </cell>
        </row>
        <row r="46">
          <cell r="J46">
            <v>0</v>
          </cell>
          <cell r="T46">
            <v>0</v>
          </cell>
          <cell r="AE46">
            <v>24</v>
          </cell>
          <cell r="AN46">
            <v>1</v>
          </cell>
          <cell r="AX46">
            <v>20</v>
          </cell>
          <cell r="BI46">
            <v>23</v>
          </cell>
          <cell r="BS46">
            <v>9</v>
          </cell>
          <cell r="CM46">
            <v>3</v>
          </cell>
          <cell r="CW46">
            <v>0</v>
          </cell>
          <cell r="DW46">
            <v>6</v>
          </cell>
        </row>
        <row r="47">
          <cell r="DW4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NUZ7QPEWDAYNGJFMNPUWEDTE4Z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2"/>
      <sheetName val="S23"/>
      <sheetName val="S21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8">
          <cell r="J38">
            <v>0</v>
          </cell>
          <cell r="T38">
            <v>0</v>
          </cell>
          <cell r="AE38">
            <v>0</v>
          </cell>
          <cell r="AN38">
            <v>0</v>
          </cell>
          <cell r="AX38">
            <v>0</v>
          </cell>
          <cell r="BI38">
            <v>0</v>
          </cell>
          <cell r="BS38">
            <v>0</v>
          </cell>
          <cell r="CM38">
            <v>0</v>
          </cell>
          <cell r="CW38">
            <v>0</v>
          </cell>
          <cell r="DW38">
            <v>0</v>
          </cell>
        </row>
        <row r="39">
          <cell r="J39">
            <v>0</v>
          </cell>
          <cell r="T39">
            <v>1</v>
          </cell>
          <cell r="AE39">
            <v>3</v>
          </cell>
          <cell r="AN39">
            <v>0</v>
          </cell>
          <cell r="AX39">
            <v>0</v>
          </cell>
          <cell r="BI39">
            <v>0</v>
          </cell>
          <cell r="BS39">
            <v>0</v>
          </cell>
          <cell r="CM39">
            <v>1</v>
          </cell>
          <cell r="CW39">
            <v>0</v>
          </cell>
          <cell r="DW39">
            <v>0</v>
          </cell>
        </row>
        <row r="40">
          <cell r="J40">
            <v>0</v>
          </cell>
          <cell r="T40">
            <v>0</v>
          </cell>
          <cell r="AE40">
            <v>3</v>
          </cell>
          <cell r="AN40">
            <v>1</v>
          </cell>
          <cell r="AX40">
            <v>0</v>
          </cell>
          <cell r="BI40">
            <v>0</v>
          </cell>
          <cell r="BS40">
            <v>0</v>
          </cell>
          <cell r="CM40">
            <v>0</v>
          </cell>
          <cell r="CW40">
            <v>0</v>
          </cell>
          <cell r="DW40">
            <v>0</v>
          </cell>
        </row>
        <row r="41">
          <cell r="J41">
            <v>3</v>
          </cell>
          <cell r="T41">
            <v>2</v>
          </cell>
          <cell r="AE41">
            <v>9</v>
          </cell>
          <cell r="AN41">
            <v>1</v>
          </cell>
          <cell r="AX41">
            <v>0</v>
          </cell>
          <cell r="BI41">
            <v>3</v>
          </cell>
          <cell r="BS41">
            <v>0</v>
          </cell>
          <cell r="CM41">
            <v>0</v>
          </cell>
          <cell r="CW41">
            <v>1</v>
          </cell>
          <cell r="DW41">
            <v>1</v>
          </cell>
        </row>
        <row r="42">
          <cell r="J42">
            <v>3</v>
          </cell>
          <cell r="T42">
            <v>3</v>
          </cell>
          <cell r="AE42">
            <v>5</v>
          </cell>
          <cell r="AN42">
            <v>2</v>
          </cell>
          <cell r="AX42">
            <v>1</v>
          </cell>
          <cell r="BI42">
            <v>3</v>
          </cell>
          <cell r="BS42">
            <v>0</v>
          </cell>
          <cell r="CM42">
            <v>5</v>
          </cell>
          <cell r="CW42">
            <v>0</v>
          </cell>
          <cell r="DW42">
            <v>1</v>
          </cell>
        </row>
        <row r="43">
          <cell r="J43">
            <v>3</v>
          </cell>
          <cell r="T43">
            <v>5</v>
          </cell>
          <cell r="AE43">
            <v>1</v>
          </cell>
          <cell r="AN43">
            <v>1</v>
          </cell>
          <cell r="AX43">
            <v>1</v>
          </cell>
          <cell r="BI43">
            <v>2</v>
          </cell>
          <cell r="BS43">
            <v>0</v>
          </cell>
          <cell r="CM43">
            <v>1</v>
          </cell>
          <cell r="CW43">
            <v>0</v>
          </cell>
          <cell r="DW43">
            <v>1</v>
          </cell>
        </row>
        <row r="44">
          <cell r="J44">
            <v>4</v>
          </cell>
          <cell r="T44">
            <v>2</v>
          </cell>
          <cell r="AN44">
            <v>3</v>
          </cell>
          <cell r="AX44">
            <v>1</v>
          </cell>
          <cell r="BI44">
            <v>3</v>
          </cell>
          <cell r="BS44">
            <v>1</v>
          </cell>
          <cell r="CM44">
            <v>5</v>
          </cell>
          <cell r="CW44">
            <v>3</v>
          </cell>
          <cell r="DW44">
            <v>4</v>
          </cell>
        </row>
        <row r="45">
          <cell r="J45">
            <v>4</v>
          </cell>
          <cell r="T45">
            <v>4</v>
          </cell>
          <cell r="AN45">
            <v>4</v>
          </cell>
          <cell r="AX45">
            <v>5</v>
          </cell>
          <cell r="BI45">
            <v>7</v>
          </cell>
          <cell r="BS45">
            <v>0</v>
          </cell>
          <cell r="CM45">
            <v>0</v>
          </cell>
          <cell r="CW45">
            <v>1</v>
          </cell>
          <cell r="DW45">
            <v>5</v>
          </cell>
        </row>
        <row r="46">
          <cell r="J46">
            <v>4</v>
          </cell>
          <cell r="T46">
            <v>4</v>
          </cell>
          <cell r="AN46">
            <v>9</v>
          </cell>
          <cell r="AX46">
            <v>13</v>
          </cell>
          <cell r="BI46">
            <v>3</v>
          </cell>
          <cell r="BS46">
            <v>0</v>
          </cell>
          <cell r="CM46">
            <v>1</v>
          </cell>
          <cell r="CW46">
            <v>2</v>
          </cell>
          <cell r="DW46">
            <v>6</v>
          </cell>
        </row>
        <row r="47">
          <cell r="DW47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lnG5BGSE6amQYATbb_IWu0eJcSNuhDuqVFXeskG0oW5Airej8rQ7RkLXV8mYrZ" itemId="01FZZOJZMTRIGAVT3M4NF2OQMS6OFUUJQX">
      <xxl21:absoluteUrl r:id="rId2"/>
      <xxl21:relativeUrl r:id="rId3"/>
    </xxl21:alternateUrls>
    <sheetNames>
      <sheetName val="TEACHER LIST"/>
      <sheetName val="MASTER 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0"/>
      <sheetName val="S21"/>
      <sheetName val="S22"/>
      <sheetName val="S23"/>
      <sheetName val="S24"/>
      <sheetName val="S25"/>
      <sheetName val="S26"/>
      <sheetName val="S27"/>
      <sheetName val="S28"/>
      <sheetName val="S29"/>
      <sheetName val="S30"/>
    </sheetNames>
    <sheetDataSet>
      <sheetData sheetId="0"/>
      <sheetData sheetId="1">
        <row r="36">
          <cell r="J36">
            <v>0</v>
          </cell>
          <cell r="T36">
            <v>0</v>
          </cell>
          <cell r="AE36">
            <v>1</v>
          </cell>
          <cell r="AN36">
            <v>0</v>
          </cell>
          <cell r="AX36">
            <v>0</v>
          </cell>
          <cell r="BI36">
            <v>0</v>
          </cell>
          <cell r="CM36">
            <v>0</v>
          </cell>
          <cell r="DW36">
            <v>0</v>
          </cell>
        </row>
        <row r="37">
          <cell r="J37">
            <v>0</v>
          </cell>
          <cell r="T37">
            <v>0</v>
          </cell>
          <cell r="AE37">
            <v>1</v>
          </cell>
          <cell r="AN37">
            <v>0</v>
          </cell>
          <cell r="AX37">
            <v>0</v>
          </cell>
          <cell r="BI37">
            <v>0</v>
          </cell>
          <cell r="CM37">
            <v>2</v>
          </cell>
          <cell r="DW37">
            <v>0</v>
          </cell>
        </row>
        <row r="38">
          <cell r="J38">
            <v>2</v>
          </cell>
          <cell r="T38">
            <v>0</v>
          </cell>
          <cell r="AE38">
            <v>6</v>
          </cell>
          <cell r="AN38">
            <v>0</v>
          </cell>
          <cell r="AX38">
            <v>0</v>
          </cell>
          <cell r="BI38">
            <v>0</v>
          </cell>
          <cell r="CM38">
            <v>0</v>
          </cell>
          <cell r="DW38">
            <v>0</v>
          </cell>
        </row>
        <row r="39">
          <cell r="J39">
            <v>0</v>
          </cell>
          <cell r="T39">
            <v>1</v>
          </cell>
          <cell r="AE39">
            <v>3</v>
          </cell>
          <cell r="AN39">
            <v>1</v>
          </cell>
          <cell r="AX39">
            <v>0</v>
          </cell>
          <cell r="BI39">
            <v>0</v>
          </cell>
          <cell r="CM39">
            <v>5</v>
          </cell>
          <cell r="DW39">
            <v>0</v>
          </cell>
        </row>
        <row r="40">
          <cell r="J40">
            <v>4</v>
          </cell>
          <cell r="T40">
            <v>0</v>
          </cell>
          <cell r="AE40">
            <v>3</v>
          </cell>
          <cell r="AN40">
            <v>3</v>
          </cell>
          <cell r="AX40">
            <v>0</v>
          </cell>
          <cell r="BI40">
            <v>0</v>
          </cell>
          <cell r="CM40">
            <v>4</v>
          </cell>
          <cell r="DW40">
            <v>1</v>
          </cell>
        </row>
        <row r="41">
          <cell r="J41">
            <v>3</v>
          </cell>
          <cell r="T41">
            <v>2</v>
          </cell>
          <cell r="AE41">
            <v>4</v>
          </cell>
          <cell r="AN41">
            <v>2</v>
          </cell>
          <cell r="AX41">
            <v>0</v>
          </cell>
          <cell r="BI41">
            <v>2</v>
          </cell>
          <cell r="CM41">
            <v>5</v>
          </cell>
          <cell r="DW41">
            <v>2</v>
          </cell>
        </row>
        <row r="42">
          <cell r="J42">
            <v>4</v>
          </cell>
          <cell r="T42">
            <v>4</v>
          </cell>
          <cell r="AN42">
            <v>0</v>
          </cell>
          <cell r="AX42">
            <v>2</v>
          </cell>
          <cell r="BI42">
            <v>3</v>
          </cell>
          <cell r="CM42">
            <v>2</v>
          </cell>
          <cell r="DW42">
            <v>2</v>
          </cell>
        </row>
        <row r="43">
          <cell r="J43">
            <v>3</v>
          </cell>
          <cell r="T43">
            <v>4</v>
          </cell>
          <cell r="AN43">
            <v>5</v>
          </cell>
          <cell r="AX43">
            <v>6</v>
          </cell>
          <cell r="BI43">
            <v>7</v>
          </cell>
          <cell r="CM43">
            <v>0</v>
          </cell>
          <cell r="DW43">
            <v>7</v>
          </cell>
        </row>
        <row r="44">
          <cell r="J44">
            <v>2</v>
          </cell>
          <cell r="T44">
            <v>7</v>
          </cell>
          <cell r="AN44">
            <v>7</v>
          </cell>
          <cell r="AX44">
            <v>10</v>
          </cell>
          <cell r="BI44">
            <v>6</v>
          </cell>
          <cell r="CM44">
            <v>0</v>
          </cell>
          <cell r="DW44">
            <v>4</v>
          </cell>
        </row>
        <row r="45">
          <cell r="J45"/>
          <cell r="DW45">
            <v>2</v>
          </cell>
        </row>
        <row r="46">
          <cell r="J46">
            <v>9</v>
          </cell>
          <cell r="T46">
            <v>3</v>
          </cell>
          <cell r="AN46">
            <v>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2"/>
  <sheetViews>
    <sheetView view="pageLayout" zoomScale="80" zoomScaleNormal="100" zoomScalePageLayoutView="80" workbookViewId="0">
      <selection activeCell="C50" sqref="C50"/>
    </sheetView>
  </sheetViews>
  <sheetFormatPr defaultColWidth="8.85546875" defaultRowHeight="12.75"/>
  <cols>
    <col min="1" max="1" width="8.7109375" customWidth="1"/>
    <col min="2" max="2" width="39" customWidth="1"/>
    <col min="3" max="3" width="9" customWidth="1"/>
    <col min="4" max="4" width="8.140625" customWidth="1"/>
    <col min="5" max="6" width="6.85546875" customWidth="1"/>
    <col min="7" max="7" width="6.42578125" customWidth="1"/>
    <col min="8" max="12" width="6.85546875" customWidth="1"/>
    <col min="13" max="13" width="7.85546875" customWidth="1"/>
    <col min="14" max="14" width="10.7109375" customWidth="1"/>
    <col min="15" max="15" width="7.85546875" customWidth="1"/>
    <col min="16" max="16" width="9.7109375" style="107" bestFit="1" customWidth="1"/>
  </cols>
  <sheetData>
    <row r="1" spans="1:16" ht="18">
      <c r="A1" s="152" t="s">
        <v>0</v>
      </c>
    </row>
    <row r="2" spans="1:16" s="5" customFormat="1">
      <c r="A2"/>
      <c r="B2"/>
      <c r="C2"/>
      <c r="D2" s="222" t="s">
        <v>1</v>
      </c>
      <c r="E2" s="223"/>
      <c r="F2" s="222" t="s">
        <v>2</v>
      </c>
      <c r="G2" s="224"/>
      <c r="H2" s="224"/>
      <c r="I2" s="223"/>
      <c r="J2" s="222" t="s">
        <v>3</v>
      </c>
      <c r="K2" s="223"/>
      <c r="L2" s="164" t="s">
        <v>4</v>
      </c>
      <c r="M2"/>
      <c r="N2"/>
      <c r="O2"/>
      <c r="P2" s="107"/>
    </row>
    <row r="3" spans="1:16" ht="25.5">
      <c r="A3" s="58" t="s">
        <v>5</v>
      </c>
      <c r="B3" s="58" t="s">
        <v>6</v>
      </c>
      <c r="C3" s="58" t="s">
        <v>7</v>
      </c>
      <c r="D3" s="58" t="s">
        <v>8</v>
      </c>
      <c r="E3" s="58" t="s">
        <v>9</v>
      </c>
      <c r="F3" s="58" t="s">
        <v>10</v>
      </c>
      <c r="G3" s="58" t="s">
        <v>11</v>
      </c>
      <c r="H3" s="58" t="s">
        <v>12</v>
      </c>
      <c r="I3" s="58" t="s">
        <v>13</v>
      </c>
      <c r="J3" s="58" t="s">
        <v>14</v>
      </c>
      <c r="K3" s="58" t="s">
        <v>15</v>
      </c>
      <c r="L3" s="58" t="s">
        <v>16</v>
      </c>
      <c r="M3" s="48" t="s">
        <v>17</v>
      </c>
      <c r="N3" s="48" t="s">
        <v>18</v>
      </c>
      <c r="O3" s="48" t="s">
        <v>19</v>
      </c>
      <c r="P3" s="108" t="s">
        <v>20</v>
      </c>
    </row>
    <row r="4" spans="1:16">
      <c r="A4" s="164" t="s">
        <v>21</v>
      </c>
      <c r="B4" s="141" t="s">
        <v>22</v>
      </c>
      <c r="C4" s="7">
        <f>SUM(D4:L4)</f>
        <v>17</v>
      </c>
      <c r="D4" s="7">
        <f>'[1]MASTER '!$J$38</f>
        <v>0</v>
      </c>
      <c r="E4" s="7">
        <f>'[1]MASTER '!$J$39</f>
        <v>10</v>
      </c>
      <c r="F4" s="7">
        <f>'[1]MASTER '!$J$40</f>
        <v>5</v>
      </c>
      <c r="G4" s="7">
        <f>'[1]MASTER '!$J$41</f>
        <v>2</v>
      </c>
      <c r="H4" s="7">
        <f>'[1]MASTER '!$J$42</f>
        <v>0</v>
      </c>
      <c r="I4" s="7">
        <f>'[1]MASTER '!$J$43</f>
        <v>0</v>
      </c>
      <c r="J4" s="141">
        <f>'[1]MASTER '!$J$44</f>
        <v>0</v>
      </c>
      <c r="K4" s="141">
        <f>'[1]MASTER '!$J$45</f>
        <v>0</v>
      </c>
      <c r="L4" s="141">
        <f>'[1]MASTER '!$J$46</f>
        <v>0</v>
      </c>
      <c r="M4" s="7">
        <f t="shared" ref="M4" si="0">SUM(D4:I4)</f>
        <v>17</v>
      </c>
      <c r="N4" s="8">
        <f t="shared" ref="N4" si="1">((M4/C4)*100)</f>
        <v>100</v>
      </c>
      <c r="O4" s="7">
        <f t="shared" ref="O4" si="2">SUM(D4:K4)</f>
        <v>17</v>
      </c>
      <c r="P4" s="8">
        <f t="shared" ref="P4" si="3">((O4/C4)*100)</f>
        <v>100</v>
      </c>
    </row>
    <row r="5" spans="1:16">
      <c r="A5" s="164" t="s">
        <v>23</v>
      </c>
      <c r="B5" s="141" t="s">
        <v>24</v>
      </c>
      <c r="C5" s="7">
        <f t="shared" ref="C5:C11" si="4">SUM(D5:L5)</f>
        <v>21</v>
      </c>
      <c r="D5" s="7">
        <f>'[2]MASTER '!$J$38</f>
        <v>0</v>
      </c>
      <c r="E5" s="7">
        <f>'[2]MASTER '!$J$39</f>
        <v>3</v>
      </c>
      <c r="F5" s="7">
        <f>'[2]MASTER '!$J$40</f>
        <v>5</v>
      </c>
      <c r="G5" s="7">
        <f>'[2]MASTER '!$J$41</f>
        <v>5</v>
      </c>
      <c r="H5" s="7">
        <f>'[2]MASTER '!$J$42</f>
        <v>3</v>
      </c>
      <c r="I5" s="7">
        <f>'[2]MASTER '!$J$43</f>
        <v>5</v>
      </c>
      <c r="J5" s="141">
        <f>'[2]MASTER '!$J$44</f>
        <v>0</v>
      </c>
      <c r="K5" s="141">
        <f>'[2]MASTER '!$J$45</f>
        <v>0</v>
      </c>
      <c r="L5" s="141">
        <f>'[2]MASTER '!$J$46</f>
        <v>0</v>
      </c>
      <c r="M5" s="7">
        <f t="shared" ref="M5:M11" si="5">SUM(D5:I5)</f>
        <v>21</v>
      </c>
      <c r="N5" s="8">
        <f t="shared" ref="N5:N11" si="6">((M5/C5)*100)</f>
        <v>100</v>
      </c>
      <c r="O5" s="7">
        <f t="shared" ref="O5:O12" si="7">SUM(D5:K5)</f>
        <v>21</v>
      </c>
      <c r="P5" s="8">
        <f t="shared" ref="P5:P12" si="8">((O5/C5)*100)</f>
        <v>100</v>
      </c>
    </row>
    <row r="6" spans="1:16">
      <c r="A6" s="164" t="s">
        <v>25</v>
      </c>
      <c r="B6" s="141" t="s">
        <v>22</v>
      </c>
      <c r="C6" s="7">
        <f t="shared" si="4"/>
        <v>15</v>
      </c>
      <c r="D6" s="7">
        <f>'[3]MASTER '!$J$38</f>
        <v>0</v>
      </c>
      <c r="E6" s="7">
        <f>'[3]MASTER '!$J$39</f>
        <v>4</v>
      </c>
      <c r="F6" s="7">
        <f>'[3]MASTER '!$J$40</f>
        <v>8</v>
      </c>
      <c r="G6" s="7">
        <f>'[3]MASTER '!$J$41</f>
        <v>2</v>
      </c>
      <c r="H6" s="7">
        <f>'[3]MASTER '!$J$42</f>
        <v>1</v>
      </c>
      <c r="I6" s="7">
        <f>'[3]MASTER '!$J$43</f>
        <v>0</v>
      </c>
      <c r="J6" s="141">
        <f>'[3]MASTER '!$J$44</f>
        <v>0</v>
      </c>
      <c r="K6" s="141">
        <f>'[3]MASTER '!$J$45</f>
        <v>0</v>
      </c>
      <c r="L6" s="141">
        <f>'[3]MASTER '!$J$46</f>
        <v>0</v>
      </c>
      <c r="M6" s="7">
        <f t="shared" si="5"/>
        <v>15</v>
      </c>
      <c r="N6" s="8">
        <f t="shared" si="6"/>
        <v>100</v>
      </c>
      <c r="O6" s="7">
        <f t="shared" si="7"/>
        <v>15</v>
      </c>
      <c r="P6" s="8">
        <f t="shared" si="8"/>
        <v>100</v>
      </c>
    </row>
    <row r="7" spans="1:16">
      <c r="A7" s="164" t="s">
        <v>26</v>
      </c>
      <c r="B7" s="141" t="s">
        <v>24</v>
      </c>
      <c r="C7" s="7">
        <f t="shared" si="4"/>
        <v>24</v>
      </c>
      <c r="D7" s="7">
        <f>'[4]MASTER '!$J$38</f>
        <v>0</v>
      </c>
      <c r="E7" s="7">
        <f>'[4]MASTER '!$J$39</f>
        <v>2</v>
      </c>
      <c r="F7" s="7">
        <f>'[4]MASTER '!$J$40</f>
        <v>2</v>
      </c>
      <c r="G7" s="7">
        <f>'[4]MASTER '!$J$41</f>
        <v>3</v>
      </c>
      <c r="H7" s="7">
        <f>'[4]MASTER '!$J$42</f>
        <v>7</v>
      </c>
      <c r="I7" s="7">
        <f>'[4]MASTER '!$J$43</f>
        <v>5</v>
      </c>
      <c r="J7" s="141">
        <f>'[4]MASTER '!$J$44</f>
        <v>2</v>
      </c>
      <c r="K7" s="141">
        <f>'[4]MASTER '!$J$45</f>
        <v>3</v>
      </c>
      <c r="L7" s="141">
        <f>'[4]MASTER '!$J$46</f>
        <v>0</v>
      </c>
      <c r="M7" s="7">
        <f t="shared" si="5"/>
        <v>19</v>
      </c>
      <c r="N7" s="8">
        <f t="shared" si="6"/>
        <v>79.166666666666657</v>
      </c>
      <c r="O7" s="7">
        <f t="shared" si="7"/>
        <v>24</v>
      </c>
      <c r="P7" s="8">
        <f t="shared" si="8"/>
        <v>100</v>
      </c>
    </row>
    <row r="8" spans="1:16">
      <c r="A8" s="164" t="s">
        <v>27</v>
      </c>
      <c r="B8" s="141" t="s">
        <v>28</v>
      </c>
      <c r="C8" s="7">
        <f t="shared" si="4"/>
        <v>24</v>
      </c>
      <c r="D8" s="7">
        <f>'[5]MASTER '!$J$38</f>
        <v>0</v>
      </c>
      <c r="E8" s="7">
        <f>'[5]MASTER '!$J$39</f>
        <v>5</v>
      </c>
      <c r="F8" s="7">
        <f>'[5]MASTER '!$J$40</f>
        <v>10</v>
      </c>
      <c r="G8" s="7">
        <f>'[5]MASTER '!$J$41</f>
        <v>5</v>
      </c>
      <c r="H8" s="7">
        <f>'[5]MASTER '!$J$42</f>
        <v>2</v>
      </c>
      <c r="I8" s="7">
        <f>'[5]MASTER '!$J$43</f>
        <v>2</v>
      </c>
      <c r="J8" s="141">
        <f>'[5]MASTER '!$J$44</f>
        <v>0</v>
      </c>
      <c r="K8" s="141">
        <f>'[5]MASTER '!$J$45</f>
        <v>0</v>
      </c>
      <c r="L8" s="141">
        <f>'[5]MASTER '!$J$46</f>
        <v>0</v>
      </c>
      <c r="M8" s="7">
        <f t="shared" si="5"/>
        <v>24</v>
      </c>
      <c r="N8" s="8">
        <f t="shared" si="6"/>
        <v>100</v>
      </c>
      <c r="O8" s="7">
        <f t="shared" si="7"/>
        <v>24</v>
      </c>
      <c r="P8" s="8">
        <f t="shared" si="8"/>
        <v>100</v>
      </c>
    </row>
    <row r="9" spans="1:16">
      <c r="A9" s="164" t="s">
        <v>29</v>
      </c>
      <c r="B9" s="141" t="s">
        <v>30</v>
      </c>
      <c r="C9" s="7">
        <f t="shared" si="4"/>
        <v>25</v>
      </c>
      <c r="D9" s="7">
        <f>'[6]MASTER '!$J$38</f>
        <v>0</v>
      </c>
      <c r="E9" s="7">
        <f>'[6]MASTER '!$J$39</f>
        <v>1</v>
      </c>
      <c r="F9" s="7">
        <f>'[6]MASTER '!$J$40</f>
        <v>3</v>
      </c>
      <c r="G9" s="7">
        <f>'[6]MASTER '!$J$41</f>
        <v>6</v>
      </c>
      <c r="H9" s="7">
        <f>'[6]MASTER '!$J$42</f>
        <v>5</v>
      </c>
      <c r="I9" s="7">
        <f>'[6]MASTER '!$J$43</f>
        <v>3</v>
      </c>
      <c r="J9" s="141">
        <f>'[6]MASTER '!$J$44</f>
        <v>6</v>
      </c>
      <c r="K9" s="141">
        <f>'[6]MASTER '!$J$45</f>
        <v>1</v>
      </c>
      <c r="L9" s="141">
        <f>'[6]MASTER '!$J$46</f>
        <v>0</v>
      </c>
      <c r="M9" s="7">
        <f t="shared" si="5"/>
        <v>18</v>
      </c>
      <c r="N9" s="8">
        <f t="shared" si="6"/>
        <v>72</v>
      </c>
      <c r="O9" s="7">
        <f t="shared" si="7"/>
        <v>25</v>
      </c>
      <c r="P9" s="8">
        <f t="shared" si="8"/>
        <v>100</v>
      </c>
    </row>
    <row r="10" spans="1:16">
      <c r="A10" s="164" t="s">
        <v>31</v>
      </c>
      <c r="B10" s="141" t="s">
        <v>30</v>
      </c>
      <c r="C10" s="7">
        <f t="shared" si="4"/>
        <v>21</v>
      </c>
      <c r="D10" s="7">
        <f>'[7]MASTER '!$J$38</f>
        <v>0</v>
      </c>
      <c r="E10" s="7">
        <f>'[7]MASTER '!$J$39</f>
        <v>0</v>
      </c>
      <c r="F10" s="7">
        <f>'[7]MASTER '!$J$40</f>
        <v>0</v>
      </c>
      <c r="G10" s="7">
        <f>'[7]MASTER '!$J$41</f>
        <v>3</v>
      </c>
      <c r="H10" s="7">
        <f>'[7]MASTER '!$J$42</f>
        <v>3</v>
      </c>
      <c r="I10" s="7">
        <f>'[7]MASTER '!$J$43</f>
        <v>3</v>
      </c>
      <c r="J10" s="141">
        <f>'[7]MASTER '!$J$44</f>
        <v>4</v>
      </c>
      <c r="K10" s="141">
        <f>'[7]MASTER '!$J$45</f>
        <v>4</v>
      </c>
      <c r="L10" s="141">
        <f>'[7]MASTER '!$J$46</f>
        <v>4</v>
      </c>
      <c r="M10" s="7">
        <f t="shared" ref="M10" si="9">SUM(D10:I10)</f>
        <v>9</v>
      </c>
      <c r="N10" s="8">
        <f t="shared" ref="N10" si="10">((M10/C10)*100)</f>
        <v>42.857142857142854</v>
      </c>
      <c r="O10" s="7">
        <f t="shared" ref="O10" si="11">SUM(D10:K10)</f>
        <v>17</v>
      </c>
      <c r="P10" s="8">
        <f t="shared" ref="P10" si="12">((O10/C10)*100)</f>
        <v>80.952380952380949</v>
      </c>
    </row>
    <row r="11" spans="1:16">
      <c r="A11" s="164" t="s">
        <v>32</v>
      </c>
      <c r="B11" s="141" t="s">
        <v>30</v>
      </c>
      <c r="C11" s="7">
        <f t="shared" si="4"/>
        <v>18</v>
      </c>
      <c r="D11" s="7">
        <f>'[8]MASTER '!$J$36</f>
        <v>0</v>
      </c>
      <c r="E11" s="7">
        <f>'[8]MASTER '!$J$37</f>
        <v>0</v>
      </c>
      <c r="F11" s="7">
        <f>'[8]MASTER '!$J$38</f>
        <v>2</v>
      </c>
      <c r="G11" s="7">
        <f>'[8]MASTER '!$J$39</f>
        <v>0</v>
      </c>
      <c r="H11" s="7">
        <f>'[8]MASTER '!$J$42</f>
        <v>4</v>
      </c>
      <c r="I11" s="7">
        <f>'[8]MASTER '!$J$41</f>
        <v>3</v>
      </c>
      <c r="J11" s="141">
        <f>'[8]MASTER '!$J$42</f>
        <v>4</v>
      </c>
      <c r="K11" s="141">
        <f>'[8]MASTER '!$J$43</f>
        <v>3</v>
      </c>
      <c r="L11" s="141">
        <f>'[8]MASTER '!$J$44</f>
        <v>2</v>
      </c>
      <c r="M11" s="7">
        <f t="shared" si="5"/>
        <v>9</v>
      </c>
      <c r="N11" s="8">
        <f t="shared" si="6"/>
        <v>50</v>
      </c>
      <c r="O11" s="7">
        <f t="shared" si="7"/>
        <v>16</v>
      </c>
      <c r="P11" s="8">
        <f t="shared" si="8"/>
        <v>88.888888888888886</v>
      </c>
    </row>
    <row r="12" spans="1:16">
      <c r="A12" s="159"/>
      <c r="B12" s="160" t="s">
        <v>33</v>
      </c>
      <c r="C12" s="164">
        <f>SUM(C4:C11)</f>
        <v>165</v>
      </c>
      <c r="D12" s="164">
        <f t="shared" ref="D12:L12" si="13">SUM(D4:D11)</f>
        <v>0</v>
      </c>
      <c r="E12" s="164">
        <f t="shared" si="13"/>
        <v>25</v>
      </c>
      <c r="F12" s="164">
        <f t="shared" si="13"/>
        <v>35</v>
      </c>
      <c r="G12" s="164">
        <f t="shared" si="13"/>
        <v>26</v>
      </c>
      <c r="H12" s="164">
        <f t="shared" si="13"/>
        <v>25</v>
      </c>
      <c r="I12" s="164">
        <f t="shared" si="13"/>
        <v>21</v>
      </c>
      <c r="J12" s="164">
        <f t="shared" si="13"/>
        <v>16</v>
      </c>
      <c r="K12" s="164">
        <f t="shared" si="13"/>
        <v>11</v>
      </c>
      <c r="L12" s="164">
        <f t="shared" si="13"/>
        <v>6</v>
      </c>
      <c r="M12" s="164">
        <f>SUM(M4:M11)</f>
        <v>132</v>
      </c>
      <c r="N12" s="9">
        <f>((M12/C12)*100)</f>
        <v>80</v>
      </c>
      <c r="O12" s="7">
        <f t="shared" si="7"/>
        <v>159</v>
      </c>
      <c r="P12" s="9">
        <f t="shared" si="8"/>
        <v>96.36363636363636</v>
      </c>
    </row>
    <row r="13" spans="1:16" ht="41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  <c r="O13" s="10"/>
      <c r="P13" s="11"/>
    </row>
    <row r="14" spans="1:16" s="5" customFormat="1" ht="18">
      <c r="A14" s="152" t="s">
        <v>34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 s="107"/>
    </row>
    <row r="15" spans="1:16" ht="12.75" customHeight="1">
      <c r="D15" s="222" t="s">
        <v>1</v>
      </c>
      <c r="E15" s="223"/>
      <c r="F15" s="159"/>
      <c r="G15" s="161" t="s">
        <v>2</v>
      </c>
      <c r="H15" s="161"/>
      <c r="I15" s="160"/>
      <c r="J15" s="222" t="s">
        <v>3</v>
      </c>
      <c r="K15" s="223"/>
      <c r="L15" s="164" t="s">
        <v>4</v>
      </c>
    </row>
    <row r="16" spans="1:16" ht="25.5">
      <c r="A16" s="58" t="s">
        <v>5</v>
      </c>
      <c r="B16" s="58" t="s">
        <v>6</v>
      </c>
      <c r="C16" s="58" t="s">
        <v>7</v>
      </c>
      <c r="D16" s="58" t="s">
        <v>8</v>
      </c>
      <c r="E16" s="58" t="s">
        <v>9</v>
      </c>
      <c r="F16" s="58" t="s">
        <v>10</v>
      </c>
      <c r="G16" s="58" t="s">
        <v>11</v>
      </c>
      <c r="H16" s="58" t="s">
        <v>12</v>
      </c>
      <c r="I16" s="58" t="s">
        <v>13</v>
      </c>
      <c r="J16" s="58" t="s">
        <v>14</v>
      </c>
      <c r="K16" s="58" t="s">
        <v>15</v>
      </c>
      <c r="L16" s="58" t="s">
        <v>16</v>
      </c>
      <c r="M16" s="48" t="s">
        <v>17</v>
      </c>
      <c r="N16" s="48" t="s">
        <v>18</v>
      </c>
      <c r="O16" s="48" t="s">
        <v>19</v>
      </c>
      <c r="P16" s="108" t="s">
        <v>20</v>
      </c>
    </row>
    <row r="17" spans="1:16" ht="12.75" customHeight="1">
      <c r="A17" s="164" t="s">
        <v>31</v>
      </c>
      <c r="B17" s="141" t="s">
        <v>35</v>
      </c>
      <c r="C17" s="7">
        <f t="shared" ref="C17:C18" si="14">SUM(D17:L17)</f>
        <v>21</v>
      </c>
      <c r="D17" s="141">
        <f>'[7]MASTER '!$BI$38</f>
        <v>0</v>
      </c>
      <c r="E17" s="141">
        <f>'[7]MASTER '!$BI$39</f>
        <v>0</v>
      </c>
      <c r="F17" s="7">
        <f>'[7]MASTER '!$BI$40</f>
        <v>0</v>
      </c>
      <c r="G17" s="7">
        <f>'[7]MASTER '!$BI$41</f>
        <v>3</v>
      </c>
      <c r="H17" s="7">
        <f>'[7]MASTER '!$BI$42</f>
        <v>3</v>
      </c>
      <c r="I17" s="7">
        <f>'[7]MASTER '!$BI$43</f>
        <v>2</v>
      </c>
      <c r="J17" s="7">
        <f>'[7]MASTER '!$BI$44</f>
        <v>3</v>
      </c>
      <c r="K17" s="7">
        <f>'[7]MASTER '!$BI$45</f>
        <v>7</v>
      </c>
      <c r="L17" s="7">
        <f>'[7]MASTER '!$BI$46</f>
        <v>3</v>
      </c>
      <c r="M17" s="7">
        <f>SUM(D17:I17)</f>
        <v>8</v>
      </c>
      <c r="N17" s="8">
        <f>((M17/C17)*100)</f>
        <v>38.095238095238095</v>
      </c>
      <c r="O17" s="7">
        <f>SUM(D17:K17)</f>
        <v>18</v>
      </c>
      <c r="P17" s="8">
        <f t="shared" ref="P17:P19" si="15">((O17/C17)*100)</f>
        <v>85.714285714285708</v>
      </c>
    </row>
    <row r="18" spans="1:16" ht="12.75" customHeight="1">
      <c r="A18" s="159" t="s">
        <v>32</v>
      </c>
      <c r="B18" s="141" t="s">
        <v>35</v>
      </c>
      <c r="C18" s="7">
        <f t="shared" si="14"/>
        <v>18</v>
      </c>
      <c r="D18" s="141">
        <f>'[8]MASTER '!$BI$36</f>
        <v>0</v>
      </c>
      <c r="E18" s="141">
        <f>'[8]MASTER '!$BI$37</f>
        <v>0</v>
      </c>
      <c r="F18" s="7">
        <f>'[8]MASTER '!$BI$38</f>
        <v>0</v>
      </c>
      <c r="G18" s="7">
        <f>'[8]MASTER '!$BI$39</f>
        <v>0</v>
      </c>
      <c r="H18" s="7">
        <f>'[8]MASTER '!$BI$40</f>
        <v>0</v>
      </c>
      <c r="I18" s="7">
        <f>'[8]MASTER '!$BI$41</f>
        <v>2</v>
      </c>
      <c r="J18" s="7">
        <f>'[8]MASTER '!$BI$42</f>
        <v>3</v>
      </c>
      <c r="K18" s="7">
        <f>'[8]MASTER '!$BI$43</f>
        <v>7</v>
      </c>
      <c r="L18" s="7">
        <f>'[8]MASTER '!$BI$44</f>
        <v>6</v>
      </c>
      <c r="M18" s="7">
        <f>SUM(D18:I18)</f>
        <v>2</v>
      </c>
      <c r="N18" s="8">
        <f>((M18/C18)*100)</f>
        <v>11.111111111111111</v>
      </c>
      <c r="O18" s="7">
        <f>SUM(D18:K18)</f>
        <v>12</v>
      </c>
      <c r="P18" s="8">
        <f t="shared" si="15"/>
        <v>66.666666666666657</v>
      </c>
    </row>
    <row r="19" spans="1:16" ht="13.5" customHeight="1">
      <c r="A19" s="159"/>
      <c r="B19" s="160" t="s">
        <v>33</v>
      </c>
      <c r="C19" s="164">
        <f>SUM(C17:C18)</f>
        <v>39</v>
      </c>
      <c r="D19" s="164">
        <f>SUM(D17:D18)</f>
        <v>0</v>
      </c>
      <c r="E19" s="164">
        <f>SUM(E17:E18)</f>
        <v>0</v>
      </c>
      <c r="F19" s="164">
        <f>SUM(F17:F18)</f>
        <v>0</v>
      </c>
      <c r="G19" s="164">
        <f>SUM(G17:G18)</f>
        <v>3</v>
      </c>
      <c r="H19" s="164">
        <f>SUM(H17:H18)</f>
        <v>3</v>
      </c>
      <c r="I19" s="164">
        <f>SUM(I17:I18)</f>
        <v>4</v>
      </c>
      <c r="J19" s="164">
        <f>SUM(J17:J18)</f>
        <v>6</v>
      </c>
      <c r="K19" s="164">
        <f>SUM(K17:K18)</f>
        <v>14</v>
      </c>
      <c r="L19" s="164">
        <f>SUM(L17:L18)</f>
        <v>9</v>
      </c>
      <c r="M19" s="164">
        <f>SUM(M17:M18)</f>
        <v>10</v>
      </c>
      <c r="N19" s="9">
        <f>((M19/C19)*100)</f>
        <v>25.641025641025639</v>
      </c>
      <c r="O19" s="164">
        <f>SUM(D19:K19)</f>
        <v>30</v>
      </c>
      <c r="P19" s="9">
        <f t="shared" si="15"/>
        <v>76.923076923076934</v>
      </c>
    </row>
    <row r="20" spans="1:16" ht="25.5" customHeight="1"/>
    <row r="21" spans="1:16" s="5" customFormat="1" ht="18">
      <c r="A21" s="152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s="107"/>
    </row>
    <row r="22" spans="1:16">
      <c r="D22" s="222" t="s">
        <v>1</v>
      </c>
      <c r="E22" s="223"/>
      <c r="F22" s="159"/>
      <c r="G22" s="161" t="s">
        <v>2</v>
      </c>
      <c r="H22" s="161"/>
      <c r="I22" s="160"/>
      <c r="J22" s="4" t="s">
        <v>3</v>
      </c>
      <c r="K22" s="3"/>
      <c r="L22" s="164" t="s">
        <v>4</v>
      </c>
    </row>
    <row r="23" spans="1:16" ht="25.5">
      <c r="A23" s="58" t="s">
        <v>5</v>
      </c>
      <c r="B23" s="58" t="s">
        <v>6</v>
      </c>
      <c r="C23" s="58" t="s">
        <v>7</v>
      </c>
      <c r="D23" s="58" t="s">
        <v>8</v>
      </c>
      <c r="E23" s="58" t="s">
        <v>9</v>
      </c>
      <c r="F23" s="58" t="s">
        <v>10</v>
      </c>
      <c r="G23" s="58" t="s">
        <v>11</v>
      </c>
      <c r="H23" s="58" t="s">
        <v>12</v>
      </c>
      <c r="I23" s="58" t="s">
        <v>13</v>
      </c>
      <c r="J23" s="58" t="s">
        <v>14</v>
      </c>
      <c r="K23" s="58" t="s">
        <v>15</v>
      </c>
      <c r="L23" s="58" t="s">
        <v>16</v>
      </c>
      <c r="M23" s="6" t="s">
        <v>17</v>
      </c>
      <c r="N23" s="6" t="s">
        <v>18</v>
      </c>
      <c r="O23" s="6" t="s">
        <v>19</v>
      </c>
      <c r="P23" s="109" t="s">
        <v>20</v>
      </c>
    </row>
    <row r="24" spans="1:16">
      <c r="A24" s="164" t="s">
        <v>21</v>
      </c>
      <c r="B24" s="168" t="s">
        <v>37</v>
      </c>
      <c r="C24" s="7">
        <f>SUM(D24:L24)</f>
        <v>17</v>
      </c>
      <c r="D24" s="169">
        <f>'[1]MASTER '!$T$38</f>
        <v>0</v>
      </c>
      <c r="E24" s="169">
        <f>'[1]MASTER '!$T$39</f>
        <v>8</v>
      </c>
      <c r="F24" s="169">
        <f>'[1]MASTER '!$T$40</f>
        <v>8</v>
      </c>
      <c r="G24" s="169">
        <f>'[1]MASTER '!$T$41</f>
        <v>0</v>
      </c>
      <c r="H24" s="169">
        <f>'[1]MASTER '!$T$42</f>
        <v>1</v>
      </c>
      <c r="I24" s="169">
        <f>'[1]MASTER '!$T$43</f>
        <v>0</v>
      </c>
      <c r="J24" s="169">
        <f>'[1]MASTER '!$T$44</f>
        <v>0</v>
      </c>
      <c r="K24" s="169">
        <f>'[1]MASTER '!$T$45</f>
        <v>0</v>
      </c>
      <c r="L24" s="169">
        <f>'[1]MASTER '!$T$46</f>
        <v>0</v>
      </c>
      <c r="M24" s="7">
        <f t="shared" ref="M24" si="16">SUM(D24:I24)</f>
        <v>17</v>
      </c>
      <c r="N24" s="8">
        <f t="shared" ref="N24" si="17">((M24/C24)*100)</f>
        <v>100</v>
      </c>
      <c r="O24" s="7">
        <f t="shared" ref="O24" si="18">SUM(D24:K24)</f>
        <v>17</v>
      </c>
      <c r="P24" s="8">
        <f t="shared" ref="P24" si="19">((O24/C24)*100)</f>
        <v>100</v>
      </c>
    </row>
    <row r="25" spans="1:16">
      <c r="A25" s="164" t="s">
        <v>23</v>
      </c>
      <c r="B25" s="168" t="s">
        <v>38</v>
      </c>
      <c r="C25" s="7">
        <f t="shared" ref="C25:C31" si="20">SUM(D25:L25)</f>
        <v>21</v>
      </c>
      <c r="D25" s="169">
        <f>'[2]MASTER '!$T$38</f>
        <v>0</v>
      </c>
      <c r="E25" s="169">
        <f>'[2]MASTER '!$T$39</f>
        <v>7</v>
      </c>
      <c r="F25" s="169">
        <f>'[2]MASTER '!$T$40</f>
        <v>10</v>
      </c>
      <c r="G25" s="169">
        <f>'[2]MASTER '!$T$41</f>
        <v>4</v>
      </c>
      <c r="H25" s="169">
        <f>'[2]MASTER '!$T$42</f>
        <v>0</v>
      </c>
      <c r="I25" s="169">
        <f>'[2]MASTER '!$T$43</f>
        <v>0</v>
      </c>
      <c r="J25" s="169">
        <f>'[2]MASTER '!$T$44</f>
        <v>0</v>
      </c>
      <c r="K25" s="169">
        <f>'[2]MASTER '!$T$45</f>
        <v>0</v>
      </c>
      <c r="L25" s="169">
        <f>'[2]MASTER '!$T$46</f>
        <v>0</v>
      </c>
      <c r="M25" s="7">
        <f t="shared" ref="M25:M31" si="21">SUM(D25:I25)</f>
        <v>21</v>
      </c>
      <c r="N25" s="8">
        <f t="shared" ref="N25:N31" si="22">((M25/C25)*100)</f>
        <v>100</v>
      </c>
      <c r="O25" s="7">
        <f t="shared" ref="O25:O31" si="23">SUM(D25:K25)</f>
        <v>21</v>
      </c>
      <c r="P25" s="8">
        <f t="shared" ref="P25:P32" si="24">((O25/C25)*100)</f>
        <v>100</v>
      </c>
    </row>
    <row r="26" spans="1:16">
      <c r="A26" s="164" t="s">
        <v>25</v>
      </c>
      <c r="B26" s="185" t="s">
        <v>39</v>
      </c>
      <c r="C26" s="7">
        <f t="shared" si="20"/>
        <v>15</v>
      </c>
      <c r="D26" s="169">
        <f>'[3]MASTER '!$T$38</f>
        <v>1</v>
      </c>
      <c r="E26" s="169">
        <f>'[3]MASTER '!$T$39</f>
        <v>2</v>
      </c>
      <c r="F26" s="169">
        <f>'[3]MASTER '!$T$40</f>
        <v>1</v>
      </c>
      <c r="G26" s="169">
        <f>'[3]MASTER '!$T$41</f>
        <v>4</v>
      </c>
      <c r="H26" s="169">
        <f>'[3]MASTER '!$T$42</f>
        <v>1</v>
      </c>
      <c r="I26" s="169">
        <f>'[3]MASTER '!$T$43</f>
        <v>3</v>
      </c>
      <c r="J26" s="169">
        <f>'[3]MASTER '!$T$44</f>
        <v>3</v>
      </c>
      <c r="K26" s="169">
        <f>'[3]MASTER '!$T$45</f>
        <v>0</v>
      </c>
      <c r="L26" s="169">
        <f>'[3]MASTER '!$T$46</f>
        <v>0</v>
      </c>
      <c r="M26" s="7">
        <f t="shared" si="21"/>
        <v>12</v>
      </c>
      <c r="N26" s="8">
        <f t="shared" si="22"/>
        <v>80</v>
      </c>
      <c r="O26" s="7">
        <f t="shared" si="23"/>
        <v>15</v>
      </c>
      <c r="P26" s="8">
        <f t="shared" si="24"/>
        <v>100</v>
      </c>
    </row>
    <row r="27" spans="1:16">
      <c r="A27" s="164" t="s">
        <v>26</v>
      </c>
      <c r="B27" s="168" t="s">
        <v>38</v>
      </c>
      <c r="C27" s="7">
        <f t="shared" si="20"/>
        <v>24</v>
      </c>
      <c r="D27" s="169">
        <f>'[4]MASTER '!$T$38</f>
        <v>0</v>
      </c>
      <c r="E27" s="169">
        <f>'[4]MASTER '!$T$39</f>
        <v>6</v>
      </c>
      <c r="F27" s="169">
        <f>'[4]MASTER '!$T$40</f>
        <v>5</v>
      </c>
      <c r="G27" s="169">
        <f>'[4]MASTER '!$T$41</f>
        <v>7</v>
      </c>
      <c r="H27" s="169">
        <f>'[4]MASTER '!$T$42</f>
        <v>3</v>
      </c>
      <c r="I27" s="169">
        <f>'[4]MASTER '!$T$43</f>
        <v>2</v>
      </c>
      <c r="J27" s="169">
        <f>'[4]MASTER '!$T$44</f>
        <v>1</v>
      </c>
      <c r="K27" s="169">
        <f>'[4]MASTER '!$T$45</f>
        <v>0</v>
      </c>
      <c r="L27" s="169">
        <f>'[4]MASTER '!$T$46</f>
        <v>0</v>
      </c>
      <c r="M27" s="7">
        <f t="shared" si="21"/>
        <v>23</v>
      </c>
      <c r="N27" s="8">
        <f t="shared" si="22"/>
        <v>95.833333333333343</v>
      </c>
      <c r="O27" s="7">
        <f t="shared" si="23"/>
        <v>24</v>
      </c>
      <c r="P27" s="8">
        <f t="shared" si="24"/>
        <v>100</v>
      </c>
    </row>
    <row r="28" spans="1:16">
      <c r="A28" s="164" t="s">
        <v>27</v>
      </c>
      <c r="B28" s="168" t="s">
        <v>38</v>
      </c>
      <c r="C28" s="7">
        <f t="shared" si="20"/>
        <v>24</v>
      </c>
      <c r="D28" s="169">
        <f>'[5]MASTER '!$T$38</f>
        <v>0</v>
      </c>
      <c r="E28" s="169">
        <f>'[5]MASTER '!$T$39</f>
        <v>3</v>
      </c>
      <c r="F28" s="169">
        <f>'[5]MASTER '!$T$40</f>
        <v>4</v>
      </c>
      <c r="G28" s="169">
        <f>'[5]MASTER '!$T$41</f>
        <v>11</v>
      </c>
      <c r="H28" s="169">
        <f>'[5]MASTER '!$T$42</f>
        <v>5</v>
      </c>
      <c r="I28" s="169">
        <f>'[5]MASTER '!$T$43</f>
        <v>1</v>
      </c>
      <c r="J28" s="169">
        <f>'[5]MASTER '!$T$44</f>
        <v>0</v>
      </c>
      <c r="K28" s="169">
        <f>'[5]MASTER '!$T$45</f>
        <v>0</v>
      </c>
      <c r="L28" s="169">
        <f>'[5]MASTER '!$T$46</f>
        <v>0</v>
      </c>
      <c r="M28" s="7">
        <f t="shared" si="21"/>
        <v>24</v>
      </c>
      <c r="N28" s="8">
        <f t="shared" si="22"/>
        <v>100</v>
      </c>
      <c r="O28" s="7">
        <f t="shared" si="23"/>
        <v>24</v>
      </c>
      <c r="P28" s="8">
        <f t="shared" si="24"/>
        <v>100</v>
      </c>
    </row>
    <row r="29" spans="1:16">
      <c r="A29" s="164" t="s">
        <v>29</v>
      </c>
      <c r="B29" s="168" t="s">
        <v>38</v>
      </c>
      <c r="C29" s="7">
        <f t="shared" si="20"/>
        <v>25</v>
      </c>
      <c r="D29" s="169">
        <f>'[6]MASTER '!$T$38</f>
        <v>0</v>
      </c>
      <c r="E29" s="169">
        <f>'[6]MASTER '!$T$39</f>
        <v>6</v>
      </c>
      <c r="F29" s="169">
        <f>'[6]MASTER '!$T$40</f>
        <v>3</v>
      </c>
      <c r="G29" s="169">
        <f>'[6]MASTER '!$T$41</f>
        <v>7</v>
      </c>
      <c r="H29" s="169">
        <f>'[6]MASTER '!$T$42</f>
        <v>4</v>
      </c>
      <c r="I29" s="169">
        <f>'[6]MASTER '!$T$43</f>
        <v>5</v>
      </c>
      <c r="J29" s="169">
        <f>'[6]MASTER '!$T$44</f>
        <v>0</v>
      </c>
      <c r="K29" s="169">
        <f>'[6]MASTER '!$T$45</f>
        <v>0</v>
      </c>
      <c r="L29" s="169">
        <f>'[6]MASTER '!$T$46</f>
        <v>0</v>
      </c>
      <c r="M29" s="7">
        <f t="shared" si="21"/>
        <v>25</v>
      </c>
      <c r="N29" s="8">
        <f t="shared" si="22"/>
        <v>100</v>
      </c>
      <c r="O29" s="7">
        <f t="shared" si="23"/>
        <v>25</v>
      </c>
      <c r="P29" s="8">
        <f t="shared" si="24"/>
        <v>100</v>
      </c>
    </row>
    <row r="30" spans="1:16">
      <c r="A30" s="164" t="s">
        <v>31</v>
      </c>
      <c r="B30" s="185" t="s">
        <v>37</v>
      </c>
      <c r="C30" s="7">
        <f t="shared" si="20"/>
        <v>21</v>
      </c>
      <c r="D30" s="169">
        <f>'[7]MASTER '!$T$38</f>
        <v>0</v>
      </c>
      <c r="E30" s="169">
        <f>'[7]MASTER '!$T$39</f>
        <v>1</v>
      </c>
      <c r="F30" s="169">
        <f>'[7]MASTER '!$T$40</f>
        <v>0</v>
      </c>
      <c r="G30" s="169">
        <f>'[7]MASTER '!$T$41</f>
        <v>2</v>
      </c>
      <c r="H30" s="169">
        <f>'[7]MASTER '!$T$42</f>
        <v>3</v>
      </c>
      <c r="I30" s="169">
        <f>'[7]MASTER '!$T$43</f>
        <v>5</v>
      </c>
      <c r="J30" s="169">
        <f>'[7]MASTER '!$T$44</f>
        <v>2</v>
      </c>
      <c r="K30" s="169">
        <f>'[7]MASTER '!$T$45</f>
        <v>4</v>
      </c>
      <c r="L30" s="169">
        <f>'[7]MASTER '!$T$46</f>
        <v>4</v>
      </c>
      <c r="M30" s="7">
        <f t="shared" si="21"/>
        <v>11</v>
      </c>
      <c r="N30" s="8">
        <f t="shared" si="22"/>
        <v>52.380952380952387</v>
      </c>
      <c r="O30" s="7">
        <f t="shared" si="23"/>
        <v>17</v>
      </c>
      <c r="P30" s="8">
        <f t="shared" si="24"/>
        <v>80.952380952380949</v>
      </c>
    </row>
    <row r="31" spans="1:16">
      <c r="A31" s="164" t="s">
        <v>32</v>
      </c>
      <c r="B31" s="168" t="s">
        <v>37</v>
      </c>
      <c r="C31" s="7">
        <f t="shared" si="20"/>
        <v>18</v>
      </c>
      <c r="D31" s="169">
        <f>'[8]MASTER '!$T$36</f>
        <v>0</v>
      </c>
      <c r="E31" s="169">
        <f>'[8]MASTER '!$T$37</f>
        <v>0</v>
      </c>
      <c r="F31" s="169">
        <f>'[8]MASTER '!$T$38</f>
        <v>0</v>
      </c>
      <c r="G31" s="169">
        <f>'[8]MASTER '!$T$39</f>
        <v>1</v>
      </c>
      <c r="H31" s="169">
        <f>'[8]MASTER '!$T$40</f>
        <v>0</v>
      </c>
      <c r="I31" s="169">
        <f>'[8]MASTER '!$T$41</f>
        <v>2</v>
      </c>
      <c r="J31" s="169">
        <f>'[8]MASTER '!$T$42</f>
        <v>4</v>
      </c>
      <c r="K31" s="169">
        <f>'[8]MASTER '!$T$43</f>
        <v>4</v>
      </c>
      <c r="L31" s="169">
        <f>'[8]MASTER '!$T$44</f>
        <v>7</v>
      </c>
      <c r="M31" s="7">
        <f t="shared" si="21"/>
        <v>3</v>
      </c>
      <c r="N31" s="8">
        <f t="shared" si="22"/>
        <v>16.666666666666664</v>
      </c>
      <c r="O31" s="7">
        <f t="shared" si="23"/>
        <v>11</v>
      </c>
      <c r="P31" s="8">
        <f t="shared" si="24"/>
        <v>61.111111111111114</v>
      </c>
    </row>
    <row r="32" spans="1:16">
      <c r="A32" s="159"/>
      <c r="B32" s="160" t="s">
        <v>33</v>
      </c>
      <c r="C32" s="164">
        <f>SUM(C24:C31)</f>
        <v>165</v>
      </c>
      <c r="D32" s="164">
        <f t="shared" ref="D32:L32" si="25">SUM(D24:D31)</f>
        <v>1</v>
      </c>
      <c r="E32" s="164">
        <f t="shared" si="25"/>
        <v>33</v>
      </c>
      <c r="F32" s="164">
        <f t="shared" si="25"/>
        <v>31</v>
      </c>
      <c r="G32" s="164">
        <f t="shared" si="25"/>
        <v>36</v>
      </c>
      <c r="H32" s="164">
        <f t="shared" si="25"/>
        <v>17</v>
      </c>
      <c r="I32" s="164">
        <f t="shared" si="25"/>
        <v>18</v>
      </c>
      <c r="J32" s="164">
        <f t="shared" si="25"/>
        <v>10</v>
      </c>
      <c r="K32" s="164">
        <f t="shared" si="25"/>
        <v>8</v>
      </c>
      <c r="L32" s="164">
        <f t="shared" si="25"/>
        <v>11</v>
      </c>
      <c r="M32" s="164">
        <f>SUM(M24:M31)</f>
        <v>136</v>
      </c>
      <c r="N32" s="9">
        <f>((M32/C32)*100)</f>
        <v>82.424242424242422</v>
      </c>
      <c r="O32" s="164">
        <f>SUM(O24:O31)</f>
        <v>154</v>
      </c>
      <c r="P32" s="9">
        <f t="shared" si="24"/>
        <v>93.333333333333329</v>
      </c>
    </row>
    <row r="33" spans="1:16" ht="21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  <c r="O33" s="10"/>
      <c r="P33" s="11"/>
    </row>
    <row r="34" spans="1:16" ht="17.25" hidden="1" customHeight="1">
      <c r="A34" s="152" t="s">
        <v>40</v>
      </c>
    </row>
    <row r="35" spans="1:16" hidden="1">
      <c r="D35" s="222" t="s">
        <v>41</v>
      </c>
      <c r="E35" s="224"/>
      <c r="F35" s="224"/>
      <c r="G35" s="224"/>
      <c r="H35" s="224"/>
      <c r="I35" s="223"/>
      <c r="J35" s="1"/>
      <c r="K35" s="1"/>
      <c r="L35" s="10"/>
    </row>
    <row r="36" spans="1:16" ht="23.25" hidden="1" customHeight="1">
      <c r="A36" s="58" t="s">
        <v>5</v>
      </c>
      <c r="B36" s="58" t="s">
        <v>6</v>
      </c>
      <c r="C36" s="58" t="s">
        <v>7</v>
      </c>
      <c r="D36" s="58" t="s">
        <v>8</v>
      </c>
      <c r="E36" s="58" t="s">
        <v>42</v>
      </c>
      <c r="F36" s="58" t="s">
        <v>43</v>
      </c>
      <c r="G36" s="58" t="s">
        <v>44</v>
      </c>
      <c r="H36" s="58" t="s">
        <v>45</v>
      </c>
      <c r="I36" s="58" t="s">
        <v>46</v>
      </c>
      <c r="J36" s="191" t="s">
        <v>47</v>
      </c>
      <c r="K36" s="191" t="s">
        <v>48</v>
      </c>
      <c r="L36" s="191" t="s">
        <v>16</v>
      </c>
      <c r="M36" s="48" t="s">
        <v>49</v>
      </c>
      <c r="N36" s="48" t="s">
        <v>50</v>
      </c>
      <c r="O36" s="48" t="s">
        <v>51</v>
      </c>
      <c r="P36" s="108" t="s">
        <v>52</v>
      </c>
    </row>
    <row r="37" spans="1:16" hidden="1">
      <c r="A37" s="164"/>
      <c r="B37" s="185"/>
      <c r="C37" s="7">
        <f t="shared" ref="C37:C38" si="26">SUM(D37:L37)</f>
        <v>0</v>
      </c>
      <c r="D37" s="169"/>
      <c r="E37" s="169"/>
      <c r="F37" s="169"/>
      <c r="G37" s="169"/>
      <c r="H37" s="169"/>
      <c r="I37" s="169"/>
      <c r="J37" s="192"/>
      <c r="K37" s="192"/>
      <c r="L37" s="192"/>
      <c r="M37" s="7">
        <f>SUM(D37:G37)</f>
        <v>0</v>
      </c>
      <c r="N37" s="8" t="e">
        <f t="shared" ref="N37:N38" si="27">((M37/C37)*100)</f>
        <v>#DIV/0!</v>
      </c>
      <c r="O37" s="7">
        <f t="shared" ref="O37:O38" si="28">SUM(D37:K37)</f>
        <v>0</v>
      </c>
      <c r="P37" s="8" t="e">
        <f t="shared" ref="P37:P38" si="29">((O37/C37)*100)</f>
        <v>#DIV/0!</v>
      </c>
    </row>
    <row r="38" spans="1:16" hidden="1">
      <c r="A38" s="164"/>
      <c r="B38" s="168"/>
      <c r="C38" s="7">
        <f t="shared" si="26"/>
        <v>0</v>
      </c>
      <c r="D38" s="169"/>
      <c r="E38" s="169"/>
      <c r="F38" s="169"/>
      <c r="G38" s="169"/>
      <c r="H38" s="169"/>
      <c r="I38" s="169"/>
      <c r="J38" s="192"/>
      <c r="K38" s="192"/>
      <c r="L38" s="192"/>
      <c r="M38" s="7">
        <f>SUM(D38:G38)</f>
        <v>0</v>
      </c>
      <c r="N38" s="8" t="e">
        <f t="shared" si="27"/>
        <v>#DIV/0!</v>
      </c>
      <c r="O38" s="7">
        <f t="shared" si="28"/>
        <v>0</v>
      </c>
      <c r="P38" s="8" t="e">
        <f t="shared" si="29"/>
        <v>#DIV/0!</v>
      </c>
    </row>
    <row r="39" spans="1:16" ht="10.5" hidden="1" customHeight="1">
      <c r="A39" s="164"/>
      <c r="B39" s="141"/>
      <c r="C39" s="141"/>
      <c r="D39" s="141"/>
      <c r="E39" s="141"/>
      <c r="F39" s="141"/>
      <c r="G39" s="141"/>
      <c r="H39" s="141"/>
      <c r="I39" s="141"/>
      <c r="J39" s="193"/>
      <c r="K39" s="193"/>
      <c r="L39" s="193"/>
      <c r="M39" s="142"/>
      <c r="N39" s="143"/>
      <c r="O39" s="142"/>
      <c r="P39" s="143"/>
    </row>
    <row r="40" spans="1:16" ht="12" hidden="1" customHeight="1">
      <c r="A40" s="159"/>
      <c r="B40" s="160" t="s">
        <v>33</v>
      </c>
      <c r="C40" s="164">
        <f t="shared" ref="C40:H40" si="30">SUM(C37:C39)</f>
        <v>0</v>
      </c>
      <c r="D40" s="164">
        <f t="shared" si="30"/>
        <v>0</v>
      </c>
      <c r="E40" s="164">
        <f t="shared" si="30"/>
        <v>0</v>
      </c>
      <c r="F40" s="164">
        <f t="shared" si="30"/>
        <v>0</v>
      </c>
      <c r="G40" s="164">
        <f t="shared" si="30"/>
        <v>0</v>
      </c>
      <c r="H40" s="164">
        <f t="shared" si="30"/>
        <v>0</v>
      </c>
      <c r="I40" s="164">
        <f>SUM(I39:I39)</f>
        <v>0</v>
      </c>
      <c r="J40" s="164">
        <f t="shared" ref="J40:L40" si="31">SUM(J39:J39)</f>
        <v>0</v>
      </c>
      <c r="K40" s="164">
        <f t="shared" si="31"/>
        <v>0</v>
      </c>
      <c r="L40" s="164">
        <f t="shared" si="31"/>
        <v>0</v>
      </c>
      <c r="M40" s="164">
        <f>SUM(M34:M39)</f>
        <v>0</v>
      </c>
      <c r="N40" s="9" t="e">
        <f>((M40/C40)*100)</f>
        <v>#DIV/0!</v>
      </c>
      <c r="O40" s="164">
        <f>SUM(O34:O39)</f>
        <v>0</v>
      </c>
      <c r="P40" s="9" t="e">
        <f>((O40/C40)*100)</f>
        <v>#DIV/0!</v>
      </c>
    </row>
    <row r="41" spans="1:16" ht="18">
      <c r="A41" s="152" t="s">
        <v>53</v>
      </c>
    </row>
    <row r="42" spans="1:16">
      <c r="D42" s="222" t="s">
        <v>1</v>
      </c>
      <c r="E42" s="223"/>
      <c r="F42" s="222" t="s">
        <v>2</v>
      </c>
      <c r="G42" s="224"/>
      <c r="H42" s="224"/>
      <c r="I42" s="223"/>
      <c r="J42" s="222" t="s">
        <v>3</v>
      </c>
      <c r="K42" s="223"/>
      <c r="L42" s="164" t="s">
        <v>4</v>
      </c>
    </row>
    <row r="43" spans="1:16" ht="25.5">
      <c r="A43" s="58" t="s">
        <v>5</v>
      </c>
      <c r="B43" s="58" t="s">
        <v>6</v>
      </c>
      <c r="C43" s="58" t="s">
        <v>7</v>
      </c>
      <c r="D43" s="58" t="s">
        <v>8</v>
      </c>
      <c r="E43" s="58" t="s">
        <v>9</v>
      </c>
      <c r="F43" s="58" t="s">
        <v>10</v>
      </c>
      <c r="G43" s="58" t="s">
        <v>11</v>
      </c>
      <c r="H43" s="58" t="s">
        <v>12</v>
      </c>
      <c r="I43" s="58" t="s">
        <v>13</v>
      </c>
      <c r="J43" s="58" t="s">
        <v>14</v>
      </c>
      <c r="K43" s="58" t="s">
        <v>15</v>
      </c>
      <c r="L43" s="58" t="s">
        <v>16</v>
      </c>
      <c r="M43" s="48" t="s">
        <v>17</v>
      </c>
      <c r="N43" s="48" t="s">
        <v>18</v>
      </c>
      <c r="O43" s="48" t="s">
        <v>19</v>
      </c>
      <c r="P43" s="108" t="s">
        <v>20</v>
      </c>
    </row>
    <row r="44" spans="1:16">
      <c r="A44" s="164" t="s">
        <v>21</v>
      </c>
      <c r="B44" s="182" t="s">
        <v>54</v>
      </c>
      <c r="C44" s="7">
        <f>SUM(D44:L44)</f>
        <v>17</v>
      </c>
      <c r="D44" s="182">
        <f>'[1]MASTER '!$AE$38</f>
        <v>2</v>
      </c>
      <c r="E44" s="182">
        <f>'[1]MASTER '!$AE$39</f>
        <v>3</v>
      </c>
      <c r="F44" s="182">
        <f>'[1]MASTER '!$AE$40</f>
        <v>4</v>
      </c>
      <c r="G44" s="182">
        <f>'[1]MASTER '!$AE$41</f>
        <v>0</v>
      </c>
      <c r="H44" s="182">
        <f>'[1]MASTER '!$AE$42</f>
        <v>3</v>
      </c>
      <c r="I44" s="182">
        <f>'[1]MASTER '!$AE$43</f>
        <v>3</v>
      </c>
      <c r="J44" s="182">
        <f>'[1]MASTER '!$AE$44</f>
        <v>2</v>
      </c>
      <c r="K44" s="182">
        <f>'[1]MASTER '!$AE$45</f>
        <v>0</v>
      </c>
      <c r="L44" s="182">
        <f>'[1]MASTER '!$AE$46</f>
        <v>0</v>
      </c>
      <c r="M44" s="7">
        <f t="shared" ref="M44" si="32">SUM(D44:I44)</f>
        <v>15</v>
      </c>
      <c r="N44" s="8">
        <f t="shared" ref="N44" si="33">((M44/C44)*100)</f>
        <v>88.235294117647058</v>
      </c>
      <c r="O44" s="7">
        <f t="shared" ref="O44" si="34">SUM(D44:K44)</f>
        <v>17</v>
      </c>
      <c r="P44" s="8">
        <f t="shared" ref="P44" si="35">((O44/C44)*100)</f>
        <v>100</v>
      </c>
    </row>
    <row r="45" spans="1:16">
      <c r="A45" s="164" t="s">
        <v>23</v>
      </c>
      <c r="B45" s="182" t="s">
        <v>55</v>
      </c>
      <c r="C45" s="7">
        <f t="shared" ref="C45:C49" si="36">SUM(D45:L45)</f>
        <v>21</v>
      </c>
      <c r="D45" s="182">
        <f>'[2]MASTER '!$AE$38</f>
        <v>0</v>
      </c>
      <c r="E45" s="182">
        <f>'[2]MASTER '!$AE$39</f>
        <v>3</v>
      </c>
      <c r="F45" s="182">
        <f>'[2]MASTER '!$AE$40</f>
        <v>2</v>
      </c>
      <c r="G45" s="182">
        <f>'[2]MASTER '!$AE$41</f>
        <v>1</v>
      </c>
      <c r="H45" s="182">
        <f>'[2]MASTER '!$AE$42</f>
        <v>2</v>
      </c>
      <c r="I45" s="182">
        <f>'[2]MASTER '!$AE$43</f>
        <v>3</v>
      </c>
      <c r="J45" s="182">
        <f>'[2]MASTER '!$AE$44</f>
        <v>3</v>
      </c>
      <c r="K45" s="182">
        <f>'[2]MASTER '!$AE$45</f>
        <v>4</v>
      </c>
      <c r="L45" s="182">
        <f>'[2]MASTER '!$AE$46</f>
        <v>3</v>
      </c>
      <c r="M45" s="7">
        <f t="shared" ref="M45:M49" si="37">SUM(D45:I45)</f>
        <v>11</v>
      </c>
      <c r="N45" s="8">
        <f t="shared" ref="N45:N50" si="38">((M45/C45)*100)</f>
        <v>52.380952380952387</v>
      </c>
      <c r="O45" s="7">
        <f t="shared" ref="O45:O49" si="39">SUM(D45:K45)</f>
        <v>18</v>
      </c>
      <c r="P45" s="8">
        <f t="shared" ref="P45:P50" si="40">((O45/C45)*100)</f>
        <v>85.714285714285708</v>
      </c>
    </row>
    <row r="46" spans="1:16">
      <c r="A46" s="164" t="s">
        <v>25</v>
      </c>
      <c r="B46" s="183" t="s">
        <v>54</v>
      </c>
      <c r="C46" s="7">
        <f t="shared" si="36"/>
        <v>15</v>
      </c>
      <c r="D46" s="183">
        <f>'[3]MASTER '!$AE$38</f>
        <v>0</v>
      </c>
      <c r="E46" s="183">
        <f>'[3]MASTER '!$AE$39</f>
        <v>1</v>
      </c>
      <c r="F46" s="183">
        <f>'[3]MASTER '!$AE$40</f>
        <v>1</v>
      </c>
      <c r="G46" s="183">
        <f>'[3]MASTER '!$AE$41</f>
        <v>1</v>
      </c>
      <c r="H46" s="183">
        <f>'[3]MASTER '!$AE$42</f>
        <v>2</v>
      </c>
      <c r="I46" s="183">
        <f>'[3]MASTER '!$AE$43</f>
        <v>3</v>
      </c>
      <c r="J46" s="183">
        <f>'[3]MASTER '!$AE$44</f>
        <v>4</v>
      </c>
      <c r="K46" s="183">
        <f>'[3]MASTER '!$AE$45</f>
        <v>2</v>
      </c>
      <c r="L46" s="183">
        <f>'[3]MASTER '!$AE$46</f>
        <v>1</v>
      </c>
      <c r="M46" s="7">
        <f t="shared" si="37"/>
        <v>8</v>
      </c>
      <c r="N46" s="8">
        <f>((M46/C46)*100)</f>
        <v>53.333333333333336</v>
      </c>
      <c r="O46" s="7">
        <f t="shared" si="39"/>
        <v>14</v>
      </c>
      <c r="P46" s="8">
        <f t="shared" si="40"/>
        <v>93.333333333333329</v>
      </c>
    </row>
    <row r="47" spans="1:16">
      <c r="A47" s="164" t="s">
        <v>26</v>
      </c>
      <c r="B47" s="183" t="s">
        <v>56</v>
      </c>
      <c r="C47" s="7">
        <f t="shared" si="36"/>
        <v>24</v>
      </c>
      <c r="D47" s="183">
        <f>'[4]MASTER '!$AE$38</f>
        <v>0</v>
      </c>
      <c r="E47" s="183">
        <f>'[4]MASTER '!$AE$39</f>
        <v>0</v>
      </c>
      <c r="F47" s="183">
        <f>'[4]MASTER '!$AE$40</f>
        <v>0</v>
      </c>
      <c r="G47" s="183">
        <f>'[4]MASTER '!$AE$41</f>
        <v>0</v>
      </c>
      <c r="H47" s="183">
        <f>'[4]MASTER '!$AE$42</f>
        <v>0</v>
      </c>
      <c r="I47" s="183">
        <f>'[4]MASTER '!$AE$43</f>
        <v>0</v>
      </c>
      <c r="J47" s="183">
        <f>'[4]MASTER '!$AE$44</f>
        <v>1</v>
      </c>
      <c r="K47" s="183">
        <f>'[4]MASTER '!$AE$45</f>
        <v>6</v>
      </c>
      <c r="L47" s="183">
        <f>'[4]MASTER '!$AE$46</f>
        <v>17</v>
      </c>
      <c r="M47" s="7">
        <f t="shared" si="37"/>
        <v>0</v>
      </c>
      <c r="N47" s="8">
        <f t="shared" ref="N47" si="41">((M47/C47)*100)</f>
        <v>0</v>
      </c>
      <c r="O47" s="7">
        <f t="shared" si="39"/>
        <v>7</v>
      </c>
      <c r="P47" s="8">
        <f t="shared" ref="P47" si="42">((O47/C47)*100)</f>
        <v>29.166666666666668</v>
      </c>
    </row>
    <row r="48" spans="1:16">
      <c r="A48" s="164" t="s">
        <v>27</v>
      </c>
      <c r="B48" s="183" t="s">
        <v>56</v>
      </c>
      <c r="C48" s="7">
        <f t="shared" si="36"/>
        <v>24</v>
      </c>
      <c r="D48" s="183">
        <f>'[5]MASTER '!$AE$38</f>
        <v>0</v>
      </c>
      <c r="E48" s="183">
        <f>'[5]MASTER '!$AE$39</f>
        <v>0</v>
      </c>
      <c r="F48" s="183">
        <f>'[5]MASTER '!$BI$40</f>
        <v>0</v>
      </c>
      <c r="G48" s="183">
        <f>'[5]MASTER '!$AE$41</f>
        <v>0</v>
      </c>
      <c r="H48" s="183">
        <f>'[5]MASTER '!$AE$42</f>
        <v>0</v>
      </c>
      <c r="I48" s="183">
        <f>'[5]MASTER '!$AE$43</f>
        <v>1</v>
      </c>
      <c r="J48" s="183">
        <f>'[5]MASTER '!$AE$44</f>
        <v>0</v>
      </c>
      <c r="K48" s="183">
        <f>'[5]MASTER '!$AE$45</f>
        <v>6</v>
      </c>
      <c r="L48" s="183">
        <f>'[5]MASTER '!$AE$46</f>
        <v>17</v>
      </c>
      <c r="M48" s="7">
        <f t="shared" ref="M48" si="43">SUM(D48:I48)</f>
        <v>1</v>
      </c>
      <c r="N48" s="8">
        <f t="shared" ref="N48" si="44">((M48/C48)*100)</f>
        <v>4.1666666666666661</v>
      </c>
      <c r="O48" s="7">
        <f t="shared" ref="O48" si="45">SUM(D48:K48)</f>
        <v>7</v>
      </c>
      <c r="P48" s="8">
        <f t="shared" ref="P48" si="46">((O48/C48)*100)</f>
        <v>29.166666666666668</v>
      </c>
    </row>
    <row r="49" spans="1:16">
      <c r="A49" s="164" t="s">
        <v>29</v>
      </c>
      <c r="B49" s="183" t="s">
        <v>54</v>
      </c>
      <c r="C49" s="7">
        <f t="shared" si="36"/>
        <v>25</v>
      </c>
      <c r="D49" s="183">
        <f>'[6]MASTER '!$AE$38</f>
        <v>0</v>
      </c>
      <c r="E49" s="183">
        <f>'[6]MASTER '!$AE$39</f>
        <v>0</v>
      </c>
      <c r="F49" s="183">
        <f>'[6]MASTER '!$AE$40</f>
        <v>0</v>
      </c>
      <c r="G49" s="183">
        <f>'[6]MASTER '!$AE$41</f>
        <v>0</v>
      </c>
      <c r="H49" s="183">
        <f>'[6]MASTER '!$AE$42</f>
        <v>0</v>
      </c>
      <c r="I49" s="183">
        <f>'[6]MASTER '!$AE$43</f>
        <v>0</v>
      </c>
      <c r="J49" s="183">
        <f>'[6]MASTER '!$AE$44</f>
        <v>0</v>
      </c>
      <c r="K49" s="183">
        <f>'[6]MASTER '!$AE$45</f>
        <v>1</v>
      </c>
      <c r="L49" s="183">
        <f>'[6]MASTER '!$AE$46</f>
        <v>24</v>
      </c>
      <c r="M49" s="7">
        <f t="shared" si="37"/>
        <v>0</v>
      </c>
      <c r="N49" s="8">
        <f t="shared" si="38"/>
        <v>0</v>
      </c>
      <c r="O49" s="7">
        <f t="shared" si="39"/>
        <v>1</v>
      </c>
      <c r="P49" s="8">
        <f t="shared" si="40"/>
        <v>4</v>
      </c>
    </row>
    <row r="50" spans="1:16">
      <c r="A50" s="159"/>
      <c r="B50" s="164" t="s">
        <v>33</v>
      </c>
      <c r="C50" s="164">
        <f>SUM(C44:C49)</f>
        <v>126</v>
      </c>
      <c r="D50" s="164">
        <f t="shared" ref="D50:L50" si="47">SUM(D44:D49)</f>
        <v>2</v>
      </c>
      <c r="E50" s="164">
        <f t="shared" si="47"/>
        <v>7</v>
      </c>
      <c r="F50" s="164">
        <f t="shared" si="47"/>
        <v>7</v>
      </c>
      <c r="G50" s="164">
        <f t="shared" si="47"/>
        <v>2</v>
      </c>
      <c r="H50" s="164">
        <f t="shared" si="47"/>
        <v>7</v>
      </c>
      <c r="I50" s="164">
        <f t="shared" si="47"/>
        <v>10</v>
      </c>
      <c r="J50" s="164">
        <f t="shared" si="47"/>
        <v>10</v>
      </c>
      <c r="K50" s="164">
        <f t="shared" si="47"/>
        <v>19</v>
      </c>
      <c r="L50" s="164">
        <f t="shared" si="47"/>
        <v>62</v>
      </c>
      <c r="M50" s="164">
        <f>SUM(M44:M49)</f>
        <v>35</v>
      </c>
      <c r="N50" s="9">
        <f t="shared" si="38"/>
        <v>27.777777777777779</v>
      </c>
      <c r="O50" s="164">
        <f>SUM(O44:O49)</f>
        <v>64</v>
      </c>
      <c r="P50" s="9">
        <f t="shared" si="40"/>
        <v>50.793650793650791</v>
      </c>
    </row>
    <row r="51" spans="1:16" ht="19.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  <c r="O51" s="10"/>
      <c r="P51" s="11"/>
    </row>
    <row r="52" spans="1:16" ht="18">
      <c r="A52" s="152" t="s">
        <v>57</v>
      </c>
      <c r="B52" s="20"/>
      <c r="C52" s="2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  <c r="O52" s="10"/>
      <c r="P52" s="11"/>
    </row>
    <row r="53" spans="1:16">
      <c r="A53" s="50"/>
      <c r="B53" s="50"/>
      <c r="C53" s="50"/>
      <c r="D53" s="217" t="s">
        <v>41</v>
      </c>
      <c r="E53" s="217"/>
      <c r="F53" s="217"/>
      <c r="G53" s="217"/>
      <c r="H53" s="217"/>
      <c r="I53" s="217"/>
      <c r="J53" s="1"/>
      <c r="K53" s="1"/>
      <c r="L53" s="10"/>
      <c r="M53" s="10"/>
      <c r="N53" s="11"/>
      <c r="O53" s="10"/>
      <c r="P53" s="11"/>
    </row>
    <row r="54" spans="1:16" ht="25.5">
      <c r="A54" s="58" t="s">
        <v>5</v>
      </c>
      <c r="B54" s="58" t="s">
        <v>6</v>
      </c>
      <c r="C54" s="58" t="s">
        <v>7</v>
      </c>
      <c r="D54" s="58" t="s">
        <v>44</v>
      </c>
      <c r="E54" s="58" t="s">
        <v>45</v>
      </c>
      <c r="F54" s="58" t="s">
        <v>46</v>
      </c>
      <c r="G54" s="58" t="s">
        <v>47</v>
      </c>
      <c r="H54" s="58" t="s">
        <v>48</v>
      </c>
      <c r="I54" s="58" t="s">
        <v>16</v>
      </c>
      <c r="J54" s="59"/>
      <c r="K54" s="59"/>
      <c r="L54" s="59"/>
      <c r="M54" s="48" t="s">
        <v>58</v>
      </c>
      <c r="N54" s="48" t="s">
        <v>59</v>
      </c>
      <c r="O54" s="48" t="s">
        <v>60</v>
      </c>
      <c r="P54" s="108" t="s">
        <v>61</v>
      </c>
    </row>
    <row r="55" spans="1:16">
      <c r="A55" s="51" t="s">
        <v>31</v>
      </c>
      <c r="B55" s="187" t="s">
        <v>62</v>
      </c>
      <c r="C55" s="7">
        <f t="shared" ref="C55:C56" si="48">SUM(D55:L55)</f>
        <v>21</v>
      </c>
      <c r="D55" s="182">
        <f>'[7]MASTER '!$AE$38</f>
        <v>0</v>
      </c>
      <c r="E55" s="182">
        <f>'[7]MASTER '!$AE$39</f>
        <v>3</v>
      </c>
      <c r="F55" s="182">
        <f>'[7]MASTER '!$AE$40</f>
        <v>3</v>
      </c>
      <c r="G55" s="182">
        <f>'[7]MASTER '!$AE$41</f>
        <v>9</v>
      </c>
      <c r="H55" s="182">
        <f>'[7]MASTER '!$AE$42</f>
        <v>5</v>
      </c>
      <c r="I55" s="182">
        <f>'[7]MASTER '!$AE$43</f>
        <v>1</v>
      </c>
      <c r="J55" s="61"/>
      <c r="K55" s="61"/>
      <c r="L55" s="61"/>
      <c r="M55" s="142">
        <f>D55</f>
        <v>0</v>
      </c>
      <c r="N55" s="143">
        <f>((M55/C55)*100)</f>
        <v>0</v>
      </c>
      <c r="O55" s="142">
        <f>SUM(D55:H55)</f>
        <v>20</v>
      </c>
      <c r="P55" s="143">
        <f>((O55/C55)*100)</f>
        <v>95.238095238095227</v>
      </c>
    </row>
    <row r="56" spans="1:16">
      <c r="A56" s="51" t="s">
        <v>32</v>
      </c>
      <c r="B56" s="187" t="s">
        <v>62</v>
      </c>
      <c r="C56" s="7">
        <f t="shared" si="48"/>
        <v>18</v>
      </c>
      <c r="D56" s="182">
        <f>'[8]MASTER '!$AE$36</f>
        <v>1</v>
      </c>
      <c r="E56" s="182">
        <f>'[8]MASTER '!$AE$37</f>
        <v>1</v>
      </c>
      <c r="F56" s="182">
        <f>'[8]MASTER '!$AE$38</f>
        <v>6</v>
      </c>
      <c r="G56" s="182">
        <f>'[8]MASTER '!$AE$39</f>
        <v>3</v>
      </c>
      <c r="H56" s="182">
        <f>'[8]MASTER '!$AE$40</f>
        <v>3</v>
      </c>
      <c r="I56" s="182">
        <f>'[8]MASTER '!$AE$41</f>
        <v>4</v>
      </c>
      <c r="J56" s="61"/>
      <c r="K56" s="61"/>
      <c r="L56" s="61"/>
      <c r="M56" s="142">
        <f>D56</f>
        <v>1</v>
      </c>
      <c r="N56" s="143">
        <f>((M56/C56)*100)</f>
        <v>5.5555555555555554</v>
      </c>
      <c r="O56" s="142">
        <f>SUM(D56:H56)</f>
        <v>14</v>
      </c>
      <c r="P56" s="143">
        <f>((O56/C56)*100)</f>
        <v>77.777777777777786</v>
      </c>
    </row>
    <row r="57" spans="1:16" s="5" customFormat="1">
      <c r="A57" s="164"/>
      <c r="B57" s="164" t="s">
        <v>33</v>
      </c>
      <c r="C57" s="164">
        <f t="shared" ref="C57:I57" si="49">SUM(C55:C56)</f>
        <v>39</v>
      </c>
      <c r="D57" s="164">
        <f t="shared" si="49"/>
        <v>1</v>
      </c>
      <c r="E57" s="164">
        <f t="shared" si="49"/>
        <v>4</v>
      </c>
      <c r="F57" s="164">
        <f t="shared" si="49"/>
        <v>9</v>
      </c>
      <c r="G57" s="164">
        <f t="shared" si="49"/>
        <v>12</v>
      </c>
      <c r="H57" s="164">
        <f t="shared" si="49"/>
        <v>8</v>
      </c>
      <c r="I57" s="164">
        <f t="shared" si="49"/>
        <v>5</v>
      </c>
      <c r="J57" s="60"/>
      <c r="K57" s="60"/>
      <c r="L57" s="60"/>
      <c r="M57" s="164">
        <f>SUM(M55:M56)</f>
        <v>1</v>
      </c>
      <c r="N57" s="9">
        <f>((M57/C57)*100)</f>
        <v>2.5641025641025639</v>
      </c>
      <c r="O57" s="164">
        <f>SUM(O55:O56)</f>
        <v>34</v>
      </c>
      <c r="P57" s="9">
        <f>((O57/C57)*100)</f>
        <v>87.179487179487182</v>
      </c>
    </row>
    <row r="58" spans="1:16" s="5" customFormat="1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  <c r="O58" s="10"/>
      <c r="P58" s="11"/>
    </row>
    <row r="59" spans="1:16" s="5" customFormat="1" ht="18">
      <c r="A59" s="153" t="s">
        <v>63</v>
      </c>
      <c r="B59" s="144"/>
      <c r="N59" s="49"/>
      <c r="P59" s="49"/>
    </row>
    <row r="60" spans="1:16" s="36" customFormat="1">
      <c r="D60" s="220" t="s">
        <v>1</v>
      </c>
      <c r="E60" s="221"/>
      <c r="F60" s="220" t="s">
        <v>2</v>
      </c>
      <c r="G60" s="226"/>
      <c r="H60" s="226"/>
      <c r="I60" s="221"/>
      <c r="J60" s="220" t="s">
        <v>3</v>
      </c>
      <c r="K60" s="221"/>
      <c r="L60" s="58" t="s">
        <v>4</v>
      </c>
      <c r="P60" s="110"/>
    </row>
    <row r="61" spans="1:16" s="5" customFormat="1" ht="25.5">
      <c r="A61" s="58" t="s">
        <v>5</v>
      </c>
      <c r="B61" s="58" t="s">
        <v>6</v>
      </c>
      <c r="C61" s="58" t="s">
        <v>7</v>
      </c>
      <c r="D61" s="58" t="s">
        <v>8</v>
      </c>
      <c r="E61" s="58" t="s">
        <v>9</v>
      </c>
      <c r="F61" s="58" t="s">
        <v>10</v>
      </c>
      <c r="G61" s="58" t="s">
        <v>11</v>
      </c>
      <c r="H61" s="58" t="s">
        <v>12</v>
      </c>
      <c r="I61" s="58" t="s">
        <v>13</v>
      </c>
      <c r="J61" s="58" t="s">
        <v>14</v>
      </c>
      <c r="K61" s="58" t="s">
        <v>15</v>
      </c>
      <c r="L61" s="58" t="s">
        <v>16</v>
      </c>
      <c r="M61" s="48" t="s">
        <v>17</v>
      </c>
      <c r="N61" s="48" t="s">
        <v>18</v>
      </c>
      <c r="O61" s="48" t="s">
        <v>19</v>
      </c>
      <c r="P61" s="108" t="s">
        <v>20</v>
      </c>
    </row>
    <row r="62" spans="1:16" s="5" customFormat="1">
      <c r="A62" s="58" t="s">
        <v>21</v>
      </c>
      <c r="B62" s="182" t="s">
        <v>54</v>
      </c>
      <c r="C62" s="7">
        <f>SUM(D62:L62)</f>
        <v>17</v>
      </c>
      <c r="D62" s="182">
        <f>'[1]MASTER '!$CW$38</f>
        <v>0</v>
      </c>
      <c r="E62" s="182">
        <f>'[1]MASTER '!$CW$39</f>
        <v>0</v>
      </c>
      <c r="F62" s="182">
        <f>'[1]MASTER '!$CW$40</f>
        <v>0</v>
      </c>
      <c r="G62" s="182">
        <f>'[1]MASTER '!$CW$41</f>
        <v>0</v>
      </c>
      <c r="H62" s="182">
        <f>'[1]MASTER '!$CW$42</f>
        <v>1</v>
      </c>
      <c r="I62" s="182">
        <f>'[1]MASTER '!$CW$43</f>
        <v>0</v>
      </c>
      <c r="J62" s="182">
        <f>'[1]MASTER '!$CW$44</f>
        <v>6</v>
      </c>
      <c r="K62" s="182">
        <f>'[1]MASTER '!$CW$45</f>
        <v>2</v>
      </c>
      <c r="L62" s="182">
        <f>'[1]MASTER '!$CW$46</f>
        <v>8</v>
      </c>
      <c r="M62" s="7">
        <f>SUM(D62:I62)</f>
        <v>1</v>
      </c>
      <c r="N62" s="8">
        <f>((M62/C62)*100)</f>
        <v>5.8823529411764701</v>
      </c>
      <c r="O62" s="7">
        <f>SUM(D62:K62)</f>
        <v>9</v>
      </c>
      <c r="P62" s="8">
        <f>((O62/C62)*100)</f>
        <v>52.941176470588239</v>
      </c>
    </row>
    <row r="63" spans="1:16">
      <c r="A63" s="159"/>
      <c r="B63" s="160" t="s">
        <v>33</v>
      </c>
      <c r="C63" s="164">
        <f>SUM(C62:C62)</f>
        <v>17</v>
      </c>
      <c r="D63" s="164">
        <f>SUM(D62:D62)</f>
        <v>0</v>
      </c>
      <c r="E63" s="164">
        <f>SUM(E62:E62)</f>
        <v>0</v>
      </c>
      <c r="F63" s="164">
        <f>SUM(F62:F62)</f>
        <v>0</v>
      </c>
      <c r="G63" s="164">
        <f>SUM(G62:G62)</f>
        <v>0</v>
      </c>
      <c r="H63" s="164">
        <f>SUM(H62:H62)</f>
        <v>1</v>
      </c>
      <c r="I63" s="164">
        <f>SUM(I62:I62)</f>
        <v>0</v>
      </c>
      <c r="J63" s="164">
        <f>SUM(J62:J62)</f>
        <v>6</v>
      </c>
      <c r="K63" s="164">
        <f>SUM(K62:K62)</f>
        <v>2</v>
      </c>
      <c r="L63" s="164">
        <f>SUM(L62:L62)</f>
        <v>8</v>
      </c>
      <c r="M63" s="164">
        <f>SUM(M62:M62)</f>
        <v>1</v>
      </c>
      <c r="N63" s="9">
        <f>((M63/C63)*100)</f>
        <v>5.8823529411764701</v>
      </c>
      <c r="O63" s="164">
        <f>SUM(O62:O62)</f>
        <v>9</v>
      </c>
      <c r="P63" s="9">
        <f>((O63/C63)*100)</f>
        <v>52.941176470588239</v>
      </c>
    </row>
    <row r="64" spans="1:16" ht="26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  <c r="O64" s="10"/>
      <c r="P64" s="11"/>
    </row>
    <row r="65" spans="1:16" s="62" customFormat="1" ht="18">
      <c r="A65" s="152" t="s">
        <v>64</v>
      </c>
      <c r="P65" s="111"/>
    </row>
    <row r="66" spans="1:16">
      <c r="D66" s="222" t="s">
        <v>1</v>
      </c>
      <c r="E66" s="223"/>
      <c r="F66" s="222" t="s">
        <v>2</v>
      </c>
      <c r="G66" s="224"/>
      <c r="H66" s="224"/>
      <c r="I66" s="223"/>
      <c r="J66" s="222" t="s">
        <v>3</v>
      </c>
      <c r="K66" s="223"/>
      <c r="L66" s="164" t="s">
        <v>4</v>
      </c>
    </row>
    <row r="67" spans="1:16" ht="22.5" customHeight="1">
      <c r="A67" s="58" t="s">
        <v>5</v>
      </c>
      <c r="B67" s="58" t="s">
        <v>6</v>
      </c>
      <c r="C67" s="58" t="s">
        <v>7</v>
      </c>
      <c r="D67" s="58" t="s">
        <v>8</v>
      </c>
      <c r="E67" s="58" t="s">
        <v>9</v>
      </c>
      <c r="F67" s="58" t="s">
        <v>10</v>
      </c>
      <c r="G67" s="58" t="s">
        <v>11</v>
      </c>
      <c r="H67" s="58" t="s">
        <v>12</v>
      </c>
      <c r="I67" s="58" t="s">
        <v>13</v>
      </c>
      <c r="J67" s="58" t="s">
        <v>14</v>
      </c>
      <c r="K67" s="58" t="s">
        <v>15</v>
      </c>
      <c r="L67" s="58" t="s">
        <v>16</v>
      </c>
      <c r="M67" s="48" t="s">
        <v>17</v>
      </c>
      <c r="N67" s="48" t="s">
        <v>18</v>
      </c>
      <c r="O67" s="48" t="s">
        <v>19</v>
      </c>
      <c r="P67" s="108" t="s">
        <v>20</v>
      </c>
    </row>
    <row r="68" spans="1:16" s="5" customFormat="1">
      <c r="A68" s="164" t="s">
        <v>21</v>
      </c>
      <c r="B68" s="145" t="s">
        <v>65</v>
      </c>
      <c r="C68" s="7">
        <f>SUM(D68:L68)</f>
        <v>17</v>
      </c>
      <c r="D68" s="63">
        <f>'[1]MASTER '!$AX$38</f>
        <v>0</v>
      </c>
      <c r="E68" s="63">
        <f>'[1]MASTER '!$AX$39</f>
        <v>2</v>
      </c>
      <c r="F68" s="63">
        <f>'[1]MASTER '!$AX$40</f>
        <v>3</v>
      </c>
      <c r="G68" s="63">
        <f>'[1]MASTER '!$AX$41</f>
        <v>0</v>
      </c>
      <c r="H68" s="63">
        <f>'[1]MASTER '!$AX$42</f>
        <v>4</v>
      </c>
      <c r="I68" s="63">
        <f>'[1]MASTER '!$AX$43</f>
        <v>3</v>
      </c>
      <c r="J68" s="63">
        <f>'[1]MASTER '!$AX$44</f>
        <v>3</v>
      </c>
      <c r="K68" s="63">
        <f>'[1]MASTER '!$AX$45</f>
        <v>2</v>
      </c>
      <c r="L68" s="63">
        <f>'[1]MASTER '!$AX$46</f>
        <v>0</v>
      </c>
      <c r="M68" s="7">
        <f t="shared" ref="M68" si="50">SUM(D68:I68)</f>
        <v>12</v>
      </c>
      <c r="N68" s="8">
        <f t="shared" ref="N68" si="51">((M68/C68)*100)</f>
        <v>70.588235294117652</v>
      </c>
      <c r="O68" s="7">
        <f t="shared" ref="O68" si="52">SUM(D68:K68)</f>
        <v>17</v>
      </c>
      <c r="P68" s="8">
        <f t="shared" ref="P68" si="53">((O68/C68)*100)</f>
        <v>100</v>
      </c>
    </row>
    <row r="69" spans="1:16" s="5" customFormat="1">
      <c r="A69" s="164" t="s">
        <v>23</v>
      </c>
      <c r="B69" s="145" t="s">
        <v>66</v>
      </c>
      <c r="C69" s="7">
        <f t="shared" ref="C69:C71" si="54">SUM(D69:L69)</f>
        <v>21</v>
      </c>
      <c r="D69" s="63">
        <f>'[2]MASTER '!$AX$38</f>
        <v>0</v>
      </c>
      <c r="E69" s="63">
        <f>'[2]MASTER '!$AX$39</f>
        <v>3</v>
      </c>
      <c r="F69" s="63">
        <f>'[2]MASTER '!$AX$40</f>
        <v>1</v>
      </c>
      <c r="G69" s="63">
        <f>'[2]MASTER '!$AX$41</f>
        <v>2</v>
      </c>
      <c r="H69" s="63">
        <f>'[2]MASTER '!$AX$42</f>
        <v>1</v>
      </c>
      <c r="I69" s="63">
        <f>'[2]MASTER '!$AX$43</f>
        <v>1</v>
      </c>
      <c r="J69" s="63">
        <f>'[2]MASTER '!$AX$44</f>
        <v>8</v>
      </c>
      <c r="K69" s="63">
        <f>'[2]MASTER '!$AX$45</f>
        <v>4</v>
      </c>
      <c r="L69" s="63">
        <f>'[2]MASTER '!$AX$46</f>
        <v>1</v>
      </c>
      <c r="M69" s="7">
        <f t="shared" ref="M69:M71" si="55">SUM(D69:I69)</f>
        <v>8</v>
      </c>
      <c r="N69" s="8">
        <f t="shared" ref="N69:N71" si="56">((M69/C69)*100)</f>
        <v>38.095238095238095</v>
      </c>
      <c r="O69" s="7">
        <f t="shared" ref="O69:O71" si="57">SUM(D69:K69)</f>
        <v>20</v>
      </c>
      <c r="P69" s="8">
        <f t="shared" ref="P69:P71" si="58">((O69/C69)*100)</f>
        <v>95.238095238095227</v>
      </c>
    </row>
    <row r="70" spans="1:16" s="5" customFormat="1">
      <c r="A70" s="164" t="s">
        <v>25</v>
      </c>
      <c r="B70" s="145" t="s">
        <v>66</v>
      </c>
      <c r="C70" s="7">
        <f t="shared" si="54"/>
        <v>15</v>
      </c>
      <c r="D70" s="63">
        <f>'[3]MASTER '!$AX$38</f>
        <v>0</v>
      </c>
      <c r="E70" s="63">
        <f>'[3]MASTER '!$AX$39</f>
        <v>0</v>
      </c>
      <c r="F70" s="63">
        <f>'[3]MASTER '!$AX$40</f>
        <v>4</v>
      </c>
      <c r="G70" s="63">
        <f>'[3]MASTER '!$AX$41</f>
        <v>2</v>
      </c>
      <c r="H70" s="63">
        <f>'[3]MASTER '!$AX$42</f>
        <v>1</v>
      </c>
      <c r="I70" s="63">
        <f>'[3]MASTER '!$AX$43</f>
        <v>4</v>
      </c>
      <c r="J70" s="63">
        <f>'[3]MASTER '!$AX$44</f>
        <v>2</v>
      </c>
      <c r="K70" s="63">
        <f>'[3]MASTER '!$AX$45</f>
        <v>1</v>
      </c>
      <c r="L70" s="63">
        <f>'[3]MASTER '!$AX$46</f>
        <v>1</v>
      </c>
      <c r="M70" s="7">
        <f t="shared" si="55"/>
        <v>11</v>
      </c>
      <c r="N70" s="8">
        <f t="shared" si="56"/>
        <v>73.333333333333329</v>
      </c>
      <c r="O70" s="7">
        <f t="shared" si="57"/>
        <v>14</v>
      </c>
      <c r="P70" s="8">
        <f t="shared" si="58"/>
        <v>93.333333333333329</v>
      </c>
    </row>
    <row r="71" spans="1:16" s="5" customFormat="1">
      <c r="A71" s="159" t="s">
        <v>26</v>
      </c>
      <c r="B71" s="174" t="s">
        <v>66</v>
      </c>
      <c r="C71" s="7">
        <f t="shared" si="54"/>
        <v>19</v>
      </c>
      <c r="D71" s="63">
        <f>'[4]MASTER '!$AX$38</f>
        <v>1</v>
      </c>
      <c r="E71" s="63">
        <f>'[4]MASTER '!$AX$39</f>
        <v>3</v>
      </c>
      <c r="F71" s="63">
        <f>'[4]MASTER '!$AX$40</f>
        <v>0</v>
      </c>
      <c r="G71" s="63">
        <f>'[4]MASTER '!$AX$41</f>
        <v>2</v>
      </c>
      <c r="H71" s="63">
        <f>'[4]MASTER '!$AX$42</f>
        <v>5</v>
      </c>
      <c r="I71" s="63">
        <f>'[4]MASTER '!$AX$43</f>
        <v>2</v>
      </c>
      <c r="J71" s="63">
        <f>'[4]MASTER '!$AX$44</f>
        <v>2</v>
      </c>
      <c r="K71" s="63">
        <f>'[4]MASTER '!$AX$45</f>
        <v>1</v>
      </c>
      <c r="L71" s="63">
        <f>'[4]MASTER '!$AX$46</f>
        <v>3</v>
      </c>
      <c r="M71" s="7">
        <f t="shared" si="55"/>
        <v>13</v>
      </c>
      <c r="N71" s="8">
        <f t="shared" si="56"/>
        <v>68.421052631578945</v>
      </c>
      <c r="O71" s="7">
        <f t="shared" si="57"/>
        <v>16</v>
      </c>
      <c r="P71" s="8">
        <f t="shared" si="58"/>
        <v>84.210526315789465</v>
      </c>
    </row>
    <row r="72" spans="1:16">
      <c r="A72" s="159"/>
      <c r="B72" s="160" t="s">
        <v>33</v>
      </c>
      <c r="C72" s="164">
        <f>SUM(C68:C71)</f>
        <v>72</v>
      </c>
      <c r="D72" s="164">
        <f t="shared" ref="D72:M72" si="59">SUM(D68:D71)</f>
        <v>1</v>
      </c>
      <c r="E72" s="164">
        <f t="shared" si="59"/>
        <v>8</v>
      </c>
      <c r="F72" s="164">
        <f t="shared" si="59"/>
        <v>8</v>
      </c>
      <c r="G72" s="164">
        <f t="shared" si="59"/>
        <v>6</v>
      </c>
      <c r="H72" s="164">
        <f t="shared" si="59"/>
        <v>11</v>
      </c>
      <c r="I72" s="164">
        <f t="shared" si="59"/>
        <v>10</v>
      </c>
      <c r="J72" s="164">
        <f t="shared" si="59"/>
        <v>15</v>
      </c>
      <c r="K72" s="164">
        <f t="shared" si="59"/>
        <v>8</v>
      </c>
      <c r="L72" s="164">
        <f t="shared" si="59"/>
        <v>5</v>
      </c>
      <c r="M72" s="164">
        <f t="shared" si="59"/>
        <v>44</v>
      </c>
      <c r="N72" s="9">
        <f>((M72/C72)*100)</f>
        <v>61.111111111111114</v>
      </c>
      <c r="O72" s="164">
        <f>SUM(D72:K72)</f>
        <v>67</v>
      </c>
      <c r="P72" s="9">
        <f>((O72/C72)*100)</f>
        <v>93.055555555555557</v>
      </c>
    </row>
    <row r="73" spans="1:16" ht="5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  <c r="O73" s="10"/>
      <c r="P73" s="11"/>
    </row>
    <row r="74" spans="1:16" ht="5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  <c r="O74" s="10"/>
      <c r="P74" s="11"/>
    </row>
    <row r="75" spans="1:16" ht="32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  <c r="O75" s="10"/>
      <c r="P75" s="11"/>
    </row>
    <row r="76" spans="1:16" ht="18">
      <c r="A76" s="152" t="s">
        <v>67</v>
      </c>
    </row>
    <row r="77" spans="1:16">
      <c r="D77" s="222" t="s">
        <v>1</v>
      </c>
      <c r="E77" s="223"/>
      <c r="F77" s="222" t="s">
        <v>2</v>
      </c>
      <c r="G77" s="224"/>
      <c r="H77" s="224"/>
      <c r="I77" s="223"/>
      <c r="J77" s="222" t="s">
        <v>3</v>
      </c>
      <c r="K77" s="223"/>
      <c r="L77" s="164" t="s">
        <v>4</v>
      </c>
    </row>
    <row r="78" spans="1:16" ht="22.5" customHeight="1">
      <c r="A78" s="58" t="s">
        <v>5</v>
      </c>
      <c r="B78" s="58" t="s">
        <v>6</v>
      </c>
      <c r="C78" s="58" t="s">
        <v>7</v>
      </c>
      <c r="D78" s="58" t="s">
        <v>8</v>
      </c>
      <c r="E78" s="58" t="s">
        <v>9</v>
      </c>
      <c r="F78" s="58" t="s">
        <v>10</v>
      </c>
      <c r="G78" s="58" t="s">
        <v>11</v>
      </c>
      <c r="H78" s="58" t="s">
        <v>12</v>
      </c>
      <c r="I78" s="58" t="s">
        <v>13</v>
      </c>
      <c r="J78" s="58" t="s">
        <v>14</v>
      </c>
      <c r="K78" s="58" t="s">
        <v>15</v>
      </c>
      <c r="L78" s="58" t="s">
        <v>16</v>
      </c>
      <c r="M78" s="48" t="s">
        <v>17</v>
      </c>
      <c r="N78" s="48" t="s">
        <v>18</v>
      </c>
      <c r="O78" s="48" t="s">
        <v>19</v>
      </c>
      <c r="P78" s="108" t="s">
        <v>20</v>
      </c>
    </row>
    <row r="79" spans="1:16" s="5" customFormat="1">
      <c r="A79" s="164" t="s">
        <v>21</v>
      </c>
      <c r="B79" s="145" t="s">
        <v>68</v>
      </c>
      <c r="C79" s="7">
        <f>SUM(D79:L79)</f>
        <v>17</v>
      </c>
      <c r="D79" s="63">
        <f>'[1]MASTER '!$BS$38</f>
        <v>0</v>
      </c>
      <c r="E79" s="63">
        <f>'[1]MASTER '!$BS$39</f>
        <v>2</v>
      </c>
      <c r="F79" s="63">
        <f>'[1]MASTER '!$BS$40</f>
        <v>1</v>
      </c>
      <c r="G79" s="63">
        <f>'[1]MASTER '!$BS$41</f>
        <v>2</v>
      </c>
      <c r="H79" s="63">
        <f>'[1]MASTER '!$BS$42</f>
        <v>1</v>
      </c>
      <c r="I79" s="63">
        <f>'[1]MASTER '!$BS$43</f>
        <v>4</v>
      </c>
      <c r="J79" s="63">
        <f>'[1]MASTER '!$BS$44</f>
        <v>6</v>
      </c>
      <c r="K79" s="63">
        <f>'[1]MASTER '!$BS$45</f>
        <v>1</v>
      </c>
      <c r="L79" s="63">
        <f>'[1]MASTER '!$BS$46</f>
        <v>0</v>
      </c>
      <c r="M79" s="7">
        <f t="shared" ref="M79" si="60">SUM(D79:I79)</f>
        <v>10</v>
      </c>
      <c r="N79" s="8">
        <f t="shared" ref="N79" si="61">((M79/C79)*100)</f>
        <v>58.82352941176471</v>
      </c>
      <c r="O79" s="7">
        <f t="shared" ref="O79" si="62">SUM(D79:K79)</f>
        <v>17</v>
      </c>
      <c r="P79" s="8">
        <f t="shared" ref="P79" si="63">((O79/C79)*100)</f>
        <v>100</v>
      </c>
    </row>
    <row r="80" spans="1:16" s="5" customFormat="1">
      <c r="A80" s="164" t="s">
        <v>23</v>
      </c>
      <c r="B80" s="145" t="s">
        <v>69</v>
      </c>
      <c r="C80" s="7">
        <f t="shared" ref="C80:C82" si="64">SUM(D80:L80)</f>
        <v>21</v>
      </c>
      <c r="D80" s="63">
        <f>'[2]MASTER '!$BS$38</f>
        <v>0</v>
      </c>
      <c r="E80" s="63">
        <f>'[2]MASTER '!$BS$39</f>
        <v>2</v>
      </c>
      <c r="F80" s="63">
        <f>'[2]MASTER '!$BS$40</f>
        <v>3</v>
      </c>
      <c r="G80" s="63">
        <f>'[2]MASTER '!$BS$41</f>
        <v>1</v>
      </c>
      <c r="H80" s="63">
        <f>'[2]MASTER '!$BS$42</f>
        <v>1</v>
      </c>
      <c r="I80" s="63">
        <f>'[2]MASTER '!$BS$43</f>
        <v>5</v>
      </c>
      <c r="J80" s="63">
        <f>'[2]MASTER '!$BS$44</f>
        <v>5</v>
      </c>
      <c r="K80" s="63">
        <f>'[2]MASTER '!$BS$45</f>
        <v>4</v>
      </c>
      <c r="L80" s="63">
        <f>'[2]MASTER '!$BS$46</f>
        <v>0</v>
      </c>
      <c r="M80" s="7">
        <f t="shared" ref="M80:M82" si="65">SUM(D80:I80)</f>
        <v>12</v>
      </c>
      <c r="N80" s="8">
        <f t="shared" ref="N80:N82" si="66">((M80/C80)*100)</f>
        <v>57.142857142857139</v>
      </c>
      <c r="O80" s="7">
        <f t="shared" ref="O80:O82" si="67">SUM(D80:K80)</f>
        <v>21</v>
      </c>
      <c r="P80" s="8">
        <f t="shared" ref="P80:P83" si="68">((O80/C80)*100)</f>
        <v>100</v>
      </c>
    </row>
    <row r="81" spans="1:16" s="5" customFormat="1">
      <c r="A81" s="164" t="s">
        <v>25</v>
      </c>
      <c r="B81" s="145" t="s">
        <v>69</v>
      </c>
      <c r="C81" s="7">
        <f t="shared" si="64"/>
        <v>15</v>
      </c>
      <c r="D81" s="63">
        <f>'[3]MASTER '!$BS$38</f>
        <v>0</v>
      </c>
      <c r="E81" s="63">
        <f>'[3]MASTER '!$AX$39</f>
        <v>0</v>
      </c>
      <c r="F81" s="63">
        <f>'[3]MASTER '!$BS$40</f>
        <v>0</v>
      </c>
      <c r="G81" s="63">
        <f>'[3]MASTER '!$BS$41</f>
        <v>1</v>
      </c>
      <c r="H81" s="63">
        <f>'[3]MASTER '!$BS$42</f>
        <v>3</v>
      </c>
      <c r="I81" s="63">
        <f>'[3]MASTER '!$BS$43</f>
        <v>3</v>
      </c>
      <c r="J81" s="63">
        <f>'[3]MASTER '!$BS$44</f>
        <v>5</v>
      </c>
      <c r="K81" s="63">
        <f>'[3]MASTER '!$BS$45</f>
        <v>2</v>
      </c>
      <c r="L81" s="63">
        <f>'[3]MASTER '!$BS$46</f>
        <v>1</v>
      </c>
      <c r="M81" s="7">
        <f t="shared" si="65"/>
        <v>7</v>
      </c>
      <c r="N81" s="8">
        <f t="shared" si="66"/>
        <v>46.666666666666664</v>
      </c>
      <c r="O81" s="7">
        <f t="shared" si="67"/>
        <v>14</v>
      </c>
      <c r="P81" s="8">
        <f t="shared" si="68"/>
        <v>93.333333333333329</v>
      </c>
    </row>
    <row r="82" spans="1:16" s="5" customFormat="1">
      <c r="A82" s="159" t="s">
        <v>29</v>
      </c>
      <c r="B82" s="145" t="s">
        <v>68</v>
      </c>
      <c r="C82" s="7">
        <f t="shared" si="64"/>
        <v>25</v>
      </c>
      <c r="D82" s="63">
        <f>'[6]MASTER '!$AX$38</f>
        <v>0</v>
      </c>
      <c r="E82" s="63">
        <f>'[6]MASTER '!$AX$39</f>
        <v>0</v>
      </c>
      <c r="F82" s="63">
        <f>'[6]MASTER '!$AX$40</f>
        <v>0</v>
      </c>
      <c r="G82" s="63">
        <f>'[6]MASTER '!$AX$41</f>
        <v>0</v>
      </c>
      <c r="H82" s="63">
        <f>'[6]MASTER '!$AX$42</f>
        <v>0</v>
      </c>
      <c r="I82" s="63">
        <f>'[6]MASTER '!$AX$43</f>
        <v>0</v>
      </c>
      <c r="J82" s="63">
        <f>'[6]MASTER '!$AX$44</f>
        <v>1</v>
      </c>
      <c r="K82" s="63">
        <f>'[6]MASTER '!$AX$45</f>
        <v>4</v>
      </c>
      <c r="L82" s="63">
        <f>'[6]MASTER '!$AX$46</f>
        <v>20</v>
      </c>
      <c r="M82" s="7">
        <f t="shared" si="65"/>
        <v>0</v>
      </c>
      <c r="N82" s="8">
        <f t="shared" si="66"/>
        <v>0</v>
      </c>
      <c r="O82" s="7">
        <f t="shared" si="67"/>
        <v>5</v>
      </c>
      <c r="P82" s="8">
        <f t="shared" si="68"/>
        <v>20</v>
      </c>
    </row>
    <row r="83" spans="1:16" ht="13.5" customHeight="1">
      <c r="A83" s="159"/>
      <c r="B83" s="160" t="s">
        <v>33</v>
      </c>
      <c r="C83" s="164">
        <f>SUM(C79:C82)</f>
        <v>78</v>
      </c>
      <c r="D83" s="164">
        <f t="shared" ref="D83:M83" si="69">SUM(D79:D82)</f>
        <v>0</v>
      </c>
      <c r="E83" s="164">
        <f t="shared" si="69"/>
        <v>4</v>
      </c>
      <c r="F83" s="164">
        <f t="shared" si="69"/>
        <v>4</v>
      </c>
      <c r="G83" s="164">
        <f t="shared" si="69"/>
        <v>4</v>
      </c>
      <c r="H83" s="164">
        <f t="shared" si="69"/>
        <v>5</v>
      </c>
      <c r="I83" s="164">
        <f t="shared" si="69"/>
        <v>12</v>
      </c>
      <c r="J83" s="164">
        <f t="shared" si="69"/>
        <v>17</v>
      </c>
      <c r="K83" s="164">
        <f t="shared" si="69"/>
        <v>11</v>
      </c>
      <c r="L83" s="164">
        <f t="shared" si="69"/>
        <v>21</v>
      </c>
      <c r="M83" s="164">
        <f t="shared" si="69"/>
        <v>29</v>
      </c>
      <c r="N83" s="9">
        <f>((M83/C83)*100)</f>
        <v>37.179487179487182</v>
      </c>
      <c r="O83" s="164">
        <f>SUM(O79:O82)</f>
        <v>57</v>
      </c>
      <c r="P83" s="8">
        <f t="shared" si="68"/>
        <v>73.076923076923066</v>
      </c>
    </row>
    <row r="84" spans="1:16" ht="18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  <c r="O84" s="10"/>
      <c r="P84" s="11"/>
    </row>
    <row r="85" spans="1:16" ht="18">
      <c r="A85" s="152" t="s">
        <v>70</v>
      </c>
    </row>
    <row r="86" spans="1:16">
      <c r="D86" s="222" t="s">
        <v>1</v>
      </c>
      <c r="E86" s="223"/>
      <c r="F86" s="222" t="s">
        <v>2</v>
      </c>
      <c r="G86" s="224"/>
      <c r="H86" s="224"/>
      <c r="I86" s="223"/>
      <c r="J86" s="222" t="s">
        <v>3</v>
      </c>
      <c r="K86" s="223"/>
      <c r="L86" s="164" t="s">
        <v>4</v>
      </c>
    </row>
    <row r="87" spans="1:16" s="5" customFormat="1" ht="23.25" customHeight="1">
      <c r="A87" s="58" t="s">
        <v>5</v>
      </c>
      <c r="B87" s="58" t="s">
        <v>6</v>
      </c>
      <c r="C87" s="58" t="s">
        <v>7</v>
      </c>
      <c r="D87" s="58" t="s">
        <v>8</v>
      </c>
      <c r="E87" s="58" t="s">
        <v>9</v>
      </c>
      <c r="F87" s="58" t="s">
        <v>10</v>
      </c>
      <c r="G87" s="58" t="s">
        <v>11</v>
      </c>
      <c r="H87" s="58" t="s">
        <v>12</v>
      </c>
      <c r="I87" s="58" t="s">
        <v>13</v>
      </c>
      <c r="J87" s="58" t="s">
        <v>14</v>
      </c>
      <c r="K87" s="58" t="s">
        <v>15</v>
      </c>
      <c r="L87" s="58" t="s">
        <v>16</v>
      </c>
      <c r="M87" s="48" t="s">
        <v>17</v>
      </c>
      <c r="N87" s="48" t="s">
        <v>18</v>
      </c>
      <c r="O87" s="48" t="s">
        <v>19</v>
      </c>
      <c r="P87" s="108" t="s">
        <v>20</v>
      </c>
    </row>
    <row r="88" spans="1:16">
      <c r="A88" s="164" t="s">
        <v>21</v>
      </c>
      <c r="B88" s="145" t="s">
        <v>71</v>
      </c>
      <c r="C88" s="7">
        <f>SUM(D88:L88)</f>
        <v>17</v>
      </c>
      <c r="D88" s="63">
        <f>'[1]MASTER '!$BI$38</f>
        <v>0</v>
      </c>
      <c r="E88" s="63">
        <f>'[1]MASTER '!$BI$39</f>
        <v>1</v>
      </c>
      <c r="F88" s="63">
        <f>'[1]MASTER '!$BI$40</f>
        <v>3</v>
      </c>
      <c r="G88" s="63">
        <f>'[1]MASTER '!$BI$41</f>
        <v>4</v>
      </c>
      <c r="H88" s="63">
        <f>'[1]MASTER '!$BI$42</f>
        <v>5</v>
      </c>
      <c r="I88" s="63">
        <f>'[1]MASTER '!$BI$43</f>
        <v>3</v>
      </c>
      <c r="J88" s="63">
        <f>'[1]MASTER '!$BI$44</f>
        <v>1</v>
      </c>
      <c r="K88" s="63">
        <f>'[1]MASTER '!$BI$45</f>
        <v>0</v>
      </c>
      <c r="L88" s="63">
        <f>'[1]MASTER '!$BI$46</f>
        <v>0</v>
      </c>
      <c r="M88" s="7">
        <f>SUM(D88:I88)</f>
        <v>16</v>
      </c>
      <c r="N88" s="8">
        <f>((M88/C88)*100)</f>
        <v>94.117647058823522</v>
      </c>
      <c r="O88" s="7">
        <f>SUM(D88:K88)</f>
        <v>17</v>
      </c>
      <c r="P88" s="8">
        <f>((O88/C88)*100)</f>
        <v>100</v>
      </c>
    </row>
    <row r="89" spans="1:16">
      <c r="A89" s="164" t="s">
        <v>23</v>
      </c>
      <c r="B89" s="145" t="s">
        <v>72</v>
      </c>
      <c r="C89" s="7">
        <f t="shared" ref="C89:C91" si="70">SUM(D89:L89)</f>
        <v>21</v>
      </c>
      <c r="D89" s="63">
        <f>'[2]MASTER '!$BI$38</f>
        <v>0</v>
      </c>
      <c r="E89" s="63">
        <f>'[2]MASTER '!$BI$39</f>
        <v>0</v>
      </c>
      <c r="F89" s="63">
        <f>'[2]MASTER '!$BI$40</f>
        <v>2</v>
      </c>
      <c r="G89" s="63">
        <f>'[2]MASTER '!$BI$41</f>
        <v>4</v>
      </c>
      <c r="H89" s="63">
        <f>'[2]MASTER '!$BI$42</f>
        <v>3</v>
      </c>
      <c r="I89" s="63">
        <f>'[2]MASTER '!$BI$43</f>
        <v>6</v>
      </c>
      <c r="J89" s="63">
        <f>'[2]MASTER '!$BI$44</f>
        <v>4</v>
      </c>
      <c r="K89" s="63">
        <f>'[2]MASTER '!$BI$45</f>
        <v>2</v>
      </c>
      <c r="L89" s="63">
        <f>'[2]MASTER '!$BI$46</f>
        <v>0</v>
      </c>
      <c r="M89" s="7">
        <f t="shared" ref="M89:M90" si="71">SUM(D89:I89)</f>
        <v>15</v>
      </c>
      <c r="N89" s="8">
        <f t="shared" ref="N89:N90" si="72">((M89/C89)*100)</f>
        <v>71.428571428571431</v>
      </c>
      <c r="O89" s="7">
        <f t="shared" ref="O89:O90" si="73">SUM(D89:K89)</f>
        <v>21</v>
      </c>
      <c r="P89" s="8">
        <f t="shared" ref="P89:P90" si="74">((O89/C89)*100)</f>
        <v>100</v>
      </c>
    </row>
    <row r="90" spans="1:16">
      <c r="A90" s="164" t="s">
        <v>25</v>
      </c>
      <c r="B90" s="145" t="s">
        <v>72</v>
      </c>
      <c r="C90" s="7">
        <f t="shared" si="70"/>
        <v>15</v>
      </c>
      <c r="D90" s="63">
        <f>'[3]MASTER '!$BI$38</f>
        <v>0</v>
      </c>
      <c r="E90" s="63">
        <f>'[3]MASTER '!$BI$39</f>
        <v>0</v>
      </c>
      <c r="F90" s="63">
        <f>'[3]MASTER '!$BI$40</f>
        <v>2</v>
      </c>
      <c r="G90" s="63">
        <f>'[3]MASTER '!$BI$41</f>
        <v>1</v>
      </c>
      <c r="H90" s="63">
        <f>'[3]MASTER '!$BI$42</f>
        <v>4</v>
      </c>
      <c r="I90" s="63">
        <f>'[3]MASTER '!$BI$43</f>
        <v>3</v>
      </c>
      <c r="J90" s="63">
        <f>'[3]MASTER '!$BI$44</f>
        <v>4</v>
      </c>
      <c r="K90" s="63">
        <f>'[3]MASTER '!$BI$45</f>
        <v>1</v>
      </c>
      <c r="L90" s="63">
        <f>'[3]MASTER '!$BI$46</f>
        <v>0</v>
      </c>
      <c r="M90" s="7">
        <f t="shared" si="71"/>
        <v>10</v>
      </c>
      <c r="N90" s="8">
        <f t="shared" si="72"/>
        <v>66.666666666666657</v>
      </c>
      <c r="O90" s="7">
        <f t="shared" si="73"/>
        <v>15</v>
      </c>
      <c r="P90" s="8">
        <f t="shared" si="74"/>
        <v>100</v>
      </c>
    </row>
    <row r="91" spans="1:16">
      <c r="A91" s="164" t="s">
        <v>27</v>
      </c>
      <c r="B91" s="145" t="s">
        <v>72</v>
      </c>
      <c r="C91" s="7">
        <f t="shared" si="70"/>
        <v>24</v>
      </c>
      <c r="D91" s="63">
        <f>'[5]MASTER '!$AX$38</f>
        <v>0</v>
      </c>
      <c r="E91" s="63">
        <f>'[5]MASTER '!$AX$39</f>
        <v>0</v>
      </c>
      <c r="F91" s="63">
        <f>'[5]MASTER '!$AX$40</f>
        <v>0</v>
      </c>
      <c r="G91" s="63">
        <f>'[5]MASTER '!$AX$41</f>
        <v>0</v>
      </c>
      <c r="H91" s="63">
        <f>'[5]MASTER '!$AX$42</f>
        <v>0</v>
      </c>
      <c r="I91" s="63">
        <f>'[5]MASTER '!$AX$43</f>
        <v>0</v>
      </c>
      <c r="J91" s="63">
        <f>'[5]MASTER '!$AX$44</f>
        <v>8</v>
      </c>
      <c r="K91" s="63">
        <f>'[5]MASTER '!$AX$45</f>
        <v>11</v>
      </c>
      <c r="L91" s="63">
        <f>'[5]MASTER '!$AX$46</f>
        <v>5</v>
      </c>
      <c r="M91" s="7">
        <f>SUM(D91:I91)</f>
        <v>0</v>
      </c>
      <c r="N91" s="8">
        <f>((M91/C91)*100)</f>
        <v>0</v>
      </c>
      <c r="O91" s="7">
        <f>SUM(D91:K91)</f>
        <v>19</v>
      </c>
      <c r="P91" s="8">
        <f>((O91/C91)*100)</f>
        <v>79.166666666666657</v>
      </c>
    </row>
    <row r="92" spans="1:16">
      <c r="A92" s="162"/>
      <c r="B92" s="163" t="s">
        <v>33</v>
      </c>
      <c r="C92" s="58">
        <f>SUM(C88:C91)</f>
        <v>77</v>
      </c>
      <c r="D92" s="58">
        <f>SUM(D88:D91)</f>
        <v>0</v>
      </c>
      <c r="E92" s="58">
        <f>SUM(E88:E91)</f>
        <v>1</v>
      </c>
      <c r="F92" s="58">
        <f>SUM(F88:F91)</f>
        <v>7</v>
      </c>
      <c r="G92" s="58">
        <f>SUM(G88:G91)</f>
        <v>9</v>
      </c>
      <c r="H92" s="58">
        <f>SUM(H88:H91)</f>
        <v>12</v>
      </c>
      <c r="I92" s="58">
        <f>SUM(I88:I91)</f>
        <v>12</v>
      </c>
      <c r="J92" s="58">
        <f>SUM(J88:J91)</f>
        <v>17</v>
      </c>
      <c r="K92" s="58">
        <f>SUM(K88:K91)</f>
        <v>14</v>
      </c>
      <c r="L92" s="58">
        <f>SUM(L88:L91)</f>
        <v>5</v>
      </c>
      <c r="M92" s="164">
        <f>SUM(D92:I92)</f>
        <v>41</v>
      </c>
      <c r="N92" s="9">
        <f>((M92/C92)*100)</f>
        <v>53.246753246753244</v>
      </c>
      <c r="O92" s="164">
        <f>SUM(D92:K92)</f>
        <v>72</v>
      </c>
      <c r="P92" s="9">
        <f>((O92/C92)*100)</f>
        <v>93.506493506493499</v>
      </c>
    </row>
    <row r="93" spans="1:16" ht="18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  <c r="O93" s="10"/>
      <c r="P93" s="11"/>
    </row>
    <row r="94" spans="1:16" ht="18">
      <c r="A94" s="152" t="s">
        <v>73</v>
      </c>
    </row>
    <row r="95" spans="1:16">
      <c r="D95" s="222" t="s">
        <v>1</v>
      </c>
      <c r="E95" s="223"/>
      <c r="F95" s="222" t="s">
        <v>2</v>
      </c>
      <c r="G95" s="224"/>
      <c r="H95" s="224"/>
      <c r="I95" s="223"/>
      <c r="J95" s="222" t="s">
        <v>3</v>
      </c>
      <c r="K95" s="223"/>
      <c r="L95" s="164" t="s">
        <v>4</v>
      </c>
    </row>
    <row r="96" spans="1:16" ht="22.5" customHeight="1">
      <c r="A96" s="58" t="s">
        <v>5</v>
      </c>
      <c r="B96" s="58" t="s">
        <v>6</v>
      </c>
      <c r="C96" s="58" t="s">
        <v>7</v>
      </c>
      <c r="D96" s="58" t="s">
        <v>8</v>
      </c>
      <c r="E96" s="58" t="s">
        <v>9</v>
      </c>
      <c r="F96" s="58" t="s">
        <v>10</v>
      </c>
      <c r="G96" s="58" t="s">
        <v>11</v>
      </c>
      <c r="H96" s="58" t="s">
        <v>12</v>
      </c>
      <c r="I96" s="58" t="s">
        <v>13</v>
      </c>
      <c r="J96" s="58" t="s">
        <v>14</v>
      </c>
      <c r="K96" s="58" t="s">
        <v>15</v>
      </c>
      <c r="L96" s="58" t="s">
        <v>16</v>
      </c>
      <c r="M96" s="48" t="s">
        <v>17</v>
      </c>
      <c r="N96" s="48" t="s">
        <v>18</v>
      </c>
      <c r="O96" s="48" t="s">
        <v>19</v>
      </c>
      <c r="P96" s="108" t="s">
        <v>20</v>
      </c>
    </row>
    <row r="97" spans="1:16" ht="13.5" customHeight="1">
      <c r="A97" s="164" t="s">
        <v>74</v>
      </c>
      <c r="B97" s="145" t="s">
        <v>75</v>
      </c>
      <c r="C97" s="7">
        <f t="shared" ref="C97:C98" si="75">SUM(D97:L97)</f>
        <v>21</v>
      </c>
      <c r="D97" s="63">
        <f>'[7]MASTER '!$AX$38</f>
        <v>0</v>
      </c>
      <c r="E97" s="63">
        <f>'[7]MASTER '!$AX$39</f>
        <v>0</v>
      </c>
      <c r="F97" s="63">
        <f>'[7]MASTER '!$AX$40</f>
        <v>0</v>
      </c>
      <c r="G97" s="63">
        <f>'[7]MASTER '!$AX$41</f>
        <v>0</v>
      </c>
      <c r="H97" s="63">
        <f>'[7]MASTER '!$AX$42</f>
        <v>1</v>
      </c>
      <c r="I97" s="63">
        <f>'[7]MASTER '!$AX$43</f>
        <v>1</v>
      </c>
      <c r="J97" s="63">
        <f>'[7]MASTER '!$AX$44</f>
        <v>1</v>
      </c>
      <c r="K97" s="63">
        <f>'[7]MASTER '!$AX$45</f>
        <v>5</v>
      </c>
      <c r="L97" s="63">
        <f>'[7]MASTER '!$AX$46</f>
        <v>13</v>
      </c>
      <c r="M97" s="7">
        <f t="shared" ref="M97:M99" si="76">SUM(D97:I97)</f>
        <v>2</v>
      </c>
      <c r="N97" s="8">
        <f t="shared" ref="N97:N99" si="77">((M97/C97)*100)</f>
        <v>9.5238095238095237</v>
      </c>
      <c r="O97" s="7">
        <f t="shared" ref="O97:O99" si="78">SUM(D97:K97)</f>
        <v>8</v>
      </c>
      <c r="P97" s="8">
        <f t="shared" ref="P97:P99" si="79">((O97/C97)*100)</f>
        <v>38.095238095238095</v>
      </c>
    </row>
    <row r="98" spans="1:16" ht="13.5" customHeight="1">
      <c r="A98" s="164" t="s">
        <v>76</v>
      </c>
      <c r="B98" s="145" t="s">
        <v>75</v>
      </c>
      <c r="C98" s="7">
        <f t="shared" si="75"/>
        <v>18</v>
      </c>
      <c r="D98" s="63">
        <f>'[8]MASTER '!$AX$36</f>
        <v>0</v>
      </c>
      <c r="E98" s="63">
        <f>'[8]MASTER '!$AX$37</f>
        <v>0</v>
      </c>
      <c r="F98" s="63">
        <f>'[8]MASTER '!$AX$38</f>
        <v>0</v>
      </c>
      <c r="G98" s="63">
        <f>'[8]MASTER '!$AX$39</f>
        <v>0</v>
      </c>
      <c r="H98" s="63">
        <f>'[8]MASTER '!$AX$40</f>
        <v>0</v>
      </c>
      <c r="I98" s="63">
        <f>'[8]MASTER '!$AX$41</f>
        <v>0</v>
      </c>
      <c r="J98" s="63">
        <f>'[8]MASTER '!$AX$42</f>
        <v>2</v>
      </c>
      <c r="K98" s="63">
        <f>'[8]MASTER '!$AX$43</f>
        <v>6</v>
      </c>
      <c r="L98" s="63">
        <f>'[8]MASTER '!$AX$44</f>
        <v>10</v>
      </c>
      <c r="M98" s="7">
        <f t="shared" ref="M98" si="80">SUM(D98:I98)</f>
        <v>0</v>
      </c>
      <c r="N98" s="8">
        <f t="shared" ref="N98" si="81">((M98/C98)*100)</f>
        <v>0</v>
      </c>
      <c r="O98" s="7">
        <f t="shared" ref="O98" si="82">SUM(D98:K98)</f>
        <v>8</v>
      </c>
      <c r="P98" s="8">
        <f t="shared" ref="P98" si="83">((O98/C98)*100)</f>
        <v>44.444444444444443</v>
      </c>
    </row>
    <row r="99" spans="1:16">
      <c r="A99" s="159"/>
      <c r="B99" s="160" t="s">
        <v>33</v>
      </c>
      <c r="C99" s="164">
        <f>SUM(C97:C98)</f>
        <v>39</v>
      </c>
      <c r="D99" s="164">
        <f>SUM(D97:D98)</f>
        <v>0</v>
      </c>
      <c r="E99" s="164">
        <f>SUM(E97:E98)</f>
        <v>0</v>
      </c>
      <c r="F99" s="164">
        <f>SUM(F97:F98)</f>
        <v>0</v>
      </c>
      <c r="G99" s="164">
        <f>SUM(G97:G98)</f>
        <v>0</v>
      </c>
      <c r="H99" s="164">
        <f>SUM(H97:H98)</f>
        <v>1</v>
      </c>
      <c r="I99" s="164">
        <f>SUM(I97:I98)</f>
        <v>1</v>
      </c>
      <c r="J99" s="164">
        <f>SUM(J97:J98)</f>
        <v>3</v>
      </c>
      <c r="K99" s="164">
        <f>SUM(K97:K98)</f>
        <v>11</v>
      </c>
      <c r="L99" s="164">
        <f>SUM(L97:L98)</f>
        <v>23</v>
      </c>
      <c r="M99" s="164">
        <f t="shared" si="76"/>
        <v>2</v>
      </c>
      <c r="N99" s="9">
        <f t="shared" si="77"/>
        <v>5.1282051282051277</v>
      </c>
      <c r="O99" s="164">
        <f t="shared" si="78"/>
        <v>16</v>
      </c>
      <c r="P99" s="9">
        <f t="shared" si="79"/>
        <v>41.025641025641022</v>
      </c>
    </row>
    <row r="100" spans="1:16" ht="1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  <c r="O100" s="10"/>
      <c r="P100" s="11"/>
    </row>
    <row r="101" spans="1:16" ht="18.75" customHeight="1">
      <c r="A101" s="152" t="s">
        <v>77</v>
      </c>
    </row>
    <row r="102" spans="1:16">
      <c r="D102" s="222" t="s">
        <v>1</v>
      </c>
      <c r="E102" s="223"/>
      <c r="F102" s="222" t="s">
        <v>2</v>
      </c>
      <c r="G102" s="224"/>
      <c r="H102" s="224"/>
      <c r="I102" s="223"/>
      <c r="J102" s="222" t="s">
        <v>3</v>
      </c>
      <c r="K102" s="223"/>
      <c r="L102" s="164" t="s">
        <v>4</v>
      </c>
    </row>
    <row r="103" spans="1:16" ht="22.5" customHeight="1">
      <c r="A103" s="58" t="s">
        <v>5</v>
      </c>
      <c r="B103" s="58" t="s">
        <v>6</v>
      </c>
      <c r="C103" s="58" t="s">
        <v>7</v>
      </c>
      <c r="D103" s="58" t="s">
        <v>8</v>
      </c>
      <c r="E103" s="58" t="s">
        <v>9</v>
      </c>
      <c r="F103" s="58" t="s">
        <v>10</v>
      </c>
      <c r="G103" s="58" t="s">
        <v>11</v>
      </c>
      <c r="H103" s="58" t="s">
        <v>12</v>
      </c>
      <c r="I103" s="58" t="s">
        <v>13</v>
      </c>
      <c r="J103" s="58" t="s">
        <v>14</v>
      </c>
      <c r="K103" s="58" t="s">
        <v>15</v>
      </c>
      <c r="L103" s="58" t="s">
        <v>16</v>
      </c>
      <c r="M103" s="48" t="s">
        <v>17</v>
      </c>
      <c r="N103" s="48" t="s">
        <v>18</v>
      </c>
      <c r="O103" s="48" t="s">
        <v>19</v>
      </c>
      <c r="P103" s="108" t="s">
        <v>20</v>
      </c>
    </row>
    <row r="104" spans="1:16" ht="13.5" customHeight="1">
      <c r="A104" s="164" t="s">
        <v>78</v>
      </c>
      <c r="B104" s="141" t="s">
        <v>79</v>
      </c>
      <c r="C104" s="7">
        <f t="shared" ref="C104:C106" si="84">SUM(D104:L104)</f>
        <v>15</v>
      </c>
      <c r="D104" s="7">
        <f>'[3]MASTER '!$CM$38</f>
        <v>0</v>
      </c>
      <c r="E104" s="7">
        <f>'[3]MASTER '!$AX$39</f>
        <v>0</v>
      </c>
      <c r="F104" s="7">
        <f>'[3]MASTER '!$AX$40</f>
        <v>4</v>
      </c>
      <c r="G104" s="7">
        <f>'[3]MASTER '!$AX$41</f>
        <v>2</v>
      </c>
      <c r="H104" s="7">
        <f>'[3]MASTER '!$AX$42</f>
        <v>1</v>
      </c>
      <c r="I104" s="7">
        <f>'[3]MASTER '!$AX$43</f>
        <v>4</v>
      </c>
      <c r="J104" s="7">
        <f>'[3]MASTER '!$AX$44</f>
        <v>2</v>
      </c>
      <c r="K104" s="7">
        <f>'[3]MASTER '!$AX$45</f>
        <v>1</v>
      </c>
      <c r="L104" s="7">
        <f>'[3]MASTER '!$AX$46</f>
        <v>1</v>
      </c>
      <c r="M104" s="7">
        <f>SUM(D104:I104)</f>
        <v>11</v>
      </c>
      <c r="N104" s="146">
        <f>((M104/C104)*100)</f>
        <v>73.333333333333329</v>
      </c>
      <c r="O104" s="7">
        <f>SUM(D104:K104)</f>
        <v>14</v>
      </c>
      <c r="P104" s="8">
        <f>((O104/C104)*100)</f>
        <v>93.333333333333329</v>
      </c>
    </row>
    <row r="105" spans="1:16" ht="13.5" customHeight="1">
      <c r="A105" s="164" t="s">
        <v>80</v>
      </c>
      <c r="B105" s="141" t="s">
        <v>79</v>
      </c>
      <c r="C105" s="7">
        <f t="shared" si="84"/>
        <v>24</v>
      </c>
      <c r="D105" s="7">
        <f>'[5]MASTER '!$BS$38</f>
        <v>0</v>
      </c>
      <c r="E105" s="7">
        <f>'[5]MASTER '!$BI$39</f>
        <v>0</v>
      </c>
      <c r="F105" s="7">
        <f>'[5]MASTER '!$BI$40</f>
        <v>0</v>
      </c>
      <c r="G105" s="7">
        <f>'[5]MASTER '!$BI$41</f>
        <v>0</v>
      </c>
      <c r="H105" s="7">
        <f>'[5]MASTER '!$BI$42</f>
        <v>0</v>
      </c>
      <c r="I105" s="7">
        <f>'[5]MASTER '!$BI$43</f>
        <v>0</v>
      </c>
      <c r="J105" s="7">
        <f>'[5]MASTER '!$BI$44</f>
        <v>3</v>
      </c>
      <c r="K105" s="7">
        <f>'[5]MASTER '!$BI$45</f>
        <v>12</v>
      </c>
      <c r="L105" s="7">
        <f>'[5]MASTER '!$BI$46</f>
        <v>9</v>
      </c>
      <c r="M105" s="7">
        <f t="shared" ref="M105:M106" si="85">SUM(D105:I105)</f>
        <v>0</v>
      </c>
      <c r="N105" s="146">
        <f t="shared" ref="N105:N106" si="86">((M105/C105)*100)</f>
        <v>0</v>
      </c>
      <c r="O105" s="7">
        <f t="shared" ref="O105:O106" si="87">SUM(D105:K105)</f>
        <v>15</v>
      </c>
      <c r="P105" s="8">
        <f t="shared" ref="P105:P106" si="88">((O105/C105)*100)</f>
        <v>62.5</v>
      </c>
    </row>
    <row r="106" spans="1:16" ht="13.5" customHeight="1">
      <c r="A106" s="164" t="s">
        <v>81</v>
      </c>
      <c r="B106" s="141" t="s">
        <v>82</v>
      </c>
      <c r="C106" s="7">
        <f t="shared" si="84"/>
        <v>25</v>
      </c>
      <c r="D106" s="7">
        <f>'[6]MASTER '!$BI$38</f>
        <v>0</v>
      </c>
      <c r="E106" s="7">
        <f>'[6]MASTER '!$BS$39</f>
        <v>0</v>
      </c>
      <c r="F106" s="7">
        <f>'[6]MASTER '!$BS$40</f>
        <v>0</v>
      </c>
      <c r="G106" s="7">
        <f>'[6]MASTER '!$BS$41</f>
        <v>0</v>
      </c>
      <c r="H106" s="7">
        <f>'[6]MASTER '!$BS$42</f>
        <v>0</v>
      </c>
      <c r="I106" s="7">
        <f>'[6]MASTER '!$BS$43</f>
        <v>1</v>
      </c>
      <c r="J106" s="7">
        <f>'[6]MASTER '!$BS$44</f>
        <v>8</v>
      </c>
      <c r="K106" s="7">
        <f>'[6]MASTER '!$BS$45</f>
        <v>7</v>
      </c>
      <c r="L106" s="7">
        <f>'[6]MASTER '!$BS$46</f>
        <v>9</v>
      </c>
      <c r="M106" s="7">
        <f t="shared" si="85"/>
        <v>1</v>
      </c>
      <c r="N106" s="146">
        <f t="shared" si="86"/>
        <v>4</v>
      </c>
      <c r="O106" s="7">
        <f t="shared" si="87"/>
        <v>16</v>
      </c>
      <c r="P106" s="8">
        <f t="shared" si="88"/>
        <v>64</v>
      </c>
    </row>
    <row r="107" spans="1:16" s="5" customFormat="1">
      <c r="A107" s="159"/>
      <c r="B107" s="160" t="s">
        <v>33</v>
      </c>
      <c r="C107" s="164">
        <f t="shared" ref="C107:M107" si="89">SUM(C104:C106)</f>
        <v>64</v>
      </c>
      <c r="D107" s="164">
        <f t="shared" si="89"/>
        <v>0</v>
      </c>
      <c r="E107" s="164">
        <f t="shared" si="89"/>
        <v>0</v>
      </c>
      <c r="F107" s="164">
        <f t="shared" si="89"/>
        <v>4</v>
      </c>
      <c r="G107" s="164">
        <f t="shared" si="89"/>
        <v>2</v>
      </c>
      <c r="H107" s="164">
        <f t="shared" si="89"/>
        <v>1</v>
      </c>
      <c r="I107" s="164">
        <f t="shared" si="89"/>
        <v>5</v>
      </c>
      <c r="J107" s="164">
        <f t="shared" si="89"/>
        <v>13</v>
      </c>
      <c r="K107" s="164">
        <f t="shared" si="89"/>
        <v>20</v>
      </c>
      <c r="L107" s="164">
        <f t="shared" si="89"/>
        <v>19</v>
      </c>
      <c r="M107" s="164">
        <f t="shared" si="89"/>
        <v>12</v>
      </c>
      <c r="N107" s="9">
        <f>((M107/C107)*100)</f>
        <v>18.75</v>
      </c>
      <c r="O107" s="164">
        <f>SUM(O104:O106)</f>
        <v>45</v>
      </c>
      <c r="P107" s="9">
        <f>((O107/C107)*100)</f>
        <v>70.3125</v>
      </c>
    </row>
    <row r="108" spans="1:16" ht="22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  <c r="O108" s="10"/>
      <c r="P108" s="11"/>
    </row>
    <row r="109" spans="1:16" ht="18">
      <c r="A109" s="152" t="s">
        <v>83</v>
      </c>
    </row>
    <row r="110" spans="1:16">
      <c r="D110" s="222" t="s">
        <v>1</v>
      </c>
      <c r="E110" s="223"/>
      <c r="F110" s="222" t="s">
        <v>2</v>
      </c>
      <c r="G110" s="224"/>
      <c r="H110" s="224"/>
      <c r="I110" s="223"/>
      <c r="J110" s="222" t="s">
        <v>3</v>
      </c>
      <c r="K110" s="223"/>
      <c r="L110" s="164" t="s">
        <v>4</v>
      </c>
    </row>
    <row r="111" spans="1:16" ht="21" customHeight="1">
      <c r="A111" s="58" t="s">
        <v>5</v>
      </c>
      <c r="B111" s="58" t="s">
        <v>6</v>
      </c>
      <c r="C111" s="58" t="s">
        <v>7</v>
      </c>
      <c r="D111" s="58" t="s">
        <v>8</v>
      </c>
      <c r="E111" s="58" t="s">
        <v>9</v>
      </c>
      <c r="F111" s="58" t="s">
        <v>10</v>
      </c>
      <c r="G111" s="58" t="s">
        <v>11</v>
      </c>
      <c r="H111" s="58" t="s">
        <v>12</v>
      </c>
      <c r="I111" s="58" t="s">
        <v>13</v>
      </c>
      <c r="J111" s="58" t="s">
        <v>14</v>
      </c>
      <c r="K111" s="58" t="s">
        <v>15</v>
      </c>
      <c r="L111" s="58" t="s">
        <v>16</v>
      </c>
      <c r="M111" s="48" t="s">
        <v>17</v>
      </c>
      <c r="N111" s="48" t="s">
        <v>18</v>
      </c>
      <c r="O111" s="48" t="s">
        <v>19</v>
      </c>
      <c r="P111" s="108" t="s">
        <v>20</v>
      </c>
    </row>
    <row r="112" spans="1:16" ht="13.5" customHeight="1">
      <c r="A112" s="164" t="s">
        <v>21</v>
      </c>
      <c r="B112" s="141" t="s">
        <v>84</v>
      </c>
      <c r="C112" s="7">
        <f>SUM(D112:L112)</f>
        <v>17</v>
      </c>
      <c r="D112" s="7">
        <f>'[1]MASTER '!$AN$38</f>
        <v>4</v>
      </c>
      <c r="E112" s="7">
        <f>'[1]MASTER '!$AN$39</f>
        <v>7</v>
      </c>
      <c r="F112" s="7">
        <f>'[1]MASTER '!$AN$40</f>
        <v>2</v>
      </c>
      <c r="G112" s="7">
        <f>'[1]MASTER '!$AN$41</f>
        <v>1</v>
      </c>
      <c r="H112" s="7">
        <f>'[1]MASTER '!$AN$42</f>
        <v>0</v>
      </c>
      <c r="I112" s="7">
        <f>'[1]MASTER '!$AN$43</f>
        <v>3</v>
      </c>
      <c r="J112" s="141">
        <f>'[1]MASTER '!$AN$44</f>
        <v>0</v>
      </c>
      <c r="K112" s="141">
        <f>'[1]MASTER '!$AN$45</f>
        <v>0</v>
      </c>
      <c r="L112" s="141">
        <f>'[1]MASTER '!$AN$46</f>
        <v>0</v>
      </c>
      <c r="M112" s="7">
        <f t="shared" ref="M112" si="90">SUM(D112:I112)</f>
        <v>17</v>
      </c>
      <c r="N112" s="8">
        <f t="shared" ref="N112" si="91">((M112/C112)*100)</f>
        <v>100</v>
      </c>
      <c r="O112" s="7">
        <f t="shared" ref="O112" si="92">SUM(D112:K112)</f>
        <v>17</v>
      </c>
      <c r="P112" s="8">
        <f t="shared" ref="P112" si="93">((O112/C112)*100)</f>
        <v>100</v>
      </c>
    </row>
    <row r="113" spans="1:16" ht="13.5" customHeight="1">
      <c r="A113" s="164" t="s">
        <v>23</v>
      </c>
      <c r="B113" s="141" t="s">
        <v>85</v>
      </c>
      <c r="C113" s="7">
        <f t="shared" ref="C113:C119" si="94">SUM(D113:L113)</f>
        <v>21</v>
      </c>
      <c r="D113" s="7">
        <f>'[2]MASTER '!$AN$38</f>
        <v>0</v>
      </c>
      <c r="E113" s="7">
        <f>'[2]MASTER '!$AN$39</f>
        <v>3</v>
      </c>
      <c r="F113" s="7">
        <f>'[2]MASTER '!$AN$40</f>
        <v>2</v>
      </c>
      <c r="G113" s="7">
        <f>'[2]MASTER '!$AN$41</f>
        <v>3</v>
      </c>
      <c r="H113" s="7">
        <f>'[2]MASTER '!$AN$42</f>
        <v>1</v>
      </c>
      <c r="I113" s="7">
        <f>'[2]MASTER '!$AN$43</f>
        <v>2</v>
      </c>
      <c r="J113" s="141">
        <f>'[2]MASTER '!$AN$44</f>
        <v>5</v>
      </c>
      <c r="K113" s="141">
        <f>'[2]MASTER '!$AN$45</f>
        <v>3</v>
      </c>
      <c r="L113" s="141">
        <f>'[2]MASTER '!$AN$46</f>
        <v>2</v>
      </c>
      <c r="M113" s="7">
        <f t="shared" ref="M113:M118" si="95">SUM(D113:I113)</f>
        <v>11</v>
      </c>
      <c r="N113" s="8">
        <f t="shared" ref="N113:N120" si="96">((M113/C113)*100)</f>
        <v>52.380952380952387</v>
      </c>
      <c r="O113" s="7">
        <f t="shared" ref="O113:O118" si="97">SUM(D113:K113)</f>
        <v>19</v>
      </c>
      <c r="P113" s="8">
        <f t="shared" ref="P113:P120" si="98">((O113/C113)*100)</f>
        <v>90.476190476190482</v>
      </c>
    </row>
    <row r="114" spans="1:16" ht="13.5" customHeight="1">
      <c r="A114" s="164" t="s">
        <v>25</v>
      </c>
      <c r="B114" s="141" t="s">
        <v>86</v>
      </c>
      <c r="C114" s="7">
        <f t="shared" si="94"/>
        <v>15</v>
      </c>
      <c r="D114" s="7">
        <f>'[3]MASTER '!$AN$38</f>
        <v>6</v>
      </c>
      <c r="E114" s="7">
        <f>'[3]MASTER '!$AN$39</f>
        <v>2</v>
      </c>
      <c r="F114" s="7">
        <f>'[3]MASTER '!$AN$40</f>
        <v>4</v>
      </c>
      <c r="G114" s="7">
        <f>'[3]MASTER '!$AN$41</f>
        <v>2</v>
      </c>
      <c r="H114" s="7">
        <f>'[3]MASTER '!$AN$42</f>
        <v>0</v>
      </c>
      <c r="I114" s="7">
        <f>'[3]MASTER '!$AN$43</f>
        <v>0</v>
      </c>
      <c r="J114" s="141">
        <f>'[3]MASTER '!$AN$44</f>
        <v>0</v>
      </c>
      <c r="K114" s="141">
        <f>'[3]MASTER '!$AN$45</f>
        <v>1</v>
      </c>
      <c r="L114" s="141">
        <f>'[3]MASTER '!$AN$46</f>
        <v>0</v>
      </c>
      <c r="M114" s="7">
        <f>SUM(D114:I114)</f>
        <v>14</v>
      </c>
      <c r="N114" s="8">
        <f>((M114/C114)*100)</f>
        <v>93.333333333333329</v>
      </c>
      <c r="O114" s="7">
        <f>SUM(D114:K114)</f>
        <v>15</v>
      </c>
      <c r="P114" s="8">
        <f t="shared" si="98"/>
        <v>100</v>
      </c>
    </row>
    <row r="115" spans="1:16" ht="13.5" customHeight="1">
      <c r="A115" s="164" t="s">
        <v>26</v>
      </c>
      <c r="B115" s="141" t="s">
        <v>85</v>
      </c>
      <c r="C115" s="7">
        <f t="shared" si="94"/>
        <v>24</v>
      </c>
      <c r="D115" s="7">
        <f>'[4]MASTER '!$AN$38</f>
        <v>0</v>
      </c>
      <c r="E115" s="7">
        <f>'[4]MASTER '!$AN$39</f>
        <v>1</v>
      </c>
      <c r="F115" s="7">
        <f>'[4]MASTER '!$AN$40</f>
        <v>0</v>
      </c>
      <c r="G115" s="7">
        <f>'[4]MASTER '!$AN$41</f>
        <v>3</v>
      </c>
      <c r="H115" s="7">
        <f>'[4]MASTER '!$AN$42</f>
        <v>4</v>
      </c>
      <c r="I115" s="7">
        <f>'[4]MASTER '!$AN$43</f>
        <v>4</v>
      </c>
      <c r="J115" s="141">
        <f>'[4]MASTER '!$AN$44</f>
        <v>4</v>
      </c>
      <c r="K115" s="141">
        <f>'[4]MASTER '!$AN$45</f>
        <v>4</v>
      </c>
      <c r="L115" s="141">
        <f>'[4]MASTER '!$AN$46</f>
        <v>4</v>
      </c>
      <c r="M115" s="7">
        <f t="shared" si="95"/>
        <v>12</v>
      </c>
      <c r="N115" s="8">
        <f t="shared" si="96"/>
        <v>50</v>
      </c>
      <c r="O115" s="7">
        <f t="shared" si="97"/>
        <v>20</v>
      </c>
      <c r="P115" s="8">
        <f t="shared" si="98"/>
        <v>83.333333333333343</v>
      </c>
    </row>
    <row r="116" spans="1:16" ht="13.5" customHeight="1">
      <c r="A116" s="164" t="s">
        <v>27</v>
      </c>
      <c r="B116" s="141" t="s">
        <v>86</v>
      </c>
      <c r="C116" s="7">
        <f t="shared" si="94"/>
        <v>24</v>
      </c>
      <c r="D116" s="7">
        <f>'[5]MASTER '!$AN$38</f>
        <v>1</v>
      </c>
      <c r="E116" s="7">
        <f>'[5]MASTER '!$AN$39</f>
        <v>5</v>
      </c>
      <c r="F116" s="7">
        <f>'[5]MASTER '!$AN$40</f>
        <v>3</v>
      </c>
      <c r="G116" s="7">
        <f>'[5]MASTER '!$AN$41</f>
        <v>3</v>
      </c>
      <c r="H116" s="7">
        <f>'[5]MASTER '!$AN$42</f>
        <v>1</v>
      </c>
      <c r="I116" s="7">
        <f>'[5]MASTER '!$AN$43</f>
        <v>2</v>
      </c>
      <c r="J116" s="141">
        <f>'[5]MASTER '!$AN$44</f>
        <v>4</v>
      </c>
      <c r="K116" s="141">
        <f>'[5]MASTER '!$AN$45</f>
        <v>4</v>
      </c>
      <c r="L116" s="141">
        <f>'[5]MASTER '!$AN$46</f>
        <v>1</v>
      </c>
      <c r="M116" s="7">
        <f t="shared" si="95"/>
        <v>15</v>
      </c>
      <c r="N116" s="8">
        <f t="shared" si="96"/>
        <v>62.5</v>
      </c>
      <c r="O116" s="7">
        <f t="shared" si="97"/>
        <v>23</v>
      </c>
      <c r="P116" s="8">
        <f t="shared" si="98"/>
        <v>95.833333333333343</v>
      </c>
    </row>
    <row r="117" spans="1:16" ht="13.5" customHeight="1">
      <c r="A117" s="164" t="s">
        <v>29</v>
      </c>
      <c r="B117" s="141" t="s">
        <v>86</v>
      </c>
      <c r="C117" s="7">
        <f t="shared" si="94"/>
        <v>25</v>
      </c>
      <c r="D117" s="7">
        <f>'[6]MASTER '!$AN$38</f>
        <v>2</v>
      </c>
      <c r="E117" s="7">
        <f>'[6]MASTER '!$AN$39</f>
        <v>1</v>
      </c>
      <c r="F117" s="7">
        <f>'[6]MASTER '!$AN$40</f>
        <v>3</v>
      </c>
      <c r="G117" s="7">
        <f>'[6]MASTER '!$AN$41</f>
        <v>3</v>
      </c>
      <c r="H117" s="7">
        <f>'[6]MASTER '!$AN$42</f>
        <v>6</v>
      </c>
      <c r="I117" s="7">
        <f>'[6]MASTER '!$AN$43</f>
        <v>1</v>
      </c>
      <c r="J117" s="141">
        <f>'[6]MASTER '!$AN$44</f>
        <v>4</v>
      </c>
      <c r="K117" s="141">
        <f>'[6]MASTER '!$AN$45</f>
        <v>4</v>
      </c>
      <c r="L117" s="141">
        <f>'[6]MASTER '!$AN$46</f>
        <v>1</v>
      </c>
      <c r="M117" s="7">
        <f t="shared" si="95"/>
        <v>16</v>
      </c>
      <c r="N117" s="8">
        <f t="shared" si="96"/>
        <v>64</v>
      </c>
      <c r="O117" s="7">
        <f t="shared" si="97"/>
        <v>24</v>
      </c>
      <c r="P117" s="8">
        <f t="shared" si="98"/>
        <v>96</v>
      </c>
    </row>
    <row r="118" spans="1:16" ht="13.5" customHeight="1">
      <c r="A118" s="164" t="s">
        <v>31</v>
      </c>
      <c r="B118" s="141" t="s">
        <v>86</v>
      </c>
      <c r="C118" s="7">
        <f t="shared" si="94"/>
        <v>21</v>
      </c>
      <c r="D118" s="7">
        <f>'[7]MASTER '!$AN$38</f>
        <v>0</v>
      </c>
      <c r="E118" s="7">
        <f>'[7]MASTER '!$AN$39</f>
        <v>0</v>
      </c>
      <c r="F118" s="7">
        <f>'[7]MASTER '!$AN$40</f>
        <v>1</v>
      </c>
      <c r="G118" s="7">
        <f>'[7]MASTER '!$AN$41</f>
        <v>1</v>
      </c>
      <c r="H118" s="7">
        <f>'[7]MASTER '!$AN$42</f>
        <v>2</v>
      </c>
      <c r="I118" s="7">
        <f>'[7]MASTER '!$AN$43</f>
        <v>1</v>
      </c>
      <c r="J118" s="141">
        <f>'[7]MASTER '!$AN$44</f>
        <v>3</v>
      </c>
      <c r="K118" s="141">
        <f>'[7]MASTER '!$AN$45</f>
        <v>4</v>
      </c>
      <c r="L118" s="141">
        <f>'[7]MASTER '!$AN$46</f>
        <v>9</v>
      </c>
      <c r="M118" s="7">
        <f t="shared" si="95"/>
        <v>5</v>
      </c>
      <c r="N118" s="8">
        <f t="shared" si="96"/>
        <v>23.809523809523807</v>
      </c>
      <c r="O118" s="7">
        <f t="shared" si="97"/>
        <v>12</v>
      </c>
      <c r="P118" s="8">
        <f t="shared" si="98"/>
        <v>57.142857142857139</v>
      </c>
    </row>
    <row r="119" spans="1:16" ht="13.5" customHeight="1">
      <c r="A119" s="164" t="s">
        <v>32</v>
      </c>
      <c r="B119" s="141" t="s">
        <v>85</v>
      </c>
      <c r="C119" s="7">
        <f t="shared" si="94"/>
        <v>18</v>
      </c>
      <c r="D119" s="7">
        <f>'[8]MASTER '!$AN$36</f>
        <v>0</v>
      </c>
      <c r="E119" s="7">
        <f>'[8]MASTER '!$AN$37</f>
        <v>0</v>
      </c>
      <c r="F119" s="7">
        <f>'[8]MASTER '!$AN$38</f>
        <v>0</v>
      </c>
      <c r="G119" s="7">
        <f>'[8]MASTER '!$AN$39</f>
        <v>1</v>
      </c>
      <c r="H119" s="7">
        <f>'[8]MASTER '!$AN$40</f>
        <v>3</v>
      </c>
      <c r="I119" s="7">
        <f>'[8]MASTER '!$AN$41</f>
        <v>2</v>
      </c>
      <c r="J119" s="141">
        <f>'[8]MASTER '!$AN$42</f>
        <v>0</v>
      </c>
      <c r="K119" s="141">
        <f>'[8]MASTER '!$AN$43</f>
        <v>5</v>
      </c>
      <c r="L119" s="141">
        <f>'[8]MASTER '!$AN$44</f>
        <v>7</v>
      </c>
      <c r="M119" s="7">
        <f t="shared" ref="M119" si="99">SUM(D119:I119)</f>
        <v>6</v>
      </c>
      <c r="N119" s="8">
        <f t="shared" ref="N119" si="100">((M119/C119)*100)</f>
        <v>33.333333333333329</v>
      </c>
      <c r="O119" s="7">
        <f t="shared" ref="O119" si="101">SUM(D119:K119)</f>
        <v>11</v>
      </c>
      <c r="P119" s="8">
        <f t="shared" ref="P119" si="102">((O119/C119)*100)</f>
        <v>61.111111111111114</v>
      </c>
    </row>
    <row r="120" spans="1:16" s="5" customFormat="1">
      <c r="A120" s="159"/>
      <c r="B120" s="160" t="s">
        <v>33</v>
      </c>
      <c r="C120" s="164">
        <f>SUM(C112:C119)</f>
        <v>165</v>
      </c>
      <c r="D120" s="164">
        <f t="shared" ref="D120:L120" si="103">SUM(D112:D119)</f>
        <v>13</v>
      </c>
      <c r="E120" s="164">
        <f t="shared" si="103"/>
        <v>19</v>
      </c>
      <c r="F120" s="164">
        <f t="shared" si="103"/>
        <v>15</v>
      </c>
      <c r="G120" s="164">
        <f t="shared" si="103"/>
        <v>17</v>
      </c>
      <c r="H120" s="164">
        <f t="shared" si="103"/>
        <v>17</v>
      </c>
      <c r="I120" s="164">
        <f t="shared" si="103"/>
        <v>15</v>
      </c>
      <c r="J120" s="164">
        <f t="shared" si="103"/>
        <v>20</v>
      </c>
      <c r="K120" s="164">
        <f t="shared" si="103"/>
        <v>25</v>
      </c>
      <c r="L120" s="164">
        <f t="shared" si="103"/>
        <v>24</v>
      </c>
      <c r="M120" s="164">
        <f>SUM(M112:M119)</f>
        <v>96</v>
      </c>
      <c r="N120" s="9">
        <f t="shared" si="96"/>
        <v>58.18181818181818</v>
      </c>
      <c r="O120" s="164">
        <f>SUM(O112:O119)</f>
        <v>141</v>
      </c>
      <c r="P120" s="9">
        <f t="shared" si="98"/>
        <v>85.454545454545453</v>
      </c>
    </row>
    <row r="121" spans="1:16" ht="14.25" customHeight="1"/>
    <row r="122" spans="1:16" ht="16.5" customHeight="1">
      <c r="A122" s="152" t="s">
        <v>87</v>
      </c>
    </row>
    <row r="123" spans="1:16">
      <c r="A123" s="154"/>
      <c r="D123" s="2" t="s">
        <v>1</v>
      </c>
      <c r="E123" s="3"/>
      <c r="F123" s="159"/>
      <c r="G123" s="161" t="s">
        <v>2</v>
      </c>
      <c r="H123" s="161"/>
      <c r="I123" s="160"/>
      <c r="J123" s="4" t="s">
        <v>3</v>
      </c>
      <c r="K123" s="3"/>
      <c r="L123" s="164" t="s">
        <v>4</v>
      </c>
    </row>
    <row r="124" spans="1:16" ht="18" customHeight="1">
      <c r="A124" s="58" t="s">
        <v>5</v>
      </c>
      <c r="B124" s="58" t="s">
        <v>6</v>
      </c>
      <c r="C124" s="58" t="s">
        <v>7</v>
      </c>
      <c r="D124" s="58" t="s">
        <v>8</v>
      </c>
      <c r="E124" s="58" t="s">
        <v>9</v>
      </c>
      <c r="F124" s="58" t="s">
        <v>10</v>
      </c>
      <c r="G124" s="58" t="s">
        <v>11</v>
      </c>
      <c r="H124" s="58" t="s">
        <v>12</v>
      </c>
      <c r="I124" s="58" t="s">
        <v>13</v>
      </c>
      <c r="J124" s="58" t="s">
        <v>14</v>
      </c>
      <c r="K124" s="58" t="s">
        <v>15</v>
      </c>
      <c r="L124" s="58" t="s">
        <v>16</v>
      </c>
      <c r="M124" s="48" t="s">
        <v>17</v>
      </c>
      <c r="N124" s="48" t="s">
        <v>18</v>
      </c>
      <c r="O124" s="48" t="s">
        <v>19</v>
      </c>
      <c r="P124" s="108" t="s">
        <v>20</v>
      </c>
    </row>
    <row r="125" spans="1:16" ht="13.5" customHeight="1">
      <c r="A125" s="164" t="s">
        <v>88</v>
      </c>
      <c r="B125" s="88" t="s">
        <v>89</v>
      </c>
      <c r="C125" s="7">
        <f t="shared" ref="C125:C126" si="104">SUM(D125:L125)</f>
        <v>9</v>
      </c>
      <c r="D125" s="141">
        <f>'[2]MASTER '!$CW$38</f>
        <v>0</v>
      </c>
      <c r="E125" s="141">
        <f>'[2]MASTER '!$CW$39</f>
        <v>0</v>
      </c>
      <c r="F125" s="141">
        <f>'[2]MASTER '!$CW$40</f>
        <v>0</v>
      </c>
      <c r="G125" s="141">
        <f>'[2]MASTER '!$CW$41</f>
        <v>1</v>
      </c>
      <c r="H125" s="141">
        <f>'[2]MASTER '!$CW$42</f>
        <v>2</v>
      </c>
      <c r="I125" s="141">
        <f>'[2]MASTER '!$CW$43</f>
        <v>1</v>
      </c>
      <c r="J125" s="141">
        <f>'[2]MASTER '!$CW$44</f>
        <v>1</v>
      </c>
      <c r="K125" s="141">
        <f>'[2]MASTER '!$CW$45</f>
        <v>2</v>
      </c>
      <c r="L125" s="141">
        <f>'[2]MASTER '!$CW$46</f>
        <v>2</v>
      </c>
      <c r="M125" s="7">
        <f>SUM(D125:I125)</f>
        <v>4</v>
      </c>
      <c r="N125" s="8">
        <f>((M125/C125)*100)</f>
        <v>44.444444444444443</v>
      </c>
      <c r="O125" s="7">
        <f>SUM(D125:K125)</f>
        <v>7</v>
      </c>
      <c r="P125" s="8">
        <f>((O125/C125)*100)</f>
        <v>77.777777777777786</v>
      </c>
    </row>
    <row r="126" spans="1:16" ht="13.5" customHeight="1">
      <c r="A126" s="164" t="s">
        <v>90</v>
      </c>
      <c r="B126" s="88" t="s">
        <v>89</v>
      </c>
      <c r="C126" s="7">
        <f t="shared" si="104"/>
        <v>14</v>
      </c>
      <c r="D126" s="141">
        <f>'[4]MASTER '!$CW$38</f>
        <v>0</v>
      </c>
      <c r="E126" s="141">
        <f>'[4]MASTER '!$CW$39</f>
        <v>0</v>
      </c>
      <c r="F126" s="141">
        <f>'[4]MASTER '!$CW$40</f>
        <v>1</v>
      </c>
      <c r="G126" s="141">
        <f>'[4]MASTER '!$CW$41</f>
        <v>0</v>
      </c>
      <c r="H126" s="141">
        <f>'[4]MASTER '!$CW$42</f>
        <v>0</v>
      </c>
      <c r="I126" s="141">
        <f>'[4]MASTER '!$CW$43</f>
        <v>0</v>
      </c>
      <c r="J126" s="141">
        <f>'[4]MASTER '!$CW$44</f>
        <v>3</v>
      </c>
      <c r="K126" s="141">
        <f>'[4]MASTER '!$CW$45</f>
        <v>5</v>
      </c>
      <c r="L126" s="141">
        <f>'[4]MASTER '!$CW$46</f>
        <v>5</v>
      </c>
      <c r="M126" s="7">
        <f>SUM(D126:I126)</f>
        <v>1</v>
      </c>
      <c r="N126" s="143">
        <f>((M126/C126)*100)</f>
        <v>7.1428571428571423</v>
      </c>
      <c r="O126" s="141">
        <f>SUM(D126:K126)</f>
        <v>9</v>
      </c>
      <c r="P126" s="143">
        <f>((O126/C126)*100)</f>
        <v>64.285714285714292</v>
      </c>
    </row>
    <row r="127" spans="1:16">
      <c r="A127" s="164"/>
      <c r="B127" s="160" t="s">
        <v>33</v>
      </c>
      <c r="C127" s="164">
        <f>SUM(C125:C126)</f>
        <v>23</v>
      </c>
      <c r="D127" s="164">
        <f>SUM(D125:D126)</f>
        <v>0</v>
      </c>
      <c r="E127" s="164">
        <f>SUM(E125:E126)</f>
        <v>0</v>
      </c>
      <c r="F127" s="164">
        <f>SUM(F125:F126)</f>
        <v>1</v>
      </c>
      <c r="G127" s="164">
        <f>SUM(G125:G126)</f>
        <v>1</v>
      </c>
      <c r="H127" s="164">
        <f>SUM(H125:H126)</f>
        <v>2</v>
      </c>
      <c r="I127" s="164">
        <f>SUM(I125:I126)</f>
        <v>1</v>
      </c>
      <c r="J127" s="164">
        <f>SUM(J125:J126)</f>
        <v>4</v>
      </c>
      <c r="K127" s="164">
        <f>SUM(K125:K126)</f>
        <v>7</v>
      </c>
      <c r="L127" s="164">
        <f>SUM(L125:L126)</f>
        <v>7</v>
      </c>
      <c r="M127" s="164">
        <f>SUM(D127:I127)</f>
        <v>5</v>
      </c>
      <c r="N127" s="9">
        <f>((M127/C127)*100)</f>
        <v>21.739130434782609</v>
      </c>
      <c r="O127" s="164">
        <f>SUM(D127:K127)</f>
        <v>16</v>
      </c>
      <c r="P127" s="9">
        <f>((O127/C127)*100)</f>
        <v>69.565217391304344</v>
      </c>
    </row>
    <row r="128" spans="1:16" ht="11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  <c r="O128" s="10"/>
      <c r="P128" s="11"/>
    </row>
    <row r="129" spans="1:16" ht="15" customHeight="1">
      <c r="A129" s="152" t="s">
        <v>91</v>
      </c>
    </row>
    <row r="130" spans="1:16">
      <c r="D130" s="222" t="s">
        <v>1</v>
      </c>
      <c r="E130" s="223"/>
      <c r="F130" s="222" t="s">
        <v>2</v>
      </c>
      <c r="G130" s="224"/>
      <c r="H130" s="224"/>
      <c r="I130" s="223"/>
      <c r="J130" s="222" t="s">
        <v>3</v>
      </c>
      <c r="K130" s="223"/>
      <c r="L130" s="164" t="s">
        <v>4</v>
      </c>
    </row>
    <row r="131" spans="1:16" ht="23.25" customHeight="1">
      <c r="A131" s="58" t="s">
        <v>5</v>
      </c>
      <c r="B131" s="58" t="s">
        <v>6</v>
      </c>
      <c r="C131" s="58" t="s">
        <v>7</v>
      </c>
      <c r="D131" s="58" t="s">
        <v>8</v>
      </c>
      <c r="E131" s="58" t="s">
        <v>9</v>
      </c>
      <c r="F131" s="58" t="s">
        <v>10</v>
      </c>
      <c r="G131" s="58" t="s">
        <v>11</v>
      </c>
      <c r="H131" s="58" t="s">
        <v>12</v>
      </c>
      <c r="I131" s="58" t="s">
        <v>13</v>
      </c>
      <c r="J131" s="58" t="s">
        <v>14</v>
      </c>
      <c r="K131" s="58" t="s">
        <v>15</v>
      </c>
      <c r="L131" s="58" t="s">
        <v>16</v>
      </c>
      <c r="M131" s="48" t="s">
        <v>17</v>
      </c>
      <c r="N131" s="48" t="s">
        <v>18</v>
      </c>
      <c r="O131" s="48" t="s">
        <v>19</v>
      </c>
      <c r="P131" s="108" t="s">
        <v>20</v>
      </c>
    </row>
    <row r="132" spans="1:16">
      <c r="A132" s="162" t="s">
        <v>90</v>
      </c>
      <c r="B132" s="106" t="s">
        <v>92</v>
      </c>
      <c r="C132" s="7">
        <f t="shared" ref="C132:C133" si="105">SUM(D132:L132)</f>
        <v>10</v>
      </c>
      <c r="D132" s="145">
        <f>'[4]MASTER '!$BS$38</f>
        <v>0</v>
      </c>
      <c r="E132" s="145">
        <f>'[4]MASTER '!$BS$39</f>
        <v>1</v>
      </c>
      <c r="F132" s="145">
        <f>'[4]MASTER '!$BS$40</f>
        <v>0</v>
      </c>
      <c r="G132" s="145">
        <f>'[4]MASTER '!$BS$41</f>
        <v>2</v>
      </c>
      <c r="H132" s="145">
        <f>'[4]MASTER '!$BS$42</f>
        <v>1</v>
      </c>
      <c r="I132" s="145">
        <f>'[4]MASTER '!$BS$43</f>
        <v>3</v>
      </c>
      <c r="J132" s="145">
        <f>'[4]MASTER '!$BS$44</f>
        <v>1</v>
      </c>
      <c r="K132" s="145">
        <f>'[4]MASTER '!$BS$45</f>
        <v>1</v>
      </c>
      <c r="L132" s="145">
        <f>'[4]MASTER '!$BS$46</f>
        <v>1</v>
      </c>
      <c r="M132" s="158">
        <f>SUM(D132:I132)</f>
        <v>7</v>
      </c>
      <c r="N132" s="143">
        <f>((M132/C132)*100)</f>
        <v>70</v>
      </c>
      <c r="O132" s="158">
        <f>SUM(D132:K132)</f>
        <v>9</v>
      </c>
      <c r="P132" s="8">
        <f>((O132/C132)*100)</f>
        <v>90</v>
      </c>
    </row>
    <row r="133" spans="1:16">
      <c r="A133" s="162" t="s">
        <v>74</v>
      </c>
      <c r="B133" s="213" t="s">
        <v>92</v>
      </c>
      <c r="C133" s="7">
        <f t="shared" si="105"/>
        <v>1</v>
      </c>
      <c r="D133" s="145">
        <f>'[7]MASTER '!$BS$38</f>
        <v>0</v>
      </c>
      <c r="E133" s="145">
        <f>'[7]MASTER '!$BS$39</f>
        <v>0</v>
      </c>
      <c r="F133" s="145">
        <f>'[7]MASTER '!$BS$40</f>
        <v>0</v>
      </c>
      <c r="G133" s="145">
        <f>'[7]MASTER '!$BS$41</f>
        <v>0</v>
      </c>
      <c r="H133" s="145">
        <f>'[7]MASTER '!$BS$42</f>
        <v>0</v>
      </c>
      <c r="I133" s="145">
        <f>'[7]MASTER '!$BS$43</f>
        <v>0</v>
      </c>
      <c r="J133" s="145">
        <f>'[7]MASTER '!$BS$44</f>
        <v>1</v>
      </c>
      <c r="K133" s="145">
        <f>'[7]MASTER '!$BS$45</f>
        <v>0</v>
      </c>
      <c r="L133" s="145">
        <f>'[7]MASTER '!$BS$46</f>
        <v>0</v>
      </c>
      <c r="M133" s="158">
        <f>SUM(D133:I133)</f>
        <v>0</v>
      </c>
      <c r="N133" s="143">
        <f>((M133/C133)*100)</f>
        <v>0</v>
      </c>
      <c r="O133" s="158">
        <f>SUM(D133:K133)</f>
        <v>1</v>
      </c>
      <c r="P133" s="8">
        <f>((O133/C133)*100)</f>
        <v>100</v>
      </c>
    </row>
    <row r="134" spans="1:16">
      <c r="A134" s="159"/>
      <c r="B134" s="160" t="s">
        <v>33</v>
      </c>
      <c r="C134" s="164">
        <f>SUM(C132:C133)</f>
        <v>11</v>
      </c>
      <c r="D134" s="164">
        <f t="shared" ref="D134:L134" si="106">SUM(D132:D133)</f>
        <v>0</v>
      </c>
      <c r="E134" s="164">
        <f t="shared" si="106"/>
        <v>1</v>
      </c>
      <c r="F134" s="164">
        <f t="shared" si="106"/>
        <v>0</v>
      </c>
      <c r="G134" s="164">
        <f t="shared" si="106"/>
        <v>2</v>
      </c>
      <c r="H134" s="164">
        <f t="shared" si="106"/>
        <v>1</v>
      </c>
      <c r="I134" s="164">
        <f t="shared" si="106"/>
        <v>3</v>
      </c>
      <c r="J134" s="164">
        <f t="shared" si="106"/>
        <v>2</v>
      </c>
      <c r="K134" s="164">
        <f t="shared" si="106"/>
        <v>1</v>
      </c>
      <c r="L134" s="164">
        <f t="shared" si="106"/>
        <v>1</v>
      </c>
      <c r="M134" s="164">
        <f>SUM(M132:M133)</f>
        <v>7</v>
      </c>
      <c r="N134" s="9">
        <f>((M134/C134)*100)</f>
        <v>63.636363636363633</v>
      </c>
      <c r="O134" s="164">
        <f>SUM(D134:K134)</f>
        <v>10</v>
      </c>
      <c r="P134" s="9">
        <f>((O134/C134)*100)</f>
        <v>90.909090909090907</v>
      </c>
    </row>
    <row r="135" spans="1:16" hidden="1">
      <c r="A135" s="159"/>
      <c r="B135" s="160" t="s">
        <v>33</v>
      </c>
      <c r="C135" s="164">
        <f t="shared" ref="C135:M135" si="107">SUM(C134:C134)</f>
        <v>11</v>
      </c>
      <c r="D135" s="164">
        <f t="shared" si="107"/>
        <v>0</v>
      </c>
      <c r="E135" s="164">
        <f t="shared" si="107"/>
        <v>1</v>
      </c>
      <c r="F135" s="164">
        <f t="shared" si="107"/>
        <v>0</v>
      </c>
      <c r="G135" s="164">
        <f t="shared" si="107"/>
        <v>2</v>
      </c>
      <c r="H135" s="164">
        <f t="shared" si="107"/>
        <v>1</v>
      </c>
      <c r="I135" s="164">
        <f t="shared" si="107"/>
        <v>3</v>
      </c>
      <c r="J135" s="164">
        <f t="shared" si="107"/>
        <v>2</v>
      </c>
      <c r="K135" s="164">
        <f t="shared" si="107"/>
        <v>1</v>
      </c>
      <c r="L135" s="164">
        <f t="shared" si="107"/>
        <v>1</v>
      </c>
      <c r="M135" s="164">
        <f t="shared" si="107"/>
        <v>7</v>
      </c>
      <c r="N135" s="9">
        <f>((M135/C135)*100)</f>
        <v>63.636363636363633</v>
      </c>
      <c r="O135" s="164">
        <f>SUM(O134:O134)</f>
        <v>10</v>
      </c>
      <c r="P135" s="9">
        <f>((O135/C135)*100)</f>
        <v>90.909090909090907</v>
      </c>
    </row>
    <row r="136" spans="1:16" ht="10.5" hidden="1" customHeight="1">
      <c r="A136" s="1" t="s">
        <v>93</v>
      </c>
    </row>
    <row r="137" spans="1:16" ht="14.25" hidden="1" customHeight="1">
      <c r="D137" s="2" t="s">
        <v>1</v>
      </c>
      <c r="E137" s="3"/>
      <c r="F137" s="159"/>
      <c r="G137" s="161" t="s">
        <v>2</v>
      </c>
      <c r="H137" s="161"/>
      <c r="I137" s="160"/>
      <c r="J137" s="4" t="s">
        <v>3</v>
      </c>
      <c r="K137" s="3"/>
      <c r="L137" s="164" t="s">
        <v>4</v>
      </c>
    </row>
    <row r="138" spans="1:16" ht="25.5" hidden="1">
      <c r="A138" s="164" t="s">
        <v>5</v>
      </c>
      <c r="B138" s="164" t="s">
        <v>6</v>
      </c>
      <c r="C138" s="164" t="s">
        <v>7</v>
      </c>
      <c r="D138" s="164">
        <v>1</v>
      </c>
      <c r="E138" s="164">
        <v>2</v>
      </c>
      <c r="F138" s="164">
        <v>3</v>
      </c>
      <c r="G138" s="164">
        <v>4</v>
      </c>
      <c r="H138" s="164">
        <v>5</v>
      </c>
      <c r="I138" s="164">
        <v>6</v>
      </c>
      <c r="J138" s="164">
        <v>7</v>
      </c>
      <c r="K138" s="164">
        <v>8</v>
      </c>
      <c r="L138" s="164">
        <v>9</v>
      </c>
      <c r="M138" s="6" t="s">
        <v>17</v>
      </c>
      <c r="N138" s="6" t="s">
        <v>18</v>
      </c>
      <c r="O138" s="6" t="s">
        <v>19</v>
      </c>
      <c r="P138" s="109" t="s">
        <v>20</v>
      </c>
    </row>
    <row r="139" spans="1:16" s="5" customFormat="1" hidden="1">
      <c r="A139" s="164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7">
        <f>SUM(D139:I139)</f>
        <v>0</v>
      </c>
      <c r="N139" s="8" t="e">
        <f>((M139/C139)*100)</f>
        <v>#DIV/0!</v>
      </c>
      <c r="O139" s="7">
        <f>SUM(D139:K139)</f>
        <v>0</v>
      </c>
      <c r="P139" s="8" t="e">
        <f>((O139/C139)*100)</f>
        <v>#DIV/0!</v>
      </c>
    </row>
    <row r="140" spans="1:16" hidden="1">
      <c r="A140" s="159"/>
      <c r="B140" s="160" t="s">
        <v>33</v>
      </c>
      <c r="C140" s="164">
        <f t="shared" ref="C140:M140" si="108">SUM(C139:C139)</f>
        <v>0</v>
      </c>
      <c r="D140" s="164">
        <f t="shared" si="108"/>
        <v>0</v>
      </c>
      <c r="E140" s="164">
        <f t="shared" si="108"/>
        <v>0</v>
      </c>
      <c r="F140" s="164">
        <f t="shared" si="108"/>
        <v>0</v>
      </c>
      <c r="G140" s="164">
        <f t="shared" si="108"/>
        <v>0</v>
      </c>
      <c r="H140" s="164">
        <f t="shared" si="108"/>
        <v>0</v>
      </c>
      <c r="I140" s="164">
        <f t="shared" si="108"/>
        <v>0</v>
      </c>
      <c r="J140" s="164">
        <f t="shared" si="108"/>
        <v>0</v>
      </c>
      <c r="K140" s="164">
        <f t="shared" si="108"/>
        <v>0</v>
      </c>
      <c r="L140" s="164">
        <f t="shared" si="108"/>
        <v>0</v>
      </c>
      <c r="M140" s="164">
        <f t="shared" si="108"/>
        <v>0</v>
      </c>
      <c r="N140" s="9" t="e">
        <f>((M140/C140)*100)</f>
        <v>#DIV/0!</v>
      </c>
      <c r="O140" s="164">
        <f>SUM(O139:O139)</f>
        <v>0</v>
      </c>
      <c r="P140" s="9" t="e">
        <f>((O140/C140)*100)</f>
        <v>#DIV/0!</v>
      </c>
    </row>
    <row r="141" spans="1:16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  <c r="O141" s="10"/>
      <c r="P141" s="11"/>
    </row>
    <row r="142" spans="1:16" ht="18">
      <c r="A142" s="152" t="s">
        <v>94</v>
      </c>
    </row>
    <row r="143" spans="1:16">
      <c r="D143" s="222" t="s">
        <v>1</v>
      </c>
      <c r="E143" s="223"/>
      <c r="F143" s="222" t="s">
        <v>2</v>
      </c>
      <c r="G143" s="224"/>
      <c r="H143" s="224"/>
      <c r="I143" s="223"/>
      <c r="J143" s="222" t="s">
        <v>3</v>
      </c>
      <c r="K143" s="223"/>
      <c r="L143" s="164" t="s">
        <v>4</v>
      </c>
    </row>
    <row r="144" spans="1:16" ht="25.5">
      <c r="A144" s="58" t="s">
        <v>5</v>
      </c>
      <c r="B144" s="58" t="s">
        <v>6</v>
      </c>
      <c r="C144" s="58" t="s">
        <v>7</v>
      </c>
      <c r="D144" s="58" t="s">
        <v>8</v>
      </c>
      <c r="E144" s="58" t="s">
        <v>9</v>
      </c>
      <c r="F144" s="58" t="s">
        <v>10</v>
      </c>
      <c r="G144" s="58" t="s">
        <v>11</v>
      </c>
      <c r="H144" s="58" t="s">
        <v>12</v>
      </c>
      <c r="I144" s="58" t="s">
        <v>13</v>
      </c>
      <c r="J144" s="58" t="s">
        <v>14</v>
      </c>
      <c r="K144" s="58" t="s">
        <v>15</v>
      </c>
      <c r="L144" s="58" t="s">
        <v>16</v>
      </c>
      <c r="M144" s="48" t="s">
        <v>17</v>
      </c>
      <c r="N144" s="48" t="s">
        <v>18</v>
      </c>
      <c r="O144" s="48" t="s">
        <v>19</v>
      </c>
      <c r="P144" s="108" t="s">
        <v>20</v>
      </c>
    </row>
    <row r="145" spans="1:16" ht="14.25" customHeight="1">
      <c r="A145" s="164" t="s">
        <v>90</v>
      </c>
      <c r="B145" s="106" t="s">
        <v>95</v>
      </c>
      <c r="C145" s="7">
        <f t="shared" ref="C145:C147" si="109">SUM(D145:L145)</f>
        <v>24</v>
      </c>
      <c r="D145" s="141">
        <f>'[4]MASTER '!$DG$38</f>
        <v>0</v>
      </c>
      <c r="E145" s="141">
        <f>'[4]MASTER '!$DG$39</f>
        <v>0</v>
      </c>
      <c r="F145" s="141">
        <f>'[4]MASTER '!$DG$40</f>
        <v>0</v>
      </c>
      <c r="G145" s="141">
        <f>'[4]MASTER '!$DG$41</f>
        <v>0</v>
      </c>
      <c r="H145" s="141">
        <f>'[4]MASTER '!$DG$42</f>
        <v>0</v>
      </c>
      <c r="I145" s="141">
        <f>'[4]MASTER '!$DG$43</f>
        <v>2</v>
      </c>
      <c r="J145" s="141">
        <f>'[4]MASTER '!$DG$44</f>
        <v>6</v>
      </c>
      <c r="K145" s="141">
        <f>'[4]MASTER '!$DG$45</f>
        <v>5</v>
      </c>
      <c r="L145" s="141">
        <f>'[4]MASTER '!$DG$46</f>
        <v>11</v>
      </c>
      <c r="M145" s="7">
        <f>SUM(D145:I145)</f>
        <v>2</v>
      </c>
      <c r="N145" s="8">
        <f>((M145/C145)*100)</f>
        <v>8.3333333333333321</v>
      </c>
      <c r="O145" s="7">
        <f>SUM(D145:K145)</f>
        <v>13</v>
      </c>
      <c r="P145" s="8">
        <f>((O145/C145)*100)</f>
        <v>54.166666666666664</v>
      </c>
    </row>
    <row r="146" spans="1:16" ht="14.25" customHeight="1">
      <c r="A146" s="164" t="s">
        <v>80</v>
      </c>
      <c r="B146" s="106" t="s">
        <v>96</v>
      </c>
      <c r="C146" s="7">
        <f t="shared" si="109"/>
        <v>24</v>
      </c>
      <c r="D146" s="141">
        <f>'[5]MASTER '!$BI$38</f>
        <v>0</v>
      </c>
      <c r="E146" s="141">
        <f>'[5]MASTER '!$BI$39</f>
        <v>0</v>
      </c>
      <c r="F146" s="141">
        <f>'[5]MASTER '!$BI$40</f>
        <v>0</v>
      </c>
      <c r="G146" s="141">
        <f>'[5]MASTER '!$BI$41</f>
        <v>0</v>
      </c>
      <c r="H146" s="141">
        <f>'[5]MASTER '!$BI$42</f>
        <v>0</v>
      </c>
      <c r="I146" s="141">
        <f>'[5]MASTER '!$BI$43</f>
        <v>0</v>
      </c>
      <c r="J146" s="141">
        <f>'[5]MASTER '!$BI$44</f>
        <v>3</v>
      </c>
      <c r="K146" s="141">
        <f>'[5]MASTER '!$BI$45</f>
        <v>12</v>
      </c>
      <c r="L146" s="141">
        <f>'[5]MASTER '!$BI$46</f>
        <v>9</v>
      </c>
      <c r="M146" s="7">
        <f>SUM(D146:I146)</f>
        <v>0</v>
      </c>
      <c r="N146" s="8">
        <f>((M146/C146)*100)</f>
        <v>0</v>
      </c>
      <c r="O146" s="7">
        <f>SUM(D146:K146)</f>
        <v>15</v>
      </c>
      <c r="P146" s="8">
        <f>((O146/C146)*100)</f>
        <v>62.5</v>
      </c>
    </row>
    <row r="147" spans="1:16" ht="14.25" customHeight="1">
      <c r="A147" s="164" t="s">
        <v>81</v>
      </c>
      <c r="B147" s="190" t="s">
        <v>95</v>
      </c>
      <c r="C147" s="7">
        <f t="shared" si="109"/>
        <v>25</v>
      </c>
      <c r="D147" s="141">
        <f>'[6]MASTER '!$BI$38</f>
        <v>0</v>
      </c>
      <c r="E147" s="141">
        <f>'[6]MASTER '!$BI$39</f>
        <v>0</v>
      </c>
      <c r="F147" s="141">
        <f>'[6]MASTER '!$BI$40</f>
        <v>0</v>
      </c>
      <c r="G147" s="141">
        <f>'[6]MASTER '!$BI$41</f>
        <v>0</v>
      </c>
      <c r="H147" s="141">
        <f>'[6]MASTER '!$BI$42</f>
        <v>0</v>
      </c>
      <c r="I147" s="141">
        <f>'[6]MASTER '!$BI$43</f>
        <v>0</v>
      </c>
      <c r="J147" s="141">
        <f>'[6]MASTER '!$BI$44</f>
        <v>0</v>
      </c>
      <c r="K147" s="141">
        <f>'[6]MASTER '!$BI$45</f>
        <v>2</v>
      </c>
      <c r="L147" s="141">
        <f>'[6]MASTER '!$BI$46</f>
        <v>23</v>
      </c>
      <c r="M147" s="7">
        <f>SUM(D147:I147)</f>
        <v>0</v>
      </c>
      <c r="N147" s="8">
        <f>((M147/C147)*100)</f>
        <v>0</v>
      </c>
      <c r="O147" s="7">
        <f>SUM(D147:K147)</f>
        <v>2</v>
      </c>
      <c r="P147" s="8">
        <f>((O147/C147)*100)</f>
        <v>8</v>
      </c>
    </row>
    <row r="148" spans="1:16" ht="13.5" customHeight="1">
      <c r="A148" s="159"/>
      <c r="B148" s="160" t="s">
        <v>33</v>
      </c>
      <c r="C148" s="164">
        <f t="shared" ref="C148:M148" si="110">SUM(C145:C147)</f>
        <v>73</v>
      </c>
      <c r="D148" s="164">
        <f t="shared" si="110"/>
        <v>0</v>
      </c>
      <c r="E148" s="164">
        <f t="shared" si="110"/>
        <v>0</v>
      </c>
      <c r="F148" s="164">
        <f t="shared" si="110"/>
        <v>0</v>
      </c>
      <c r="G148" s="164">
        <f t="shared" si="110"/>
        <v>0</v>
      </c>
      <c r="H148" s="164">
        <f t="shared" si="110"/>
        <v>0</v>
      </c>
      <c r="I148" s="164">
        <f t="shared" si="110"/>
        <v>2</v>
      </c>
      <c r="J148" s="164">
        <f t="shared" si="110"/>
        <v>9</v>
      </c>
      <c r="K148" s="164">
        <f t="shared" si="110"/>
        <v>19</v>
      </c>
      <c r="L148" s="164">
        <f t="shared" si="110"/>
        <v>43</v>
      </c>
      <c r="M148" s="164">
        <f t="shared" si="110"/>
        <v>2</v>
      </c>
      <c r="N148" s="9">
        <f>((M148/C148)*100)</f>
        <v>2.7397260273972601</v>
      </c>
      <c r="O148" s="164">
        <f>SUM(O145:O147)</f>
        <v>30</v>
      </c>
      <c r="P148" s="9">
        <f>((O148/C148)*100)</f>
        <v>41.095890410958901</v>
      </c>
    </row>
    <row r="149" spans="1:16" ht="41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  <c r="O149" s="10"/>
      <c r="P149" s="11"/>
    </row>
    <row r="150" spans="1:16" ht="21" customHeight="1">
      <c r="A150" s="152" t="s">
        <v>97</v>
      </c>
    </row>
    <row r="151" spans="1:16" ht="13.5" customHeight="1">
      <c r="D151" s="222" t="s">
        <v>1</v>
      </c>
      <c r="E151" s="223"/>
      <c r="F151" s="222" t="s">
        <v>2</v>
      </c>
      <c r="G151" s="224"/>
      <c r="H151" s="224"/>
      <c r="I151" s="223"/>
      <c r="J151" s="222" t="s">
        <v>3</v>
      </c>
      <c r="K151" s="223"/>
      <c r="L151" s="164" t="s">
        <v>4</v>
      </c>
    </row>
    <row r="152" spans="1:16" ht="25.5">
      <c r="A152" s="58" t="s">
        <v>5</v>
      </c>
      <c r="B152" s="58" t="s">
        <v>6</v>
      </c>
      <c r="C152" s="58" t="s">
        <v>7</v>
      </c>
      <c r="D152" s="58" t="s">
        <v>8</v>
      </c>
      <c r="E152" s="58" t="s">
        <v>9</v>
      </c>
      <c r="F152" s="58" t="s">
        <v>10</v>
      </c>
      <c r="G152" s="58" t="s">
        <v>11</v>
      </c>
      <c r="H152" s="58" t="s">
        <v>12</v>
      </c>
      <c r="I152" s="58" t="s">
        <v>13</v>
      </c>
      <c r="J152" s="58" t="s">
        <v>14</v>
      </c>
      <c r="K152" s="58" t="s">
        <v>15</v>
      </c>
      <c r="L152" s="58" t="s">
        <v>16</v>
      </c>
      <c r="M152" s="48" t="s">
        <v>17</v>
      </c>
      <c r="N152" s="48" t="s">
        <v>18</v>
      </c>
      <c r="O152" s="48" t="s">
        <v>19</v>
      </c>
      <c r="P152" s="108" t="s">
        <v>20</v>
      </c>
    </row>
    <row r="153" spans="1:16">
      <c r="A153" s="164" t="s">
        <v>21</v>
      </c>
      <c r="B153" s="106" t="s">
        <v>98</v>
      </c>
      <c r="C153" s="7">
        <f t="shared" ref="C153:C154" si="111">SUM(D153:L153)</f>
        <v>17</v>
      </c>
      <c r="D153" s="141">
        <f>'[1]MASTER '!$CM$38</f>
        <v>0</v>
      </c>
      <c r="E153" s="141">
        <f>'[1]MASTER '!$CM$39</f>
        <v>1</v>
      </c>
      <c r="F153" s="141">
        <f>'[1]MASTER '!$CM$40</f>
        <v>3</v>
      </c>
      <c r="G153" s="141">
        <f>'[1]MASTER '!$CM$41</f>
        <v>4</v>
      </c>
      <c r="H153" s="141">
        <f>'[1]MASTER '!$CM$42</f>
        <v>3</v>
      </c>
      <c r="I153" s="141">
        <f>'[1]MASTER '!$CM$43</f>
        <v>4</v>
      </c>
      <c r="J153" s="141">
        <f>'[1]MASTER '!$CM$44</f>
        <v>2</v>
      </c>
      <c r="K153" s="141">
        <f>'[1]MASTER '!$CM$45</f>
        <v>0</v>
      </c>
      <c r="L153" s="141">
        <f>'[1]MASTER '!$CM$46</f>
        <v>0</v>
      </c>
      <c r="M153" s="7">
        <f>SUM(D153:I153)</f>
        <v>15</v>
      </c>
      <c r="N153" s="8">
        <f>((M153/C153)*100)</f>
        <v>88.235294117647058</v>
      </c>
      <c r="O153" s="7">
        <f>SUM(D153:K153)</f>
        <v>17</v>
      </c>
      <c r="P153" s="8">
        <f>((O153/C153)*100)</f>
        <v>100</v>
      </c>
    </row>
    <row r="154" spans="1:16">
      <c r="A154" s="159" t="s">
        <v>23</v>
      </c>
      <c r="B154" s="106" t="s">
        <v>98</v>
      </c>
      <c r="C154" s="7">
        <f t="shared" si="111"/>
        <v>12</v>
      </c>
      <c r="D154" s="141">
        <f>'[2]MASTER '!$DG$38</f>
        <v>0</v>
      </c>
      <c r="E154" s="141">
        <f>'[2]MASTER '!$DG$39</f>
        <v>0</v>
      </c>
      <c r="F154" s="141">
        <f>'[2]MASTER '!$DG$40</f>
        <v>3</v>
      </c>
      <c r="G154" s="141">
        <f>'[2]MASTER '!$DG$41</f>
        <v>2</v>
      </c>
      <c r="H154" s="141">
        <f>'[2]MASTER '!$DG$42</f>
        <v>3</v>
      </c>
      <c r="I154" s="141">
        <f>'[2]MASTER '!$DG$43</f>
        <v>0</v>
      </c>
      <c r="J154" s="141">
        <f>'[2]MASTER '!$DG$44</f>
        <v>3</v>
      </c>
      <c r="K154" s="141">
        <f>'[2]MASTER '!$DG$45</f>
        <v>1</v>
      </c>
      <c r="L154" s="141">
        <f>'[2]MASTER '!$DG$46</f>
        <v>0</v>
      </c>
      <c r="M154" s="7">
        <f>SUM(D154:I154)</f>
        <v>8</v>
      </c>
      <c r="N154" s="8">
        <f>((M154/C154)*100)</f>
        <v>66.666666666666657</v>
      </c>
      <c r="O154" s="7">
        <f>SUM(D154:K154)</f>
        <v>12</v>
      </c>
      <c r="P154" s="8">
        <f>((O154/C154)*100)</f>
        <v>100</v>
      </c>
    </row>
    <row r="155" spans="1:16">
      <c r="A155" s="159"/>
      <c r="B155" s="160" t="s">
        <v>33</v>
      </c>
      <c r="C155" s="164">
        <f>SUM(C153:C154)</f>
        <v>29</v>
      </c>
      <c r="D155" s="164">
        <f t="shared" ref="D155:M155" si="112">SUM(D153:D154)</f>
        <v>0</v>
      </c>
      <c r="E155" s="164">
        <f t="shared" si="112"/>
        <v>1</v>
      </c>
      <c r="F155" s="164">
        <f t="shared" si="112"/>
        <v>6</v>
      </c>
      <c r="G155" s="164">
        <f t="shared" si="112"/>
        <v>6</v>
      </c>
      <c r="H155" s="164">
        <f t="shared" si="112"/>
        <v>6</v>
      </c>
      <c r="I155" s="164">
        <f t="shared" si="112"/>
        <v>4</v>
      </c>
      <c r="J155" s="164">
        <f t="shared" si="112"/>
        <v>5</v>
      </c>
      <c r="K155" s="164">
        <f t="shared" si="112"/>
        <v>1</v>
      </c>
      <c r="L155" s="164">
        <f t="shared" si="112"/>
        <v>0</v>
      </c>
      <c r="M155" s="164">
        <f t="shared" si="112"/>
        <v>23</v>
      </c>
      <c r="N155" s="9">
        <f>((M155/C155)*100)</f>
        <v>79.310344827586206</v>
      </c>
      <c r="O155" s="164">
        <f>SUM(O153:O154)</f>
        <v>29</v>
      </c>
      <c r="P155" s="9">
        <f>((O155/C155)*100)</f>
        <v>100</v>
      </c>
    </row>
    <row r="156" spans="1:16" ht="11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  <c r="O156" s="10"/>
      <c r="P156" s="11"/>
    </row>
    <row r="157" spans="1:16" ht="18">
      <c r="A157" s="152" t="s">
        <v>99</v>
      </c>
    </row>
    <row r="158" spans="1:16">
      <c r="D158" s="2" t="s">
        <v>1</v>
      </c>
      <c r="E158" s="3"/>
      <c r="F158" s="159"/>
      <c r="G158" s="161" t="s">
        <v>2</v>
      </c>
      <c r="H158" s="161"/>
      <c r="I158" s="160"/>
      <c r="J158" s="4" t="s">
        <v>3</v>
      </c>
      <c r="K158" s="3"/>
      <c r="L158" s="164" t="s">
        <v>4</v>
      </c>
    </row>
    <row r="159" spans="1:16" ht="25.5">
      <c r="A159" s="58" t="s">
        <v>5</v>
      </c>
      <c r="B159" s="58" t="s">
        <v>6</v>
      </c>
      <c r="C159" s="58" t="s">
        <v>7</v>
      </c>
      <c r="D159" s="58" t="s">
        <v>8</v>
      </c>
      <c r="E159" s="58" t="s">
        <v>9</v>
      </c>
      <c r="F159" s="58" t="s">
        <v>10</v>
      </c>
      <c r="G159" s="58" t="s">
        <v>11</v>
      </c>
      <c r="H159" s="58" t="s">
        <v>12</v>
      </c>
      <c r="I159" s="58" t="s">
        <v>13</v>
      </c>
      <c r="J159" s="58" t="s">
        <v>14</v>
      </c>
      <c r="K159" s="58" t="s">
        <v>15</v>
      </c>
      <c r="L159" s="58" t="s">
        <v>16</v>
      </c>
      <c r="M159" s="48" t="s">
        <v>17</v>
      </c>
      <c r="N159" s="48" t="s">
        <v>18</v>
      </c>
      <c r="O159" s="48" t="s">
        <v>19</v>
      </c>
      <c r="P159" s="108" t="s">
        <v>20</v>
      </c>
    </row>
    <row r="160" spans="1:16">
      <c r="A160" s="164" t="s">
        <v>78</v>
      </c>
      <c r="B160" s="88" t="s">
        <v>100</v>
      </c>
      <c r="C160" s="7">
        <f t="shared" ref="C160:C165" si="113">SUM(D160:L160)</f>
        <v>5</v>
      </c>
      <c r="D160" s="141">
        <f>'[3]MASTER '!$CW$38</f>
        <v>0</v>
      </c>
      <c r="E160" s="141">
        <f>'[3]MASTER '!$CW$39</f>
        <v>1</v>
      </c>
      <c r="F160" s="141">
        <f>'[3]MASTER '!$CW$40</f>
        <v>1</v>
      </c>
      <c r="G160" s="141">
        <f>'[3]MASTER '!$CW$41</f>
        <v>0</v>
      </c>
      <c r="H160" s="141">
        <f>'[3]MASTER '!$CW$42</f>
        <v>1</v>
      </c>
      <c r="I160" s="141">
        <f>'[3]MASTER '!$CW$43</f>
        <v>1</v>
      </c>
      <c r="J160" s="141">
        <f>'[3]MASTER '!$CW$44</f>
        <v>1</v>
      </c>
      <c r="K160" s="141">
        <f>'[3]MASTER '!$CW$45</f>
        <v>0</v>
      </c>
      <c r="L160" s="141">
        <f>'[3]MASTER '!$CW$46</f>
        <v>0</v>
      </c>
      <c r="M160" s="7">
        <f>SUM(D160:I160)</f>
        <v>4</v>
      </c>
      <c r="N160" s="39">
        <f>((M160/C160)*100)</f>
        <v>80</v>
      </c>
      <c r="O160" s="7">
        <f>SUM(D160:K160)</f>
        <v>5</v>
      </c>
      <c r="P160" s="8">
        <f>((O160/C160)*100)</f>
        <v>100</v>
      </c>
    </row>
    <row r="161" spans="1:16">
      <c r="A161" s="164" t="s">
        <v>90</v>
      </c>
      <c r="B161" s="88" t="s">
        <v>100</v>
      </c>
      <c r="C161" s="7">
        <f t="shared" si="113"/>
        <v>24</v>
      </c>
      <c r="D161" s="141">
        <f>'[4]MASTER '!$CM$38</f>
        <v>1</v>
      </c>
      <c r="E161" s="141">
        <f>'[4]MASTER '!$CM$39</f>
        <v>2</v>
      </c>
      <c r="F161" s="141">
        <f>'[4]MASTER '!$CM$40</f>
        <v>7</v>
      </c>
      <c r="G161" s="141">
        <f>'[4]MASTER '!$CM$41</f>
        <v>2</v>
      </c>
      <c r="H161" s="141">
        <f>'[4]MASTER '!$CM$42</f>
        <v>4</v>
      </c>
      <c r="I161" s="141">
        <f>'[4]MASTER '!$CM$43</f>
        <v>7</v>
      </c>
      <c r="J161" s="141">
        <f>'[4]MASTER '!$CM$44</f>
        <v>1</v>
      </c>
      <c r="K161" s="141">
        <f>'[4]MASTER '!$CM$45</f>
        <v>0</v>
      </c>
      <c r="L161" s="141">
        <f>'[4]MASTER '!$CM$46</f>
        <v>0</v>
      </c>
      <c r="M161" s="7">
        <f>SUM(D161:I161)</f>
        <v>23</v>
      </c>
      <c r="N161" s="39">
        <f>((M161/C161)*100)</f>
        <v>95.833333333333343</v>
      </c>
      <c r="O161" s="7">
        <f>SUM(D161:K161)</f>
        <v>24</v>
      </c>
      <c r="P161" s="8">
        <f>((O161/C161)*100)</f>
        <v>100</v>
      </c>
    </row>
    <row r="162" spans="1:16">
      <c r="A162" s="164" t="s">
        <v>80</v>
      </c>
      <c r="B162" s="88" t="s">
        <v>101</v>
      </c>
      <c r="C162" s="7">
        <f t="shared" si="113"/>
        <v>24</v>
      </c>
      <c r="D162" s="141">
        <f>'[5]MASTER '!$CM$38</f>
        <v>1</v>
      </c>
      <c r="E162" s="141">
        <f>'[5]MASTER '!$CM$39</f>
        <v>3</v>
      </c>
      <c r="F162" s="141">
        <f>'[5]MASTER '!$CM$40</f>
        <v>1</v>
      </c>
      <c r="G162" s="141">
        <f>'[5]MASTER '!$CM$41</f>
        <v>3</v>
      </c>
      <c r="H162" s="141">
        <f>'[5]MASTER '!$CM$42</f>
        <v>4</v>
      </c>
      <c r="I162" s="141">
        <f>'[5]MASTER '!$CM$43</f>
        <v>3</v>
      </c>
      <c r="J162" s="141">
        <f>'[5]MASTER '!$CM$44</f>
        <v>6</v>
      </c>
      <c r="K162" s="141">
        <f>'[5]MASTER '!$CM$45</f>
        <v>2</v>
      </c>
      <c r="L162" s="141">
        <f>'[5]MASTER '!$CM$46</f>
        <v>1</v>
      </c>
      <c r="M162" s="7">
        <f t="shared" ref="M162:M165" si="114">SUM(D162:I162)</f>
        <v>15</v>
      </c>
      <c r="N162" s="39">
        <f t="shared" ref="N162:N164" si="115">((M162/C162)*100)</f>
        <v>62.5</v>
      </c>
      <c r="O162" s="7">
        <f t="shared" ref="O162:O164" si="116">SUM(D162:K162)</f>
        <v>23</v>
      </c>
      <c r="P162" s="8">
        <f>((O162/C162)*100)</f>
        <v>95.833333333333343</v>
      </c>
    </row>
    <row r="163" spans="1:16">
      <c r="A163" s="164" t="s">
        <v>74</v>
      </c>
      <c r="B163" s="88" t="s">
        <v>100</v>
      </c>
      <c r="C163" s="7">
        <f t="shared" si="113"/>
        <v>13</v>
      </c>
      <c r="D163" s="141">
        <f>'[7]MASTER '!$CM$38</f>
        <v>0</v>
      </c>
      <c r="E163" s="141">
        <f>'[7]MASTER '!$CM$39</f>
        <v>1</v>
      </c>
      <c r="F163" s="141">
        <f>'[7]MASTER '!$CM$40</f>
        <v>0</v>
      </c>
      <c r="G163" s="141">
        <f>'[7]MASTER '!$CM$41</f>
        <v>0</v>
      </c>
      <c r="H163" s="141">
        <f>'[7]MASTER '!$CM$42</f>
        <v>5</v>
      </c>
      <c r="I163" s="141">
        <f>'[7]MASTER '!$CM$43</f>
        <v>1</v>
      </c>
      <c r="J163" s="141">
        <f>'[7]MASTER '!$CM$44</f>
        <v>5</v>
      </c>
      <c r="K163" s="141">
        <f>'[7]MASTER '!$CM$45</f>
        <v>0</v>
      </c>
      <c r="L163" s="141">
        <f>'[7]MASTER '!$CM$46</f>
        <v>1</v>
      </c>
      <c r="M163" s="7">
        <f t="shared" si="114"/>
        <v>7</v>
      </c>
      <c r="N163" s="39">
        <f t="shared" si="115"/>
        <v>53.846153846153847</v>
      </c>
      <c r="O163" s="7">
        <f t="shared" si="116"/>
        <v>12</v>
      </c>
      <c r="P163" s="8">
        <f t="shared" ref="P163:P164" si="117">((O163/C163)*100)</f>
        <v>92.307692307692307</v>
      </c>
    </row>
    <row r="164" spans="1:16">
      <c r="A164" s="164" t="s">
        <v>76</v>
      </c>
      <c r="B164" s="88" t="s">
        <v>100</v>
      </c>
      <c r="C164" s="7">
        <f t="shared" si="113"/>
        <v>18</v>
      </c>
      <c r="D164" s="141">
        <f>'[8]MASTER '!$CM$36</f>
        <v>0</v>
      </c>
      <c r="E164" s="141">
        <f>'[8]MASTER '!$CM$37</f>
        <v>2</v>
      </c>
      <c r="F164" s="141">
        <f>'[8]MASTER '!$CM$38</f>
        <v>0</v>
      </c>
      <c r="G164" s="141">
        <f>'[8]MASTER '!$CM$39</f>
        <v>5</v>
      </c>
      <c r="H164" s="141">
        <f>'[8]MASTER '!$CM$40</f>
        <v>4</v>
      </c>
      <c r="I164" s="141">
        <f>'[8]MASTER '!$CM$41</f>
        <v>5</v>
      </c>
      <c r="J164" s="141">
        <f>'[8]MASTER '!$CM$42</f>
        <v>2</v>
      </c>
      <c r="K164" s="141">
        <f>'[8]MASTER '!$CM$43</f>
        <v>0</v>
      </c>
      <c r="L164" s="141">
        <f>'[8]MASTER '!$CM$44</f>
        <v>0</v>
      </c>
      <c r="M164" s="7">
        <f t="shared" si="114"/>
        <v>16</v>
      </c>
      <c r="N164" s="39">
        <f t="shared" si="115"/>
        <v>88.888888888888886</v>
      </c>
      <c r="O164" s="7">
        <f t="shared" si="116"/>
        <v>18</v>
      </c>
      <c r="P164" s="8">
        <f t="shared" si="117"/>
        <v>100</v>
      </c>
    </row>
    <row r="165" spans="1:16">
      <c r="A165" s="164" t="s">
        <v>81</v>
      </c>
      <c r="B165" s="88" t="s">
        <v>101</v>
      </c>
      <c r="C165" s="7">
        <f t="shared" si="113"/>
        <v>16</v>
      </c>
      <c r="D165" s="141">
        <f>'[6]MASTER '!$CM$38</f>
        <v>0</v>
      </c>
      <c r="E165" s="141">
        <f>'[6]MASTER '!$CM$39</f>
        <v>0</v>
      </c>
      <c r="F165" s="141">
        <f>'[6]MASTER '!$CM$40</f>
        <v>0</v>
      </c>
      <c r="G165" s="141">
        <f>'[6]MASTER '!$CM$41</f>
        <v>0</v>
      </c>
      <c r="H165" s="141">
        <f>'[6]MASTER '!$CM$42</f>
        <v>1</v>
      </c>
      <c r="I165" s="141">
        <f>'[6]MASTER '!$CM$43</f>
        <v>3</v>
      </c>
      <c r="J165" s="141">
        <f>'[6]MASTER '!$CM$44</f>
        <v>6</v>
      </c>
      <c r="K165" s="141">
        <f>'[6]MASTER '!$CM$45</f>
        <v>3</v>
      </c>
      <c r="L165" s="141">
        <f>'[6]MASTER '!$CM$46</f>
        <v>3</v>
      </c>
      <c r="M165" s="7">
        <f t="shared" si="114"/>
        <v>4</v>
      </c>
      <c r="N165" s="39">
        <f t="shared" ref="N165" si="118">((M165/C165)*100)</f>
        <v>25</v>
      </c>
      <c r="O165" s="7">
        <f t="shared" ref="O165" si="119">SUM(D165:K165)</f>
        <v>13</v>
      </c>
      <c r="P165" s="8">
        <f>((O165/C165)*100)</f>
        <v>81.25</v>
      </c>
    </row>
    <row r="166" spans="1:16" ht="13.5" customHeight="1">
      <c r="A166" s="159"/>
      <c r="B166" s="160" t="s">
        <v>33</v>
      </c>
      <c r="C166" s="164">
        <f t="shared" ref="C166:L166" si="120">SUM(C160:C165)</f>
        <v>100</v>
      </c>
      <c r="D166" s="164">
        <f t="shared" si="120"/>
        <v>2</v>
      </c>
      <c r="E166" s="164">
        <f t="shared" si="120"/>
        <v>9</v>
      </c>
      <c r="F166" s="164">
        <f t="shared" si="120"/>
        <v>9</v>
      </c>
      <c r="G166" s="164">
        <f t="shared" si="120"/>
        <v>10</v>
      </c>
      <c r="H166" s="164">
        <f t="shared" si="120"/>
        <v>19</v>
      </c>
      <c r="I166" s="164">
        <f t="shared" si="120"/>
        <v>20</v>
      </c>
      <c r="J166" s="164">
        <f t="shared" si="120"/>
        <v>21</v>
      </c>
      <c r="K166" s="164">
        <f t="shared" si="120"/>
        <v>5</v>
      </c>
      <c r="L166" s="164">
        <f t="shared" si="120"/>
        <v>5</v>
      </c>
      <c r="M166" s="164">
        <f>SUM(D166:I166)</f>
        <v>69</v>
      </c>
      <c r="N166" s="9">
        <f>((M166/C166)*100)</f>
        <v>69</v>
      </c>
      <c r="O166" s="164">
        <f>SUM(D166:K166)</f>
        <v>95</v>
      </c>
      <c r="P166" s="9">
        <f>((O166/C166)*100)</f>
        <v>95</v>
      </c>
    </row>
    <row r="167" spans="1:16" ht="12" hidden="1" customHeight="1">
      <c r="A167" s="12"/>
    </row>
    <row r="168" spans="1:16" ht="10.5" customHeight="1">
      <c r="A168" s="12"/>
    </row>
    <row r="169" spans="1:16" ht="15.75" customHeight="1">
      <c r="A169" s="152" t="s">
        <v>102</v>
      </c>
    </row>
    <row r="170" spans="1:16" s="5" customFormat="1">
      <c r="A170" s="154"/>
      <c r="B170"/>
      <c r="C170"/>
      <c r="D170" s="2" t="s">
        <v>1</v>
      </c>
      <c r="E170" s="3"/>
      <c r="F170" s="159"/>
      <c r="G170" s="161" t="s">
        <v>2</v>
      </c>
      <c r="H170" s="161"/>
      <c r="I170" s="160"/>
      <c r="J170" s="4" t="s">
        <v>3</v>
      </c>
      <c r="K170" s="3"/>
      <c r="L170" s="164" t="s">
        <v>4</v>
      </c>
      <c r="M170"/>
      <c r="N170"/>
      <c r="O170"/>
      <c r="P170" s="107"/>
    </row>
    <row r="171" spans="1:16" s="5" customFormat="1" ht="25.5">
      <c r="A171" s="155"/>
      <c r="B171" s="164" t="s">
        <v>6</v>
      </c>
      <c r="C171" s="164" t="s">
        <v>7</v>
      </c>
      <c r="D171" s="58" t="s">
        <v>8</v>
      </c>
      <c r="E171" s="58" t="s">
        <v>9</v>
      </c>
      <c r="F171" s="58" t="s">
        <v>10</v>
      </c>
      <c r="G171" s="58" t="s">
        <v>11</v>
      </c>
      <c r="H171" s="58" t="s">
        <v>12</v>
      </c>
      <c r="I171" s="58" t="s">
        <v>13</v>
      </c>
      <c r="J171" s="58" t="s">
        <v>14</v>
      </c>
      <c r="K171" s="58" t="s">
        <v>15</v>
      </c>
      <c r="L171" s="58" t="s">
        <v>16</v>
      </c>
      <c r="M171" s="6" t="s">
        <v>17</v>
      </c>
      <c r="N171" s="6" t="s">
        <v>18</v>
      </c>
      <c r="O171" s="6" t="s">
        <v>19</v>
      </c>
      <c r="P171" s="109" t="s">
        <v>20</v>
      </c>
    </row>
    <row r="172" spans="1:16">
      <c r="A172" s="164" t="s">
        <v>90</v>
      </c>
      <c r="B172" s="145" t="s">
        <v>103</v>
      </c>
      <c r="C172" s="7">
        <f t="shared" ref="C172" si="121">SUM(D172:L172)</f>
        <v>5</v>
      </c>
      <c r="D172" s="63">
        <f>'[4]MASTER '!$BI$38</f>
        <v>0</v>
      </c>
      <c r="E172" s="63">
        <f>'[4]MASTER '!$BI$39</f>
        <v>0</v>
      </c>
      <c r="F172" s="63">
        <f>'[4]MASTER '!$BI$40</f>
        <v>0</v>
      </c>
      <c r="G172" s="63">
        <f>'[4]MASTER '!$BI$41</f>
        <v>0</v>
      </c>
      <c r="H172" s="63">
        <f>'[4]MASTER '!$BI$42</f>
        <v>0</v>
      </c>
      <c r="I172" s="63">
        <f>'[4]MASTER '!$BI$43</f>
        <v>2</v>
      </c>
      <c r="J172" s="63">
        <f>'[4]MASTER '!$BI$44</f>
        <v>1</v>
      </c>
      <c r="K172" s="63">
        <f>'[4]MASTER '!$BI$45</f>
        <v>2</v>
      </c>
      <c r="L172" s="141">
        <f>'[4]MASTER '!$BI$46</f>
        <v>0</v>
      </c>
      <c r="M172" s="7">
        <f>SUM(D172:I172)</f>
        <v>2</v>
      </c>
      <c r="N172" s="39">
        <f t="shared" ref="N172" si="122">((M172/C172)*100)</f>
        <v>40</v>
      </c>
      <c r="O172" s="7">
        <f t="shared" ref="O172" si="123">SUM(D172:K172)</f>
        <v>5</v>
      </c>
      <c r="P172" s="8">
        <f>((O172/C172)*100)</f>
        <v>100</v>
      </c>
    </row>
    <row r="173" spans="1:16" s="5" customFormat="1">
      <c r="A173" s="164"/>
      <c r="B173" s="160" t="s">
        <v>33</v>
      </c>
      <c r="C173" s="164">
        <f>SUM(C172:C172)</f>
        <v>5</v>
      </c>
      <c r="D173" s="164">
        <f>SUM(D172:D172)</f>
        <v>0</v>
      </c>
      <c r="E173" s="164">
        <f>SUM(E172:E172)</f>
        <v>0</v>
      </c>
      <c r="F173" s="164">
        <f>SUM(F172:F172)</f>
        <v>0</v>
      </c>
      <c r="G173" s="164">
        <f>SUM(G172:G172)</f>
        <v>0</v>
      </c>
      <c r="H173" s="164">
        <f>SUM(H172:H172)</f>
        <v>0</v>
      </c>
      <c r="I173" s="164">
        <f>SUM(I172:I172)</f>
        <v>2</v>
      </c>
      <c r="J173" s="164">
        <f>SUM(J172:J172)</f>
        <v>1</v>
      </c>
      <c r="K173" s="164">
        <f>SUM(K172:K172)</f>
        <v>2</v>
      </c>
      <c r="L173" s="164">
        <f>SUM(L172:L172)</f>
        <v>0</v>
      </c>
      <c r="M173" s="164">
        <f>SUM(D173:I173)</f>
        <v>2</v>
      </c>
      <c r="N173" s="9">
        <f>((M173/C173)*100)</f>
        <v>40</v>
      </c>
      <c r="O173" s="164">
        <f>SUM(D173:K173)</f>
        <v>5</v>
      </c>
      <c r="P173" s="9">
        <f>((O173/C173)*100)</f>
        <v>100</v>
      </c>
    </row>
    <row r="174" spans="1:16" s="5" customFormat="1" hidden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  <c r="O174" s="10"/>
      <c r="P174" s="11"/>
    </row>
    <row r="175" spans="1:16" s="5" customFormat="1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  <c r="O175" s="10"/>
      <c r="P175" s="11"/>
    </row>
    <row r="176" spans="1:16" ht="18">
      <c r="A176" s="152" t="s">
        <v>104</v>
      </c>
    </row>
    <row r="177" spans="1:16" s="5" customFormat="1">
      <c r="A177"/>
      <c r="B177"/>
      <c r="C177"/>
      <c r="D177" s="2" t="s">
        <v>1</v>
      </c>
      <c r="E177" s="3"/>
      <c r="F177" s="159"/>
      <c r="G177" s="161" t="s">
        <v>2</v>
      </c>
      <c r="H177" s="161"/>
      <c r="I177" s="160"/>
      <c r="J177" s="4" t="s">
        <v>3</v>
      </c>
      <c r="K177" s="3"/>
      <c r="L177" s="164" t="s">
        <v>4</v>
      </c>
      <c r="M177"/>
      <c r="N177"/>
      <c r="O177"/>
      <c r="P177" s="107"/>
    </row>
    <row r="178" spans="1:16" s="5" customFormat="1" ht="25.5">
      <c r="A178" s="164" t="s">
        <v>5</v>
      </c>
      <c r="B178" s="164" t="s">
        <v>6</v>
      </c>
      <c r="C178" s="164" t="s">
        <v>7</v>
      </c>
      <c r="D178" s="58" t="s">
        <v>8</v>
      </c>
      <c r="E178" s="58" t="s">
        <v>9</v>
      </c>
      <c r="F178" s="58" t="s">
        <v>10</v>
      </c>
      <c r="G178" s="58" t="s">
        <v>11</v>
      </c>
      <c r="H178" s="58" t="s">
        <v>12</v>
      </c>
      <c r="I178" s="58" t="s">
        <v>13</v>
      </c>
      <c r="J178" s="58" t="s">
        <v>14</v>
      </c>
      <c r="K178" s="58" t="s">
        <v>15</v>
      </c>
      <c r="L178" s="58" t="s">
        <v>16</v>
      </c>
      <c r="M178" s="6" t="s">
        <v>17</v>
      </c>
      <c r="N178" s="6" t="s">
        <v>18</v>
      </c>
      <c r="O178" s="6" t="s">
        <v>19</v>
      </c>
      <c r="P178" s="109" t="s">
        <v>20</v>
      </c>
    </row>
    <row r="179" spans="1:16" s="5" customFormat="1">
      <c r="A179" s="164" t="s">
        <v>81</v>
      </c>
      <c r="B179" s="88" t="s">
        <v>105</v>
      </c>
      <c r="C179" s="7">
        <f t="shared" ref="C179:C180" si="124">SUM(D179:L179)</f>
        <v>8</v>
      </c>
      <c r="D179" s="174">
        <f>'[6]MASTER '!$CW$38</f>
        <v>0</v>
      </c>
      <c r="E179" s="174">
        <f>'[6]MASTER '!$CW$39</f>
        <v>0</v>
      </c>
      <c r="F179" s="174">
        <f>'[6]MASTER '!$CW$40</f>
        <v>0</v>
      </c>
      <c r="G179" s="174">
        <f>'[6]MASTER '!$CW$41</f>
        <v>1</v>
      </c>
      <c r="H179" s="174">
        <f>'[6]MASTER '!$CW$42</f>
        <v>0</v>
      </c>
      <c r="I179" s="174">
        <f>'[6]MASTER '!$CW$43</f>
        <v>2</v>
      </c>
      <c r="J179" s="174">
        <f>'[6]MASTER '!$CW$44</f>
        <v>4</v>
      </c>
      <c r="K179" s="174">
        <f>'[6]MASTER '!$CW$45</f>
        <v>1</v>
      </c>
      <c r="L179" s="174">
        <f>'[6]MASTER '!$CW$46</f>
        <v>0</v>
      </c>
      <c r="M179" s="7">
        <f>SUM(D179:I179)</f>
        <v>3</v>
      </c>
      <c r="N179" s="39">
        <f>((M179/C179)*100)</f>
        <v>37.5</v>
      </c>
      <c r="O179" s="7">
        <f>SUM(D179:K179)</f>
        <v>8</v>
      </c>
      <c r="P179" s="8">
        <f>((O179/C179)*100)</f>
        <v>100</v>
      </c>
    </row>
    <row r="180" spans="1:16" s="5" customFormat="1">
      <c r="A180" s="164" t="s">
        <v>74</v>
      </c>
      <c r="B180" s="88" t="s">
        <v>105</v>
      </c>
      <c r="C180" s="7">
        <f t="shared" si="124"/>
        <v>7</v>
      </c>
      <c r="D180" s="184">
        <f>'[7]MASTER '!$CW$38</f>
        <v>0</v>
      </c>
      <c r="E180" s="184">
        <f>'[7]MASTER '!$CW$39</f>
        <v>0</v>
      </c>
      <c r="F180" s="184">
        <f>'[7]MASTER '!$CW$40</f>
        <v>0</v>
      </c>
      <c r="G180" s="184">
        <f>'[7]MASTER '!$CW$41</f>
        <v>1</v>
      </c>
      <c r="H180" s="184">
        <f>'[7]MASTER '!$CW$42</f>
        <v>0</v>
      </c>
      <c r="I180" s="184">
        <f>'[7]MASTER '!$CW$43</f>
        <v>0</v>
      </c>
      <c r="J180" s="184">
        <f>'[7]MASTER '!$CW$44</f>
        <v>3</v>
      </c>
      <c r="K180" s="184">
        <f>'[7]MASTER '!$CW$45</f>
        <v>1</v>
      </c>
      <c r="L180" s="184">
        <f>'[7]MASTER '!$CW$46</f>
        <v>2</v>
      </c>
      <c r="M180" s="7">
        <f t="shared" ref="M180" si="125">SUM(D180:I180)</f>
        <v>1</v>
      </c>
      <c r="N180" s="39">
        <f t="shared" ref="N180" si="126">((M180/C180)*100)</f>
        <v>14.285714285714285</v>
      </c>
      <c r="O180" s="7">
        <f t="shared" ref="O180" si="127">SUM(D180:K180)</f>
        <v>5</v>
      </c>
      <c r="P180" s="8">
        <f t="shared" ref="P180" si="128">((O180/C180)*100)</f>
        <v>71.428571428571431</v>
      </c>
    </row>
    <row r="181" spans="1:16" s="5" customFormat="1">
      <c r="A181" s="164"/>
      <c r="B181" s="160" t="s">
        <v>33</v>
      </c>
      <c r="C181" s="164">
        <f t="shared" ref="C181:M181" si="129">SUM(C179:C180)</f>
        <v>15</v>
      </c>
      <c r="D181" s="164">
        <f t="shared" si="129"/>
        <v>0</v>
      </c>
      <c r="E181" s="164">
        <f t="shared" si="129"/>
        <v>0</v>
      </c>
      <c r="F181" s="164">
        <f t="shared" si="129"/>
        <v>0</v>
      </c>
      <c r="G181" s="164">
        <f t="shared" si="129"/>
        <v>2</v>
      </c>
      <c r="H181" s="164">
        <f t="shared" si="129"/>
        <v>0</v>
      </c>
      <c r="I181" s="164">
        <f t="shared" si="129"/>
        <v>2</v>
      </c>
      <c r="J181" s="164">
        <f t="shared" si="129"/>
        <v>7</v>
      </c>
      <c r="K181" s="164">
        <f t="shared" si="129"/>
        <v>2</v>
      </c>
      <c r="L181" s="164">
        <f t="shared" si="129"/>
        <v>2</v>
      </c>
      <c r="M181" s="164">
        <f t="shared" si="129"/>
        <v>4</v>
      </c>
      <c r="N181" s="8">
        <f>((M181/C181)*100)</f>
        <v>26.666666666666668</v>
      </c>
      <c r="O181" s="164">
        <f>SUM(O179:O180)</f>
        <v>13</v>
      </c>
      <c r="P181" s="8">
        <f>((O181/C181)*100)</f>
        <v>86.666666666666671</v>
      </c>
    </row>
    <row r="182" spans="1:16" s="5" customFormat="1" ht="19.5" customHeight="1">
      <c r="A182" s="15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  <c r="O182" s="10"/>
      <c r="P182" s="11"/>
    </row>
    <row r="183" spans="1:16" s="5" customFormat="1" ht="18">
      <c r="A183" s="153" t="s">
        <v>106</v>
      </c>
      <c r="B183" s="144"/>
      <c r="N183" s="49"/>
      <c r="P183" s="49"/>
    </row>
    <row r="184" spans="1:16" s="5" customFormat="1">
      <c r="A184" s="154"/>
      <c r="B184"/>
      <c r="C184"/>
      <c r="D184" s="2" t="s">
        <v>1</v>
      </c>
      <c r="E184" s="3"/>
      <c r="F184" s="159"/>
      <c r="G184" s="161" t="s">
        <v>2</v>
      </c>
      <c r="H184" s="161"/>
      <c r="I184" s="160"/>
      <c r="J184" s="4" t="s">
        <v>3</v>
      </c>
      <c r="K184" s="3"/>
      <c r="L184" s="164" t="s">
        <v>4</v>
      </c>
      <c r="M184"/>
      <c r="N184"/>
      <c r="O184"/>
      <c r="P184" s="107"/>
    </row>
    <row r="185" spans="1:16" s="5" customFormat="1" ht="24">
      <c r="A185" s="209" t="s">
        <v>5</v>
      </c>
      <c r="B185" s="164" t="s">
        <v>6</v>
      </c>
      <c r="C185" s="164" t="s">
        <v>7</v>
      </c>
      <c r="D185" s="58" t="s">
        <v>8</v>
      </c>
      <c r="E185" s="58" t="s">
        <v>9</v>
      </c>
      <c r="F185" s="58" t="s">
        <v>10</v>
      </c>
      <c r="G185" s="58" t="s">
        <v>11</v>
      </c>
      <c r="H185" s="58" t="s">
        <v>12</v>
      </c>
      <c r="I185" s="58" t="s">
        <v>13</v>
      </c>
      <c r="J185" s="58" t="s">
        <v>14</v>
      </c>
      <c r="K185" s="58" t="s">
        <v>15</v>
      </c>
      <c r="L185" s="58" t="s">
        <v>16</v>
      </c>
      <c r="M185" s="6" t="s">
        <v>17</v>
      </c>
      <c r="N185" s="6" t="s">
        <v>18</v>
      </c>
      <c r="O185" s="6" t="s">
        <v>19</v>
      </c>
      <c r="P185" s="109" t="s">
        <v>20</v>
      </c>
    </row>
    <row r="186" spans="1:16">
      <c r="A186" s="212" t="s">
        <v>88</v>
      </c>
      <c r="B186" s="138" t="s">
        <v>107</v>
      </c>
      <c r="C186" s="7">
        <f>SUM(D186:L186)</f>
        <v>20</v>
      </c>
      <c r="D186" s="7">
        <f>'[2]MASTER '!$CM$38</f>
        <v>0</v>
      </c>
      <c r="E186" s="7">
        <f>'[2]MASTER '!$CM$39</f>
        <v>0</v>
      </c>
      <c r="F186" s="7">
        <f>'[2]MASTER '!$CM$40</f>
        <v>0</v>
      </c>
      <c r="G186" s="7">
        <f>'[2]MASTER '!$CM$41</f>
        <v>0</v>
      </c>
      <c r="H186" s="7">
        <f>'[2]MASTER '!$CM$42</f>
        <v>1</v>
      </c>
      <c r="I186" s="7">
        <f>'[2]MASTER '!$CM$43</f>
        <v>2</v>
      </c>
      <c r="J186" s="7">
        <f>'[2]MASTER '!$CM$44</f>
        <v>2</v>
      </c>
      <c r="K186" s="7">
        <f>'[2]MASTER '!$CM$45</f>
        <v>4</v>
      </c>
      <c r="L186" s="7">
        <f>'[2]MASTER '!$CM$46</f>
        <v>11</v>
      </c>
      <c r="M186" s="7">
        <f>SUM(D186:I186)</f>
        <v>3</v>
      </c>
      <c r="N186" s="8">
        <f>((M186/C186)*100)</f>
        <v>15</v>
      </c>
      <c r="O186" s="7">
        <f>SUM(D186:K186)</f>
        <v>9</v>
      </c>
      <c r="P186" s="8">
        <f>((O186/C186)*100)</f>
        <v>45</v>
      </c>
    </row>
    <row r="187" spans="1:16">
      <c r="A187" s="212"/>
      <c r="B187" s="138"/>
      <c r="C187" s="7">
        <f t="shared" ref="C187:C188" si="130">SUM(D187:L187)</f>
        <v>0</v>
      </c>
      <c r="D187" s="7"/>
      <c r="E187" s="7"/>
      <c r="F187" s="7"/>
      <c r="G187" s="7"/>
      <c r="H187" s="7"/>
      <c r="I187" s="7"/>
      <c r="J187" s="7"/>
      <c r="K187" s="7"/>
      <c r="L187" s="7"/>
      <c r="M187" s="7">
        <f t="shared" ref="M187:M188" si="131">SUM(D187:I187)</f>
        <v>0</v>
      </c>
      <c r="N187" s="8" t="e">
        <f t="shared" ref="N187:N188" si="132">((M187/C187)*100)</f>
        <v>#DIV/0!</v>
      </c>
      <c r="O187" s="7">
        <f t="shared" ref="O187:O188" si="133">SUM(D187:K187)</f>
        <v>0</v>
      </c>
      <c r="P187" s="8" t="e">
        <f t="shared" ref="P187:P188" si="134">((O187/C187)*100)</f>
        <v>#DIV/0!</v>
      </c>
    </row>
    <row r="188" spans="1:16">
      <c r="A188" s="212"/>
      <c r="B188" s="210"/>
      <c r="C188" s="7">
        <f t="shared" si="130"/>
        <v>0</v>
      </c>
      <c r="D188" s="7"/>
      <c r="E188" s="7"/>
      <c r="F188" s="7"/>
      <c r="G188" s="7"/>
      <c r="H188" s="7"/>
      <c r="I188" s="7"/>
      <c r="J188" s="7"/>
      <c r="K188" s="7"/>
      <c r="L188" s="7"/>
      <c r="M188" s="7">
        <f t="shared" si="131"/>
        <v>0</v>
      </c>
      <c r="N188" s="8" t="e">
        <f t="shared" si="132"/>
        <v>#DIV/0!</v>
      </c>
      <c r="O188" s="7">
        <f t="shared" si="133"/>
        <v>0</v>
      </c>
      <c r="P188" s="8" t="e">
        <f t="shared" si="134"/>
        <v>#DIV/0!</v>
      </c>
    </row>
    <row r="189" spans="1:16">
      <c r="A189" s="212"/>
      <c r="B189" s="211" t="s">
        <v>33</v>
      </c>
      <c r="C189" s="160">
        <f>SUM(C186:C188)</f>
        <v>20</v>
      </c>
      <c r="D189" s="164">
        <f t="shared" ref="D189:O189" si="135">SUM(D186:D188)</f>
        <v>0</v>
      </c>
      <c r="E189" s="164">
        <f t="shared" si="135"/>
        <v>0</v>
      </c>
      <c r="F189" s="164">
        <f t="shared" si="135"/>
        <v>0</v>
      </c>
      <c r="G189" s="164">
        <f t="shared" si="135"/>
        <v>0</v>
      </c>
      <c r="H189" s="164">
        <f t="shared" si="135"/>
        <v>1</v>
      </c>
      <c r="I189" s="164">
        <f t="shared" si="135"/>
        <v>2</v>
      </c>
      <c r="J189" s="164">
        <f t="shared" si="135"/>
        <v>2</v>
      </c>
      <c r="K189" s="164">
        <f t="shared" si="135"/>
        <v>4</v>
      </c>
      <c r="L189" s="164">
        <f t="shared" si="135"/>
        <v>11</v>
      </c>
      <c r="M189" s="164">
        <f t="shared" si="135"/>
        <v>3</v>
      </c>
      <c r="N189" s="9">
        <f>((M189/C189)*100)</f>
        <v>15</v>
      </c>
      <c r="O189" s="164">
        <f t="shared" si="135"/>
        <v>9</v>
      </c>
      <c r="P189" s="9">
        <f>((O189/C189)*100)</f>
        <v>45</v>
      </c>
    </row>
    <row r="190" spans="1:16" ht="26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  <c r="O190" s="10"/>
      <c r="P190" s="11"/>
    </row>
    <row r="191" spans="1:16" s="5" customFormat="1" ht="18">
      <c r="A191" s="153" t="s">
        <v>40</v>
      </c>
      <c r="B191" s="144"/>
      <c r="N191" s="49"/>
      <c r="P191" s="49"/>
    </row>
    <row r="192" spans="1:16" s="5" customFormat="1">
      <c r="A192"/>
      <c r="B192"/>
      <c r="C192"/>
      <c r="D192" s="2" t="s">
        <v>1</v>
      </c>
      <c r="E192" s="3"/>
      <c r="F192" s="159"/>
      <c r="G192" s="161" t="s">
        <v>2</v>
      </c>
      <c r="H192" s="161"/>
      <c r="I192" s="160"/>
      <c r="J192" s="4" t="s">
        <v>3</v>
      </c>
      <c r="K192" s="3"/>
      <c r="L192" s="164" t="s">
        <v>4</v>
      </c>
      <c r="M192"/>
      <c r="N192"/>
      <c r="O192"/>
      <c r="P192" s="107"/>
    </row>
    <row r="193" spans="1:16" s="5" customFormat="1" ht="25.5">
      <c r="A193" s="164" t="s">
        <v>5</v>
      </c>
      <c r="B193" s="164" t="s">
        <v>6</v>
      </c>
      <c r="C193" s="164" t="s">
        <v>7</v>
      </c>
      <c r="D193" s="58" t="s">
        <v>8</v>
      </c>
      <c r="E193" s="58" t="s">
        <v>9</v>
      </c>
      <c r="F193" s="58" t="s">
        <v>10</v>
      </c>
      <c r="G193" s="58" t="s">
        <v>11</v>
      </c>
      <c r="H193" s="58" t="s">
        <v>12</v>
      </c>
      <c r="I193" s="58" t="s">
        <v>13</v>
      </c>
      <c r="J193" s="58" t="s">
        <v>14</v>
      </c>
      <c r="K193" s="58" t="s">
        <v>15</v>
      </c>
      <c r="L193" s="58" t="s">
        <v>16</v>
      </c>
      <c r="M193" s="6" t="s">
        <v>17</v>
      </c>
      <c r="N193" s="6" t="s">
        <v>18</v>
      </c>
      <c r="O193" s="6" t="s">
        <v>19</v>
      </c>
      <c r="P193" s="109" t="s">
        <v>20</v>
      </c>
    </row>
    <row r="194" spans="1:16" s="5" customFormat="1">
      <c r="A194" s="58" t="s">
        <v>78</v>
      </c>
      <c r="B194" s="186" t="s">
        <v>108</v>
      </c>
      <c r="C194" s="7">
        <f t="shared" ref="C194" si="136">SUM(D194:L194)</f>
        <v>9</v>
      </c>
      <c r="D194" s="145">
        <f>'[3]MASTER '!$DG$38</f>
        <v>0</v>
      </c>
      <c r="E194" s="145">
        <f>'[3]MASTER '!$DG$39</f>
        <v>0</v>
      </c>
      <c r="F194" s="145">
        <f>'[3]MASTER '!$DG$40</f>
        <v>0</v>
      </c>
      <c r="G194" s="145">
        <f>'[3]MASTER '!$DG$41</f>
        <v>1</v>
      </c>
      <c r="H194" s="145">
        <f>'[3]MASTER '!$DG$42</f>
        <v>0</v>
      </c>
      <c r="I194" s="145">
        <f>'[3]MASTER '!$DG$43</f>
        <v>2</v>
      </c>
      <c r="J194" s="145">
        <f>'[3]MASTER '!$DG$44</f>
        <v>2</v>
      </c>
      <c r="K194" s="145">
        <f>'[3]MASTER '!$DG$45</f>
        <v>0</v>
      </c>
      <c r="L194" s="145">
        <f>'[3]MASTER '!$DG$46</f>
        <v>4</v>
      </c>
      <c r="M194" s="63">
        <f>SUM(D194:I194)</f>
        <v>3</v>
      </c>
      <c r="N194" s="173">
        <f>((M194/C194)*100)</f>
        <v>33.333333333333329</v>
      </c>
      <c r="O194" s="63">
        <f>SUM(D194:K194)</f>
        <v>5</v>
      </c>
      <c r="P194" s="173">
        <f>((O194/C194)*100)</f>
        <v>55.555555555555557</v>
      </c>
    </row>
    <row r="195" spans="1:16">
      <c r="A195" s="159"/>
      <c r="B195" s="170" t="s">
        <v>33</v>
      </c>
      <c r="C195" s="164">
        <f>SUM(C194:C194)</f>
        <v>9</v>
      </c>
      <c r="D195" s="164">
        <f>SUM(D194:D194)</f>
        <v>0</v>
      </c>
      <c r="E195" s="164">
        <f>SUM(E194:E194)</f>
        <v>0</v>
      </c>
      <c r="F195" s="164">
        <f>SUM(F194:F194)</f>
        <v>0</v>
      </c>
      <c r="G195" s="164">
        <f>SUM(G194:G194)</f>
        <v>1</v>
      </c>
      <c r="H195" s="164">
        <f>SUM(H194:H194)</f>
        <v>0</v>
      </c>
      <c r="I195" s="164">
        <f>SUM(I194:I194)</f>
        <v>2</v>
      </c>
      <c r="J195" s="164">
        <f>SUM(J194:J194)</f>
        <v>2</v>
      </c>
      <c r="K195" s="164">
        <f>SUM(K194:K194)</f>
        <v>0</v>
      </c>
      <c r="L195" s="164">
        <f>SUM(L194:L194)</f>
        <v>4</v>
      </c>
      <c r="M195" s="164">
        <f>SUM(M194:M194)</f>
        <v>3</v>
      </c>
      <c r="N195" s="9">
        <f>((M195/C195)*100)</f>
        <v>33.333333333333329</v>
      </c>
      <c r="O195" s="164">
        <f>SUM(O194:O194)</f>
        <v>5</v>
      </c>
      <c r="P195" s="9">
        <f>((O195/C195)*100)</f>
        <v>55.555555555555557</v>
      </c>
    </row>
    <row r="196" spans="1:16" ht="12.75" hidden="1" customHeight="1">
      <c r="A196" s="12"/>
    </row>
    <row r="197" spans="1:16" ht="12.75" customHeight="1">
      <c r="A197" s="12"/>
    </row>
    <row r="198" spans="1:16" ht="30" customHeight="1">
      <c r="A198" s="12"/>
    </row>
    <row r="199" spans="1:16" ht="18">
      <c r="B199" s="29"/>
      <c r="C199" s="29"/>
      <c r="D199" s="218" t="s">
        <v>109</v>
      </c>
      <c r="E199" s="219"/>
      <c r="F199" s="218" t="s">
        <v>110</v>
      </c>
      <c r="G199" s="225"/>
      <c r="H199" s="225"/>
      <c r="I199" s="219"/>
      <c r="J199" s="218" t="s">
        <v>111</v>
      </c>
      <c r="K199" s="219"/>
      <c r="L199" s="13" t="s">
        <v>4</v>
      </c>
      <c r="M199" s="29"/>
      <c r="N199" s="29"/>
      <c r="O199" s="29"/>
      <c r="P199" s="112"/>
    </row>
    <row r="200" spans="1:16" ht="27.75" customHeight="1">
      <c r="A200" s="233" t="s">
        <v>112</v>
      </c>
      <c r="B200" s="234"/>
      <c r="C200" s="55" t="s">
        <v>7</v>
      </c>
      <c r="D200" s="55" t="s">
        <v>113</v>
      </c>
      <c r="E200" s="55" t="s">
        <v>9</v>
      </c>
      <c r="F200" s="55" t="s">
        <v>10</v>
      </c>
      <c r="G200" s="55" t="s">
        <v>11</v>
      </c>
      <c r="H200" s="55" t="s">
        <v>12</v>
      </c>
      <c r="I200" s="55" t="s">
        <v>13</v>
      </c>
      <c r="J200" s="55" t="s">
        <v>14</v>
      </c>
      <c r="K200" s="55" t="s">
        <v>15</v>
      </c>
      <c r="L200" s="55" t="s">
        <v>16</v>
      </c>
      <c r="M200" s="14" t="s">
        <v>17</v>
      </c>
      <c r="N200" s="14" t="s">
        <v>18</v>
      </c>
      <c r="O200" s="14" t="s">
        <v>19</v>
      </c>
      <c r="P200" s="113" t="s">
        <v>20</v>
      </c>
    </row>
    <row r="201" spans="1:16" ht="18.600000000000001" customHeight="1">
      <c r="A201" s="228" t="s">
        <v>114</v>
      </c>
      <c r="B201" s="229"/>
      <c r="C201" s="53">
        <f>SUM(D201:L201)</f>
        <v>165</v>
      </c>
      <c r="D201" s="53">
        <f>D12</f>
        <v>0</v>
      </c>
      <c r="E201" s="53">
        <f t="shared" ref="E201:L201" si="137">E12</f>
        <v>25</v>
      </c>
      <c r="F201" s="53">
        <f t="shared" si="137"/>
        <v>35</v>
      </c>
      <c r="G201" s="53">
        <f t="shared" si="137"/>
        <v>26</v>
      </c>
      <c r="H201" s="53">
        <f t="shared" si="137"/>
        <v>25</v>
      </c>
      <c r="I201" s="53">
        <f t="shared" si="137"/>
        <v>21</v>
      </c>
      <c r="J201" s="53">
        <f t="shared" si="137"/>
        <v>16</v>
      </c>
      <c r="K201" s="53">
        <f t="shared" si="137"/>
        <v>11</v>
      </c>
      <c r="L201" s="53">
        <f t="shared" si="137"/>
        <v>6</v>
      </c>
      <c r="M201" s="53">
        <f t="shared" ref="C201:P201" si="138">M12</f>
        <v>132</v>
      </c>
      <c r="N201" s="28">
        <f t="shared" si="138"/>
        <v>80</v>
      </c>
      <c r="O201" s="53">
        <f t="shared" si="138"/>
        <v>159</v>
      </c>
      <c r="P201" s="28">
        <f t="shared" si="138"/>
        <v>96.36363636363636</v>
      </c>
    </row>
    <row r="202" spans="1:16" ht="18.600000000000001" customHeight="1">
      <c r="A202" s="228" t="s">
        <v>115</v>
      </c>
      <c r="B202" s="229"/>
      <c r="C202" s="53">
        <f t="shared" ref="C202:C221" si="139">SUM(D202:L202)</f>
        <v>165</v>
      </c>
      <c r="D202" s="53">
        <f>D32</f>
        <v>1</v>
      </c>
      <c r="E202" s="53">
        <f t="shared" ref="E202:L202" si="140">E32</f>
        <v>33</v>
      </c>
      <c r="F202" s="53">
        <f t="shared" si="140"/>
        <v>31</v>
      </c>
      <c r="G202" s="53">
        <f t="shared" si="140"/>
        <v>36</v>
      </c>
      <c r="H202" s="53">
        <f t="shared" si="140"/>
        <v>17</v>
      </c>
      <c r="I202" s="53">
        <f t="shared" si="140"/>
        <v>18</v>
      </c>
      <c r="J202" s="53">
        <f t="shared" si="140"/>
        <v>10</v>
      </c>
      <c r="K202" s="53">
        <f t="shared" si="140"/>
        <v>8</v>
      </c>
      <c r="L202" s="53">
        <f t="shared" si="140"/>
        <v>11</v>
      </c>
      <c r="M202" s="53">
        <f t="shared" ref="C202:P203" si="141">M32</f>
        <v>136</v>
      </c>
      <c r="N202" s="28">
        <f t="shared" si="141"/>
        <v>82.424242424242422</v>
      </c>
      <c r="O202" s="53">
        <f t="shared" si="141"/>
        <v>154</v>
      </c>
      <c r="P202" s="53">
        <f t="shared" si="141"/>
        <v>93.333333333333329</v>
      </c>
    </row>
    <row r="203" spans="1:16" ht="18.600000000000001" customHeight="1">
      <c r="A203" s="227" t="s">
        <v>116</v>
      </c>
      <c r="B203" s="227"/>
      <c r="C203" s="53">
        <f t="shared" si="139"/>
        <v>126</v>
      </c>
      <c r="D203" s="25">
        <f>D50</f>
        <v>2</v>
      </c>
      <c r="E203" s="25">
        <f t="shared" ref="E203:L203" si="142">E50</f>
        <v>7</v>
      </c>
      <c r="F203" s="25">
        <f t="shared" si="142"/>
        <v>7</v>
      </c>
      <c r="G203" s="25">
        <f t="shared" si="142"/>
        <v>2</v>
      </c>
      <c r="H203" s="25">
        <f t="shared" si="142"/>
        <v>7</v>
      </c>
      <c r="I203" s="25">
        <f t="shared" si="142"/>
        <v>10</v>
      </c>
      <c r="J203" s="25">
        <f t="shared" si="142"/>
        <v>10</v>
      </c>
      <c r="K203" s="25">
        <f t="shared" si="142"/>
        <v>19</v>
      </c>
      <c r="L203" s="25">
        <f t="shared" si="142"/>
        <v>62</v>
      </c>
      <c r="M203" s="25">
        <f t="shared" ref="C203:P203" si="143">M50</f>
        <v>35</v>
      </c>
      <c r="N203" s="26">
        <f t="shared" si="143"/>
        <v>27.777777777777779</v>
      </c>
      <c r="O203" s="25">
        <f t="shared" si="143"/>
        <v>64</v>
      </c>
      <c r="P203" s="26">
        <f t="shared" si="143"/>
        <v>50.793650793650791</v>
      </c>
    </row>
    <row r="204" spans="1:16" ht="21.75" customHeight="1">
      <c r="A204" s="230" t="s">
        <v>117</v>
      </c>
      <c r="B204" s="230"/>
      <c r="C204" s="53">
        <f>C57</f>
        <v>39</v>
      </c>
      <c r="D204" s="53">
        <f t="shared" ref="D204:P204" si="144">D57</f>
        <v>1</v>
      </c>
      <c r="E204" s="53">
        <f t="shared" si="144"/>
        <v>4</v>
      </c>
      <c r="F204" s="53">
        <f t="shared" si="144"/>
        <v>9</v>
      </c>
      <c r="G204" s="53">
        <f t="shared" si="144"/>
        <v>12</v>
      </c>
      <c r="H204" s="53">
        <f t="shared" si="144"/>
        <v>8</v>
      </c>
      <c r="I204" s="53">
        <f t="shared" si="144"/>
        <v>5</v>
      </c>
      <c r="J204" s="53">
        <f t="shared" si="144"/>
        <v>0</v>
      </c>
      <c r="K204" s="53">
        <f t="shared" si="144"/>
        <v>0</v>
      </c>
      <c r="L204" s="53">
        <f t="shared" si="144"/>
        <v>0</v>
      </c>
      <c r="M204" s="53">
        <f t="shared" si="144"/>
        <v>1</v>
      </c>
      <c r="N204" s="28">
        <f t="shared" si="144"/>
        <v>2.5641025641025639</v>
      </c>
      <c r="O204" s="53">
        <f t="shared" si="144"/>
        <v>34</v>
      </c>
      <c r="P204" s="53">
        <f t="shared" si="144"/>
        <v>87.179487179487182</v>
      </c>
    </row>
    <row r="205" spans="1:16" ht="18.600000000000001" customHeight="1">
      <c r="A205" s="228" t="s">
        <v>118</v>
      </c>
      <c r="B205" s="229"/>
      <c r="C205" s="53">
        <f t="shared" si="139"/>
        <v>17</v>
      </c>
      <c r="D205" s="25">
        <f>D63</f>
        <v>0</v>
      </c>
      <c r="E205" s="25">
        <f t="shared" ref="E205:L205" si="145">E63</f>
        <v>0</v>
      </c>
      <c r="F205" s="25">
        <f t="shared" si="145"/>
        <v>0</v>
      </c>
      <c r="G205" s="25">
        <f t="shared" si="145"/>
        <v>0</v>
      </c>
      <c r="H205" s="25">
        <f t="shared" si="145"/>
        <v>1</v>
      </c>
      <c r="I205" s="25">
        <f t="shared" si="145"/>
        <v>0</v>
      </c>
      <c r="J205" s="25">
        <f t="shared" si="145"/>
        <v>6</v>
      </c>
      <c r="K205" s="25">
        <f t="shared" si="145"/>
        <v>2</v>
      </c>
      <c r="L205" s="25">
        <f t="shared" si="145"/>
        <v>8</v>
      </c>
      <c r="M205" s="25">
        <f t="shared" ref="C205:P205" si="146">M63</f>
        <v>1</v>
      </c>
      <c r="N205" s="26">
        <f t="shared" si="146"/>
        <v>5.8823529411764701</v>
      </c>
      <c r="O205" s="25">
        <f t="shared" si="146"/>
        <v>9</v>
      </c>
      <c r="P205" s="26">
        <f t="shared" si="146"/>
        <v>52.941176470588239</v>
      </c>
    </row>
    <row r="206" spans="1:16" ht="18.600000000000001" customHeight="1">
      <c r="A206" s="227" t="s">
        <v>119</v>
      </c>
      <c r="B206" s="227"/>
      <c r="C206" s="53">
        <f t="shared" si="139"/>
        <v>72</v>
      </c>
      <c r="D206" s="25">
        <f>D72</f>
        <v>1</v>
      </c>
      <c r="E206" s="25">
        <f t="shared" ref="E206:L206" si="147">E72</f>
        <v>8</v>
      </c>
      <c r="F206" s="25">
        <f t="shared" si="147"/>
        <v>8</v>
      </c>
      <c r="G206" s="25">
        <f t="shared" si="147"/>
        <v>6</v>
      </c>
      <c r="H206" s="25">
        <f t="shared" si="147"/>
        <v>11</v>
      </c>
      <c r="I206" s="25">
        <f t="shared" si="147"/>
        <v>10</v>
      </c>
      <c r="J206" s="25">
        <f t="shared" si="147"/>
        <v>15</v>
      </c>
      <c r="K206" s="25">
        <f t="shared" si="147"/>
        <v>8</v>
      </c>
      <c r="L206" s="25">
        <f t="shared" si="147"/>
        <v>5</v>
      </c>
      <c r="M206" s="25">
        <f t="shared" ref="C206:P206" si="148">M72</f>
        <v>44</v>
      </c>
      <c r="N206" s="26">
        <f t="shared" si="148"/>
        <v>61.111111111111114</v>
      </c>
      <c r="O206" s="25">
        <f t="shared" si="148"/>
        <v>67</v>
      </c>
      <c r="P206" s="26">
        <f t="shared" si="148"/>
        <v>93.055555555555557</v>
      </c>
    </row>
    <row r="207" spans="1:16" ht="18.600000000000001" customHeight="1">
      <c r="A207" s="227" t="s">
        <v>120</v>
      </c>
      <c r="B207" s="227"/>
      <c r="C207" s="53">
        <f t="shared" si="139"/>
        <v>78</v>
      </c>
      <c r="D207" s="25">
        <f>D83</f>
        <v>0</v>
      </c>
      <c r="E207" s="25">
        <f t="shared" ref="E207:L207" si="149">E83</f>
        <v>4</v>
      </c>
      <c r="F207" s="25">
        <f t="shared" si="149"/>
        <v>4</v>
      </c>
      <c r="G207" s="25">
        <f t="shared" si="149"/>
        <v>4</v>
      </c>
      <c r="H207" s="25">
        <f t="shared" si="149"/>
        <v>5</v>
      </c>
      <c r="I207" s="25">
        <f t="shared" si="149"/>
        <v>12</v>
      </c>
      <c r="J207" s="25">
        <f t="shared" si="149"/>
        <v>17</v>
      </c>
      <c r="K207" s="25">
        <f t="shared" si="149"/>
        <v>11</v>
      </c>
      <c r="L207" s="25">
        <f t="shared" si="149"/>
        <v>21</v>
      </c>
      <c r="M207" s="25">
        <f t="shared" ref="C207:P207" si="150">M83</f>
        <v>29</v>
      </c>
      <c r="N207" s="26">
        <f t="shared" si="150"/>
        <v>37.179487179487182</v>
      </c>
      <c r="O207" s="25">
        <f t="shared" si="150"/>
        <v>57</v>
      </c>
      <c r="P207" s="26">
        <f t="shared" si="150"/>
        <v>73.076923076923066</v>
      </c>
    </row>
    <row r="208" spans="1:16" ht="18.600000000000001" customHeight="1">
      <c r="A208" s="227" t="s">
        <v>121</v>
      </c>
      <c r="B208" s="227"/>
      <c r="C208" s="53">
        <f t="shared" si="139"/>
        <v>77</v>
      </c>
      <c r="D208" s="25">
        <f>D92</f>
        <v>0</v>
      </c>
      <c r="E208" s="25">
        <f t="shared" ref="E208:L208" si="151">E92</f>
        <v>1</v>
      </c>
      <c r="F208" s="25">
        <f t="shared" si="151"/>
        <v>7</v>
      </c>
      <c r="G208" s="25">
        <f t="shared" si="151"/>
        <v>9</v>
      </c>
      <c r="H208" s="25">
        <f t="shared" si="151"/>
        <v>12</v>
      </c>
      <c r="I208" s="25">
        <f t="shared" si="151"/>
        <v>12</v>
      </c>
      <c r="J208" s="25">
        <f t="shared" si="151"/>
        <v>17</v>
      </c>
      <c r="K208" s="25">
        <f t="shared" si="151"/>
        <v>14</v>
      </c>
      <c r="L208" s="25">
        <f t="shared" si="151"/>
        <v>5</v>
      </c>
      <c r="M208" s="25">
        <f t="shared" ref="C208:P208" si="152">M92</f>
        <v>41</v>
      </c>
      <c r="N208" s="26">
        <f t="shared" si="152"/>
        <v>53.246753246753244</v>
      </c>
      <c r="O208" s="25">
        <f t="shared" si="152"/>
        <v>72</v>
      </c>
      <c r="P208" s="26">
        <f t="shared" si="152"/>
        <v>93.506493506493499</v>
      </c>
    </row>
    <row r="209" spans="1:16" ht="18.600000000000001" customHeight="1">
      <c r="A209" s="227" t="s">
        <v>122</v>
      </c>
      <c r="B209" s="227"/>
      <c r="C209" s="53">
        <f t="shared" si="139"/>
        <v>39</v>
      </c>
      <c r="D209" s="25">
        <f>D99</f>
        <v>0</v>
      </c>
      <c r="E209" s="25">
        <f t="shared" ref="E209:L209" si="153">E99</f>
        <v>0</v>
      </c>
      <c r="F209" s="25">
        <f t="shared" si="153"/>
        <v>0</v>
      </c>
      <c r="G209" s="25">
        <f t="shared" si="153"/>
        <v>0</v>
      </c>
      <c r="H209" s="25">
        <f t="shared" si="153"/>
        <v>1</v>
      </c>
      <c r="I209" s="25">
        <f t="shared" si="153"/>
        <v>1</v>
      </c>
      <c r="J209" s="25">
        <f t="shared" si="153"/>
        <v>3</v>
      </c>
      <c r="K209" s="25">
        <f t="shared" si="153"/>
        <v>11</v>
      </c>
      <c r="L209" s="25">
        <f t="shared" si="153"/>
        <v>23</v>
      </c>
      <c r="M209" s="25">
        <f t="shared" ref="C209:P209" si="154">M99</f>
        <v>2</v>
      </c>
      <c r="N209" s="26">
        <f t="shared" si="154"/>
        <v>5.1282051282051277</v>
      </c>
      <c r="O209" s="25">
        <f t="shared" si="154"/>
        <v>16</v>
      </c>
      <c r="P209" s="26">
        <f t="shared" si="154"/>
        <v>41.025641025641022</v>
      </c>
    </row>
    <row r="210" spans="1:16" ht="18.600000000000001" customHeight="1">
      <c r="A210" s="227" t="s">
        <v>123</v>
      </c>
      <c r="B210" s="227"/>
      <c r="C210" s="53">
        <f t="shared" si="139"/>
        <v>64</v>
      </c>
      <c r="D210" s="25">
        <f>D107</f>
        <v>0</v>
      </c>
      <c r="E210" s="25">
        <f t="shared" ref="E210:L210" si="155">E107</f>
        <v>0</v>
      </c>
      <c r="F210" s="25">
        <f t="shared" si="155"/>
        <v>4</v>
      </c>
      <c r="G210" s="25">
        <f t="shared" si="155"/>
        <v>2</v>
      </c>
      <c r="H210" s="25">
        <f t="shared" si="155"/>
        <v>1</v>
      </c>
      <c r="I210" s="25">
        <f t="shared" si="155"/>
        <v>5</v>
      </c>
      <c r="J210" s="25">
        <f t="shared" si="155"/>
        <v>13</v>
      </c>
      <c r="K210" s="25">
        <f t="shared" si="155"/>
        <v>20</v>
      </c>
      <c r="L210" s="25">
        <f t="shared" si="155"/>
        <v>19</v>
      </c>
      <c r="M210" s="25">
        <f t="shared" ref="C210:P210" si="156">M107</f>
        <v>12</v>
      </c>
      <c r="N210" s="26">
        <f t="shared" si="156"/>
        <v>18.75</v>
      </c>
      <c r="O210" s="25">
        <f t="shared" si="156"/>
        <v>45</v>
      </c>
      <c r="P210" s="26">
        <f t="shared" si="156"/>
        <v>70.3125</v>
      </c>
    </row>
    <row r="211" spans="1:16" ht="18.600000000000001" customHeight="1">
      <c r="A211" s="227" t="s">
        <v>124</v>
      </c>
      <c r="B211" s="227"/>
      <c r="C211" s="53">
        <f t="shared" si="139"/>
        <v>165</v>
      </c>
      <c r="D211" s="25">
        <f>D120</f>
        <v>13</v>
      </c>
      <c r="E211" s="25">
        <f t="shared" ref="E211:L211" si="157">E120</f>
        <v>19</v>
      </c>
      <c r="F211" s="25">
        <f t="shared" si="157"/>
        <v>15</v>
      </c>
      <c r="G211" s="25">
        <f t="shared" si="157"/>
        <v>17</v>
      </c>
      <c r="H211" s="25">
        <f t="shared" si="157"/>
        <v>17</v>
      </c>
      <c r="I211" s="25">
        <f t="shared" si="157"/>
        <v>15</v>
      </c>
      <c r="J211" s="25">
        <f t="shared" si="157"/>
        <v>20</v>
      </c>
      <c r="K211" s="25">
        <f t="shared" si="157"/>
        <v>25</v>
      </c>
      <c r="L211" s="25">
        <f t="shared" si="157"/>
        <v>24</v>
      </c>
      <c r="M211" s="25">
        <f t="shared" ref="C211:P211" si="158">M120</f>
        <v>96</v>
      </c>
      <c r="N211" s="26">
        <f t="shared" si="158"/>
        <v>58.18181818181818</v>
      </c>
      <c r="O211" s="25">
        <f t="shared" si="158"/>
        <v>141</v>
      </c>
      <c r="P211" s="26">
        <f t="shared" si="158"/>
        <v>85.454545454545453</v>
      </c>
    </row>
    <row r="212" spans="1:16" ht="18.600000000000001" customHeight="1">
      <c r="A212" s="227" t="s">
        <v>125</v>
      </c>
      <c r="B212" s="227"/>
      <c r="C212" s="53">
        <f t="shared" si="139"/>
        <v>23</v>
      </c>
      <c r="D212" s="53">
        <f>D127</f>
        <v>0</v>
      </c>
      <c r="E212" s="53">
        <f t="shared" ref="E212:L212" si="159">E127</f>
        <v>0</v>
      </c>
      <c r="F212" s="53">
        <f t="shared" si="159"/>
        <v>1</v>
      </c>
      <c r="G212" s="53">
        <f t="shared" si="159"/>
        <v>1</v>
      </c>
      <c r="H212" s="53">
        <f t="shared" si="159"/>
        <v>2</v>
      </c>
      <c r="I212" s="53">
        <f t="shared" si="159"/>
        <v>1</v>
      </c>
      <c r="J212" s="53">
        <f t="shared" si="159"/>
        <v>4</v>
      </c>
      <c r="K212" s="53">
        <f t="shared" si="159"/>
        <v>7</v>
      </c>
      <c r="L212" s="53">
        <f t="shared" si="159"/>
        <v>7</v>
      </c>
      <c r="M212" s="53">
        <f t="shared" ref="D212:P212" si="160">M127</f>
        <v>5</v>
      </c>
      <c r="N212" s="28">
        <f t="shared" si="160"/>
        <v>21.739130434782609</v>
      </c>
      <c r="O212" s="53">
        <f t="shared" si="160"/>
        <v>16</v>
      </c>
      <c r="P212" s="28">
        <f t="shared" si="160"/>
        <v>69.565217391304344</v>
      </c>
    </row>
    <row r="213" spans="1:16" ht="18.600000000000001" customHeight="1">
      <c r="A213" s="228" t="s">
        <v>126</v>
      </c>
      <c r="B213" s="229"/>
      <c r="C213" s="53">
        <f t="shared" si="139"/>
        <v>11</v>
      </c>
      <c r="D213" s="53">
        <f>D134</f>
        <v>0</v>
      </c>
      <c r="E213" s="53">
        <f t="shared" ref="E213:L213" si="161">E134</f>
        <v>1</v>
      </c>
      <c r="F213" s="53">
        <f t="shared" si="161"/>
        <v>0</v>
      </c>
      <c r="G213" s="53">
        <f t="shared" si="161"/>
        <v>2</v>
      </c>
      <c r="H213" s="53">
        <f t="shared" si="161"/>
        <v>1</v>
      </c>
      <c r="I213" s="53">
        <f t="shared" si="161"/>
        <v>3</v>
      </c>
      <c r="J213" s="53">
        <f t="shared" si="161"/>
        <v>2</v>
      </c>
      <c r="K213" s="53">
        <f t="shared" si="161"/>
        <v>1</v>
      </c>
      <c r="L213" s="53">
        <f t="shared" si="161"/>
        <v>1</v>
      </c>
      <c r="M213" s="53">
        <f t="shared" ref="C213:P213" si="162">M134</f>
        <v>7</v>
      </c>
      <c r="N213" s="28">
        <f t="shared" si="162"/>
        <v>63.636363636363633</v>
      </c>
      <c r="O213" s="53">
        <f t="shared" si="162"/>
        <v>10</v>
      </c>
      <c r="P213" s="28">
        <f t="shared" si="162"/>
        <v>90.909090909090907</v>
      </c>
    </row>
    <row r="214" spans="1:16" ht="18.600000000000001" customHeight="1">
      <c r="A214" s="228" t="s">
        <v>127</v>
      </c>
      <c r="B214" s="229"/>
      <c r="C214" s="53">
        <f t="shared" si="139"/>
        <v>29</v>
      </c>
      <c r="D214" s="53">
        <f>D155</f>
        <v>0</v>
      </c>
      <c r="E214" s="53">
        <f t="shared" ref="E214:L214" si="163">E155</f>
        <v>1</v>
      </c>
      <c r="F214" s="53">
        <f t="shared" si="163"/>
        <v>6</v>
      </c>
      <c r="G214" s="53">
        <f t="shared" si="163"/>
        <v>6</v>
      </c>
      <c r="H214" s="53">
        <f t="shared" si="163"/>
        <v>6</v>
      </c>
      <c r="I214" s="53">
        <f t="shared" si="163"/>
        <v>4</v>
      </c>
      <c r="J214" s="53">
        <f t="shared" si="163"/>
        <v>5</v>
      </c>
      <c r="K214" s="53">
        <f t="shared" si="163"/>
        <v>1</v>
      </c>
      <c r="L214" s="53">
        <f t="shared" si="163"/>
        <v>0</v>
      </c>
      <c r="M214" s="53">
        <f t="shared" ref="C214:P214" si="164">M155</f>
        <v>23</v>
      </c>
      <c r="N214" s="28">
        <f t="shared" si="164"/>
        <v>79.310344827586206</v>
      </c>
      <c r="O214" s="53">
        <f t="shared" si="164"/>
        <v>29</v>
      </c>
      <c r="P214" s="28">
        <f t="shared" si="164"/>
        <v>100</v>
      </c>
    </row>
    <row r="215" spans="1:16" ht="18.600000000000001" customHeight="1">
      <c r="A215" s="227" t="s">
        <v>128</v>
      </c>
      <c r="B215" s="227"/>
      <c r="C215" s="53">
        <f t="shared" si="139"/>
        <v>73</v>
      </c>
      <c r="D215" s="53">
        <f>D148</f>
        <v>0</v>
      </c>
      <c r="E215" s="53">
        <f t="shared" ref="E215:L215" si="165">E148</f>
        <v>0</v>
      </c>
      <c r="F215" s="53">
        <f t="shared" si="165"/>
        <v>0</v>
      </c>
      <c r="G215" s="53">
        <f t="shared" si="165"/>
        <v>0</v>
      </c>
      <c r="H215" s="53">
        <f t="shared" si="165"/>
        <v>0</v>
      </c>
      <c r="I215" s="53">
        <f t="shared" si="165"/>
        <v>2</v>
      </c>
      <c r="J215" s="53">
        <f t="shared" si="165"/>
        <v>9</v>
      </c>
      <c r="K215" s="53">
        <f t="shared" si="165"/>
        <v>19</v>
      </c>
      <c r="L215" s="53">
        <f t="shared" si="165"/>
        <v>43</v>
      </c>
      <c r="M215" s="53">
        <f t="shared" ref="C215:P215" si="166">M148</f>
        <v>2</v>
      </c>
      <c r="N215" s="28">
        <f t="shared" si="166"/>
        <v>2.7397260273972601</v>
      </c>
      <c r="O215" s="54">
        <f t="shared" si="166"/>
        <v>30</v>
      </c>
      <c r="P215" s="104">
        <f t="shared" si="166"/>
        <v>41.095890410958901</v>
      </c>
    </row>
    <row r="216" spans="1:16" ht="18.600000000000001" customHeight="1">
      <c r="A216" s="227" t="s">
        <v>129</v>
      </c>
      <c r="B216" s="227"/>
      <c r="C216" s="53">
        <f t="shared" si="139"/>
        <v>100</v>
      </c>
      <c r="D216" s="25">
        <f>D166</f>
        <v>2</v>
      </c>
      <c r="E216" s="25">
        <f t="shared" ref="E216:L216" si="167">E166</f>
        <v>9</v>
      </c>
      <c r="F216" s="25">
        <f t="shared" si="167"/>
        <v>9</v>
      </c>
      <c r="G216" s="25">
        <f t="shared" si="167"/>
        <v>10</v>
      </c>
      <c r="H216" s="25">
        <f t="shared" si="167"/>
        <v>19</v>
      </c>
      <c r="I216" s="25">
        <f t="shared" si="167"/>
        <v>20</v>
      </c>
      <c r="J216" s="25">
        <f t="shared" si="167"/>
        <v>21</v>
      </c>
      <c r="K216" s="25">
        <f t="shared" si="167"/>
        <v>5</v>
      </c>
      <c r="L216" s="25">
        <f t="shared" si="167"/>
        <v>5</v>
      </c>
      <c r="M216" s="25">
        <f t="shared" ref="C216:P216" si="168">M166</f>
        <v>69</v>
      </c>
      <c r="N216" s="26">
        <f t="shared" si="168"/>
        <v>69</v>
      </c>
      <c r="O216" s="53">
        <f t="shared" si="168"/>
        <v>95</v>
      </c>
      <c r="P216" s="26">
        <f t="shared" si="168"/>
        <v>95</v>
      </c>
    </row>
    <row r="217" spans="1:16" ht="18.600000000000001" customHeight="1">
      <c r="A217" s="227" t="s">
        <v>130</v>
      </c>
      <c r="B217" s="227"/>
      <c r="C217" s="53">
        <f t="shared" si="139"/>
        <v>15</v>
      </c>
      <c r="D217" s="25">
        <f>D181</f>
        <v>0</v>
      </c>
      <c r="E217" s="25">
        <f t="shared" ref="E217:L217" si="169">E181</f>
        <v>0</v>
      </c>
      <c r="F217" s="25">
        <f t="shared" si="169"/>
        <v>0</v>
      </c>
      <c r="G217" s="25">
        <f t="shared" si="169"/>
        <v>2</v>
      </c>
      <c r="H217" s="25">
        <f t="shared" si="169"/>
        <v>0</v>
      </c>
      <c r="I217" s="25">
        <f t="shared" si="169"/>
        <v>2</v>
      </c>
      <c r="J217" s="25">
        <f t="shared" si="169"/>
        <v>7</v>
      </c>
      <c r="K217" s="25">
        <f t="shared" si="169"/>
        <v>2</v>
      </c>
      <c r="L217" s="25">
        <f t="shared" si="169"/>
        <v>2</v>
      </c>
      <c r="M217" s="25">
        <f t="shared" ref="C217:P217" si="170">M181</f>
        <v>4</v>
      </c>
      <c r="N217" s="26">
        <f t="shared" si="170"/>
        <v>26.666666666666668</v>
      </c>
      <c r="O217" s="53">
        <f t="shared" si="170"/>
        <v>13</v>
      </c>
      <c r="P217" s="26">
        <f t="shared" si="170"/>
        <v>86.666666666666671</v>
      </c>
    </row>
    <row r="218" spans="1:16" ht="18.600000000000001" customHeight="1">
      <c r="A218" s="228" t="s">
        <v>131</v>
      </c>
      <c r="B218" s="229"/>
      <c r="C218" s="53">
        <f t="shared" si="139"/>
        <v>5</v>
      </c>
      <c r="D218" s="25">
        <f>D173</f>
        <v>0</v>
      </c>
      <c r="E218" s="25">
        <f t="shared" ref="E218:L218" si="171">E173</f>
        <v>0</v>
      </c>
      <c r="F218" s="25">
        <f t="shared" si="171"/>
        <v>0</v>
      </c>
      <c r="G218" s="25">
        <f t="shared" si="171"/>
        <v>0</v>
      </c>
      <c r="H218" s="25">
        <f t="shared" si="171"/>
        <v>0</v>
      </c>
      <c r="I218" s="25">
        <f t="shared" si="171"/>
        <v>2</v>
      </c>
      <c r="J218" s="25">
        <f t="shared" si="171"/>
        <v>1</v>
      </c>
      <c r="K218" s="25">
        <f t="shared" si="171"/>
        <v>2</v>
      </c>
      <c r="L218" s="25">
        <f t="shared" si="171"/>
        <v>0</v>
      </c>
      <c r="M218" s="25">
        <f t="shared" ref="C218:P218" si="172">M173</f>
        <v>2</v>
      </c>
      <c r="N218" s="26">
        <f t="shared" si="172"/>
        <v>40</v>
      </c>
      <c r="O218" s="53">
        <f t="shared" si="172"/>
        <v>5</v>
      </c>
      <c r="P218" s="26">
        <f t="shared" si="172"/>
        <v>100</v>
      </c>
    </row>
    <row r="219" spans="1:16" ht="18.600000000000001" customHeight="1">
      <c r="A219" s="228" t="s">
        <v>132</v>
      </c>
      <c r="B219" s="229"/>
      <c r="C219" s="53">
        <f t="shared" si="139"/>
        <v>39</v>
      </c>
      <c r="D219" s="25">
        <f>D19</f>
        <v>0</v>
      </c>
      <c r="E219" s="25">
        <f t="shared" ref="E219:L219" si="173">E19</f>
        <v>0</v>
      </c>
      <c r="F219" s="25">
        <f t="shared" si="173"/>
        <v>0</v>
      </c>
      <c r="G219" s="25">
        <f t="shared" si="173"/>
        <v>3</v>
      </c>
      <c r="H219" s="25">
        <f t="shared" si="173"/>
        <v>3</v>
      </c>
      <c r="I219" s="25">
        <f t="shared" si="173"/>
        <v>4</v>
      </c>
      <c r="J219" s="25">
        <f t="shared" si="173"/>
        <v>6</v>
      </c>
      <c r="K219" s="25">
        <f t="shared" si="173"/>
        <v>14</v>
      </c>
      <c r="L219" s="25">
        <f t="shared" si="173"/>
        <v>9</v>
      </c>
      <c r="M219" s="25">
        <f t="shared" ref="C219:P219" si="174">M19</f>
        <v>10</v>
      </c>
      <c r="N219" s="26">
        <f t="shared" si="174"/>
        <v>25.641025641025639</v>
      </c>
      <c r="O219" s="53">
        <f t="shared" si="174"/>
        <v>30</v>
      </c>
      <c r="P219" s="26">
        <f t="shared" si="174"/>
        <v>76.923076923076934</v>
      </c>
    </row>
    <row r="220" spans="1:16" ht="18.600000000000001" customHeight="1">
      <c r="A220" s="228" t="s">
        <v>40</v>
      </c>
      <c r="B220" s="229"/>
      <c r="C220" s="53">
        <f t="shared" si="139"/>
        <v>9</v>
      </c>
      <c r="D220" s="25">
        <f>D195</f>
        <v>0</v>
      </c>
      <c r="E220" s="25">
        <f t="shared" ref="E220:L220" si="175">E195</f>
        <v>0</v>
      </c>
      <c r="F220" s="25">
        <f t="shared" si="175"/>
        <v>0</v>
      </c>
      <c r="G220" s="25">
        <f t="shared" si="175"/>
        <v>1</v>
      </c>
      <c r="H220" s="25">
        <f t="shared" si="175"/>
        <v>0</v>
      </c>
      <c r="I220" s="25">
        <f t="shared" si="175"/>
        <v>2</v>
      </c>
      <c r="J220" s="25">
        <f t="shared" si="175"/>
        <v>2</v>
      </c>
      <c r="K220" s="25">
        <f t="shared" si="175"/>
        <v>0</v>
      </c>
      <c r="L220" s="25">
        <f t="shared" si="175"/>
        <v>4</v>
      </c>
      <c r="M220" s="25">
        <f t="shared" ref="C220:P221" si="176">M195</f>
        <v>3</v>
      </c>
      <c r="N220" s="26">
        <f t="shared" si="176"/>
        <v>33.333333333333329</v>
      </c>
      <c r="O220" s="53">
        <f t="shared" si="176"/>
        <v>5</v>
      </c>
      <c r="P220" s="26">
        <f t="shared" si="176"/>
        <v>55.555555555555557</v>
      </c>
    </row>
    <row r="221" spans="1:16" ht="18.600000000000001" customHeight="1">
      <c r="A221" s="227" t="s">
        <v>133</v>
      </c>
      <c r="B221" s="227"/>
      <c r="C221" s="53">
        <f t="shared" si="139"/>
        <v>20</v>
      </c>
      <c r="D221" s="25">
        <f>D189</f>
        <v>0</v>
      </c>
      <c r="E221" s="25">
        <f t="shared" ref="E221:L221" si="177">E189</f>
        <v>0</v>
      </c>
      <c r="F221" s="25">
        <f t="shared" si="177"/>
        <v>0</v>
      </c>
      <c r="G221" s="25">
        <f t="shared" si="177"/>
        <v>0</v>
      </c>
      <c r="H221" s="25">
        <f t="shared" si="177"/>
        <v>1</v>
      </c>
      <c r="I221" s="25">
        <f t="shared" si="177"/>
        <v>2</v>
      </c>
      <c r="J221" s="25">
        <f t="shared" si="177"/>
        <v>2</v>
      </c>
      <c r="K221" s="25">
        <f t="shared" si="177"/>
        <v>4</v>
      </c>
      <c r="L221" s="25">
        <f t="shared" si="177"/>
        <v>11</v>
      </c>
      <c r="M221" s="25">
        <f t="shared" ref="C221:P221" si="178">M189</f>
        <v>3</v>
      </c>
      <c r="N221" s="26">
        <f t="shared" si="176"/>
        <v>0</v>
      </c>
      <c r="O221" s="25">
        <f t="shared" si="178"/>
        <v>9</v>
      </c>
      <c r="P221" s="26">
        <f t="shared" si="176"/>
        <v>0</v>
      </c>
    </row>
    <row r="222" spans="1:16" ht="20.100000000000001" customHeight="1">
      <c r="B222" s="147"/>
      <c r="C222" s="147"/>
      <c r="D222" s="147"/>
      <c r="E222" s="147"/>
      <c r="F222" s="147"/>
      <c r="G222" s="147"/>
      <c r="H222" s="147"/>
      <c r="I222" s="147"/>
      <c r="J222" s="147"/>
      <c r="K222" s="147"/>
      <c r="L222" s="231" t="s">
        <v>134</v>
      </c>
      <c r="M222" s="232"/>
      <c r="N222" s="77">
        <f>AVERAGE(N201:N221)</f>
        <v>37.824401958182357</v>
      </c>
      <c r="O222" s="19"/>
      <c r="P222" s="77">
        <f>AVERAGE(P201:P221)</f>
        <v>73.940878124595613</v>
      </c>
    </row>
    <row r="223" spans="1:16" ht="9.75" customHeight="1">
      <c r="L223" s="20"/>
      <c r="N223" s="21"/>
      <c r="O223" s="21"/>
      <c r="P223" s="21"/>
    </row>
    <row r="224" spans="1:16" ht="36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6"/>
      <c r="O224" s="52"/>
      <c r="P224" s="114"/>
    </row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6.25" customHeight="1"/>
  </sheetData>
  <mergeCells count="67">
    <mergeCell ref="D102:E102"/>
    <mergeCell ref="F102:I102"/>
    <mergeCell ref="J102:K102"/>
    <mergeCell ref="L222:M222"/>
    <mergeCell ref="A200:B200"/>
    <mergeCell ref="A201:B201"/>
    <mergeCell ref="A202:B202"/>
    <mergeCell ref="A203:B203"/>
    <mergeCell ref="A214:B214"/>
    <mergeCell ref="A221:B221"/>
    <mergeCell ref="A210:B210"/>
    <mergeCell ref="A211:B211"/>
    <mergeCell ref="A212:B212"/>
    <mergeCell ref="A218:B218"/>
    <mergeCell ref="A219:B219"/>
    <mergeCell ref="A220:B220"/>
    <mergeCell ref="A205:B205"/>
    <mergeCell ref="A206:B206"/>
    <mergeCell ref="A207:B207"/>
    <mergeCell ref="J110:K110"/>
    <mergeCell ref="A215:B215"/>
    <mergeCell ref="D151:E151"/>
    <mergeCell ref="D110:E110"/>
    <mergeCell ref="F110:I110"/>
    <mergeCell ref="D143:E143"/>
    <mergeCell ref="F143:I143"/>
    <mergeCell ref="J143:K143"/>
    <mergeCell ref="D130:E130"/>
    <mergeCell ref="F151:I151"/>
    <mergeCell ref="J151:K151"/>
    <mergeCell ref="A204:B204"/>
    <mergeCell ref="A216:B216"/>
    <mergeCell ref="A217:B217"/>
    <mergeCell ref="A213:B213"/>
    <mergeCell ref="A208:B208"/>
    <mergeCell ref="A209:B209"/>
    <mergeCell ref="D2:E2"/>
    <mergeCell ref="F2:I2"/>
    <mergeCell ref="J2:K2"/>
    <mergeCell ref="J15:K15"/>
    <mergeCell ref="D42:E42"/>
    <mergeCell ref="F42:I42"/>
    <mergeCell ref="J42:K42"/>
    <mergeCell ref="D22:E22"/>
    <mergeCell ref="D15:E15"/>
    <mergeCell ref="D35:I35"/>
    <mergeCell ref="D86:E86"/>
    <mergeCell ref="D60:E60"/>
    <mergeCell ref="F60:I60"/>
    <mergeCell ref="F66:I66"/>
    <mergeCell ref="F77:I77"/>
    <mergeCell ref="D53:I53"/>
    <mergeCell ref="J199:K199"/>
    <mergeCell ref="J60:K60"/>
    <mergeCell ref="J66:K66"/>
    <mergeCell ref="J130:K130"/>
    <mergeCell ref="J86:K86"/>
    <mergeCell ref="F95:I95"/>
    <mergeCell ref="J95:K95"/>
    <mergeCell ref="J77:K77"/>
    <mergeCell ref="D77:E77"/>
    <mergeCell ref="F130:I130"/>
    <mergeCell ref="D199:E199"/>
    <mergeCell ref="F199:I199"/>
    <mergeCell ref="D66:E66"/>
    <mergeCell ref="F86:I86"/>
    <mergeCell ref="D95:E95"/>
  </mergeCells>
  <phoneticPr fontId="0" type="noConversion"/>
  <pageMargins left="0.21875" right="0.13541666666666699" top="0.7578125" bottom="0.28125" header="0.3046875" footer="0.25"/>
  <pageSetup paperSize="5" firstPageNumber="17" orientation="landscape" useFirstPageNumber="1" horizontalDpi="360" verticalDpi="360" r:id="rId1"/>
  <headerFooter scaleWithDoc="0" alignWithMargins="0">
    <oddHeader xml:space="preserve">&amp;C&amp;"Arial Narrow,Bold"&amp;12SEKOLAH MENENGAH PENGIRAN ANAK PUTERI HAJAH MASNA
YEAR 10 EXPRESS AND YEAR 11, ASSESSMENT 1 2025
</oddHeader>
    <oddFooter>&amp;L&amp;8Exam Dept SMPAPHM&amp;CYR10EXP AND YR11 QE 2024</oddFooter>
  </headerFooter>
  <rowBreaks count="1" manualBreakCount="1">
    <brk id="197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3"/>
  <sheetViews>
    <sheetView view="pageLayout" topLeftCell="L13" zoomScale="90" zoomScaleNormal="100" zoomScalePageLayoutView="90" workbookViewId="0">
      <selection activeCell="C24" sqref="C24"/>
    </sheetView>
  </sheetViews>
  <sheetFormatPr defaultColWidth="8.85546875" defaultRowHeight="12.75"/>
  <cols>
    <col min="1" max="1" width="17.42578125" bestFit="1" customWidth="1"/>
    <col min="2" max="2" width="8" customWidth="1"/>
    <col min="3" max="3" width="8.42578125" customWidth="1"/>
    <col min="16" max="16" width="15.85546875" customWidth="1"/>
  </cols>
  <sheetData>
    <row r="2" spans="1:3" ht="31.5">
      <c r="A2" s="57" t="s">
        <v>135</v>
      </c>
      <c r="B2" s="14" t="s">
        <v>18</v>
      </c>
      <c r="C2" s="14" t="s">
        <v>20</v>
      </c>
    </row>
    <row r="3" spans="1:3" ht="18">
      <c r="A3" s="87" t="s">
        <v>114</v>
      </c>
      <c r="B3" s="26">
        <f>'ANALYSIS BY SUBJECTS'!N201</f>
        <v>80</v>
      </c>
      <c r="C3" s="28">
        <f>'ANALYSIS BY SUBJECTS'!P201</f>
        <v>96.36363636363636</v>
      </c>
    </row>
    <row r="4" spans="1:3" ht="18">
      <c r="A4" s="87" t="s">
        <v>115</v>
      </c>
      <c r="B4" s="26">
        <f>'ANALYSIS BY SUBJECTS'!N202</f>
        <v>82.424242424242422</v>
      </c>
      <c r="C4" s="28">
        <f>'ANALYSIS BY SUBJECTS'!P202</f>
        <v>93.333333333333329</v>
      </c>
    </row>
    <row r="5" spans="1:3" ht="18">
      <c r="A5" s="198" t="s">
        <v>116</v>
      </c>
      <c r="B5" s="194">
        <f>'ANALYSIS BY SUBJECTS'!N203</f>
        <v>27.777777777777779</v>
      </c>
      <c r="C5" s="194">
        <f>'ANALYSIS BY SUBJECTS'!P203</f>
        <v>50.793650793650791</v>
      </c>
    </row>
    <row r="6" spans="1:3" ht="18">
      <c r="A6" s="196" t="str">
        <f>'ANALYSIS BY SUBJECTS'!A204</f>
        <v>Mathematics IGCSE (Core)</v>
      </c>
      <c r="B6" s="197">
        <f>'ANALYSIS BY SUBJECTS'!N204</f>
        <v>2.5641025641025639</v>
      </c>
      <c r="C6" s="197">
        <f>'ANALYSIS BY SUBJECTS'!P204</f>
        <v>87.179487179487182</v>
      </c>
    </row>
    <row r="7" spans="1:3" ht="18">
      <c r="A7" s="199" t="s">
        <v>118</v>
      </c>
      <c r="B7" s="195">
        <f>'ANALYSIS BY SUBJECTS'!N205</f>
        <v>5.8823529411764701</v>
      </c>
      <c r="C7" s="195">
        <f>'ANALYSIS BY SUBJECTS'!P205</f>
        <v>52.941176470588239</v>
      </c>
    </row>
    <row r="8" spans="1:3" ht="18">
      <c r="A8" s="87" t="s">
        <v>119</v>
      </c>
      <c r="B8" s="26">
        <f>'ANALYSIS BY SUBJECTS'!N206</f>
        <v>61.111111111111114</v>
      </c>
      <c r="C8" s="26">
        <f>'ANALYSIS BY SUBJECTS'!P206</f>
        <v>93.055555555555557</v>
      </c>
    </row>
    <row r="9" spans="1:3" ht="18">
      <c r="A9" s="87" t="s">
        <v>120</v>
      </c>
      <c r="B9" s="26">
        <f>'ANALYSIS BY SUBJECTS'!N207</f>
        <v>37.179487179487182</v>
      </c>
      <c r="C9" s="26">
        <f>'ANALYSIS BY SUBJECTS'!P207</f>
        <v>73.076923076923066</v>
      </c>
    </row>
    <row r="10" spans="1:3" ht="18">
      <c r="A10" s="87" t="s">
        <v>121</v>
      </c>
      <c r="B10" s="26">
        <f>'ANALYSIS BY SUBJECTS'!N208</f>
        <v>53.246753246753244</v>
      </c>
      <c r="C10" s="26">
        <f>'ANALYSIS BY SUBJECTS'!P208</f>
        <v>93.506493506493499</v>
      </c>
    </row>
    <row r="11" spans="1:3" ht="18">
      <c r="A11" s="87" t="s">
        <v>122</v>
      </c>
      <c r="B11" s="26">
        <f>'ANALYSIS BY SUBJECTS'!N209</f>
        <v>5.1282051282051277</v>
      </c>
      <c r="C11" s="26">
        <f>'ANALYSIS BY SUBJECTS'!P209</f>
        <v>41.025641025641022</v>
      </c>
    </row>
    <row r="12" spans="1:3" ht="18">
      <c r="A12" s="87" t="s">
        <v>123</v>
      </c>
      <c r="B12" s="26">
        <f>'ANALYSIS BY SUBJECTS'!N210</f>
        <v>18.75</v>
      </c>
      <c r="C12" s="26">
        <f>'ANALYSIS BY SUBJECTS'!P210</f>
        <v>70.3125</v>
      </c>
    </row>
    <row r="13" spans="1:3" ht="18">
      <c r="A13" s="87" t="s">
        <v>124</v>
      </c>
      <c r="B13" s="26">
        <f>'ANALYSIS BY SUBJECTS'!N211</f>
        <v>58.18181818181818</v>
      </c>
      <c r="C13" s="26">
        <f>'ANALYSIS BY SUBJECTS'!P211</f>
        <v>85.454545454545453</v>
      </c>
    </row>
    <row r="14" spans="1:3" ht="18">
      <c r="A14" s="87" t="s">
        <v>125</v>
      </c>
      <c r="B14" s="26">
        <f>'ANALYSIS BY SUBJECTS'!N212</f>
        <v>21.739130434782609</v>
      </c>
      <c r="C14" s="28">
        <f>'ANALYSIS BY SUBJECTS'!P212</f>
        <v>69.565217391304344</v>
      </c>
    </row>
    <row r="15" spans="1:3" ht="18">
      <c r="A15" s="87" t="s">
        <v>126</v>
      </c>
      <c r="B15" s="26">
        <f>'ANALYSIS BY SUBJECTS'!N213</f>
        <v>63.636363636363633</v>
      </c>
      <c r="C15" s="116">
        <f>'ANALYSIS BY SUBJECTS'!P213</f>
        <v>90.909090909090907</v>
      </c>
    </row>
    <row r="16" spans="1:3" ht="18">
      <c r="A16" s="87" t="s">
        <v>127</v>
      </c>
      <c r="B16" s="115">
        <f>'ANALYSIS BY SUBJECTS'!N214</f>
        <v>79.310344827586206</v>
      </c>
      <c r="C16" s="117">
        <f>'ANALYSIS BY SUBJECTS'!P214</f>
        <v>100</v>
      </c>
    </row>
    <row r="17" spans="1:3" ht="18">
      <c r="A17" s="87" t="s">
        <v>128</v>
      </c>
      <c r="B17" s="26">
        <f>'ANALYSIS BY SUBJECTS'!N215</f>
        <v>2.7397260273972601</v>
      </c>
      <c r="C17" s="104">
        <f>'ANALYSIS BY SUBJECTS'!P215</f>
        <v>41.095890410958901</v>
      </c>
    </row>
    <row r="18" spans="1:3" ht="18">
      <c r="A18" s="87" t="s">
        <v>129</v>
      </c>
      <c r="B18" s="26">
        <f>'ANALYSIS BY SUBJECTS'!N216</f>
        <v>69</v>
      </c>
      <c r="C18" s="26">
        <f>'ANALYSIS BY SUBJECTS'!P216</f>
        <v>95</v>
      </c>
    </row>
    <row r="19" spans="1:3" ht="18">
      <c r="A19" s="87" t="s">
        <v>130</v>
      </c>
      <c r="B19" s="26">
        <f>'ANALYSIS BY SUBJECTS'!N217</f>
        <v>26.666666666666668</v>
      </c>
      <c r="C19" s="26">
        <f>'ANALYSIS BY SUBJECTS'!P217</f>
        <v>86.666666666666671</v>
      </c>
    </row>
    <row r="20" spans="1:3" ht="18">
      <c r="A20" s="87" t="s">
        <v>131</v>
      </c>
      <c r="B20" s="26">
        <f>'ANALYSIS BY SUBJECTS'!N218</f>
        <v>40</v>
      </c>
      <c r="C20" s="26">
        <f>'ANALYSIS BY SUBJECTS'!P218</f>
        <v>100</v>
      </c>
    </row>
    <row r="21" spans="1:3" ht="18">
      <c r="A21" s="87" t="s">
        <v>132</v>
      </c>
      <c r="B21" s="26">
        <f>'ANALYSIS BY SUBJECTS'!N219</f>
        <v>25.641025641025639</v>
      </c>
      <c r="C21" s="26">
        <f>'ANALYSIS BY SUBJECTS'!P219</f>
        <v>76.923076923076934</v>
      </c>
    </row>
    <row r="22" spans="1:3" ht="18">
      <c r="A22" s="87" t="s">
        <v>40</v>
      </c>
      <c r="B22" s="26">
        <f>'ANALYSIS BY SUBJECTS'!N220</f>
        <v>33.333333333333329</v>
      </c>
      <c r="C22" s="26">
        <f>'ANALYSIS BY SUBJECTS'!P220</f>
        <v>55.555555555555557</v>
      </c>
    </row>
    <row r="23" spans="1:3" ht="18">
      <c r="A23" s="87" t="s">
        <v>133</v>
      </c>
      <c r="B23" s="26">
        <v>15</v>
      </c>
      <c r="C23" s="26">
        <v>45</v>
      </c>
    </row>
  </sheetData>
  <phoneticPr fontId="0" type="noConversion"/>
  <pageMargins left="0.48032407407407401" right="0.36400462962962998" top="1" bottom="1" header="0.5" footer="0.5"/>
  <pageSetup paperSize="5" scale="85" orientation="landscape" r:id="rId1"/>
  <headerFooter alignWithMargins="0">
    <oddHeader xml:space="preserve">&amp;CSEKOLAH MENENGAH PENGIRAN ANAK PUTERI HAJAH MASNA
YEAR 10 EXPRESS AND YEAR 11, ASSESSMENT 1 2025
</oddHeader>
    <oddFooter xml:space="preserve">&amp;LExam Dept SMPAPHM&amp;C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"/>
  <sheetViews>
    <sheetView view="pageLayout" zoomScale="80" zoomScaleNormal="100" zoomScalePageLayoutView="80" workbookViewId="0">
      <selection activeCell="B20" sqref="B20"/>
    </sheetView>
  </sheetViews>
  <sheetFormatPr defaultColWidth="8.85546875" defaultRowHeight="12.75"/>
  <cols>
    <col min="1" max="1" width="14.42578125" customWidth="1"/>
    <col min="2" max="2" width="9.7109375" customWidth="1"/>
  </cols>
  <sheetData>
    <row r="2" spans="1:2" ht="25.5">
      <c r="A2" s="48" t="s">
        <v>136</v>
      </c>
      <c r="B2" s="47" t="s">
        <v>137</v>
      </c>
    </row>
    <row r="3" spans="1:2">
      <c r="A3" s="141" t="s">
        <v>138</v>
      </c>
      <c r="B3" s="143"/>
    </row>
    <row r="4" spans="1:2">
      <c r="A4" s="141" t="s">
        <v>139</v>
      </c>
      <c r="B4" s="143"/>
    </row>
    <row r="5" spans="1:2">
      <c r="A5" s="141" t="s">
        <v>140</v>
      </c>
      <c r="B5" s="143"/>
    </row>
    <row r="6" spans="1:2">
      <c r="A6" s="141" t="s">
        <v>141</v>
      </c>
      <c r="B6" s="143"/>
    </row>
    <row r="7" spans="1:2">
      <c r="A7" s="141" t="s">
        <v>142</v>
      </c>
      <c r="B7" s="143"/>
    </row>
    <row r="8" spans="1:2">
      <c r="A8" s="141" t="s">
        <v>143</v>
      </c>
      <c r="B8" s="143"/>
    </row>
    <row r="9" spans="1:2">
      <c r="A9" s="141" t="s">
        <v>144</v>
      </c>
      <c r="B9" s="143"/>
    </row>
  </sheetData>
  <phoneticPr fontId="0" type="noConversion"/>
  <pageMargins left="0.75" right="0.55000000000000004" top="1" bottom="1" header="0.5" footer="0.5"/>
  <pageSetup orientation="landscape" r:id="rId1"/>
  <headerFooter alignWithMargins="0">
    <oddHeader>&amp;CSEKOLAH MENENGAH PENGIRAN ANAK PUTERI HAJAH MASNA
MID YEAR EXAMINATION 2016, YEAR 10</oddHeader>
    <oddFooter>&amp;LExam Dept SMPAPHM&amp;CY9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82"/>
  <sheetViews>
    <sheetView zoomScaleNormal="75" workbookViewId="0">
      <selection activeCell="C11" sqref="C11"/>
    </sheetView>
  </sheetViews>
  <sheetFormatPr defaultColWidth="8.85546875" defaultRowHeight="12.75"/>
  <cols>
    <col min="1" max="1" width="16.42578125" customWidth="1"/>
    <col min="2" max="2" width="13.42578125" customWidth="1"/>
    <col min="3" max="3" width="9" customWidth="1"/>
    <col min="4" max="12" width="6.140625" customWidth="1"/>
    <col min="13" max="16" width="7.85546875" customWidth="1"/>
  </cols>
  <sheetData>
    <row r="1" spans="1:16" ht="1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5">
      <c r="A2" s="40" t="s">
        <v>145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s="5" customFormat="1" ht="15.75">
      <c r="A3" s="40"/>
      <c r="B3" s="40"/>
      <c r="C3" s="41"/>
      <c r="D3" s="235" t="s">
        <v>109</v>
      </c>
      <c r="E3" s="236"/>
      <c r="F3" s="235" t="s">
        <v>110</v>
      </c>
      <c r="G3" s="237"/>
      <c r="H3" s="237"/>
      <c r="I3" s="236"/>
      <c r="J3" s="235" t="s">
        <v>111</v>
      </c>
      <c r="K3" s="236"/>
      <c r="L3" s="42" t="s">
        <v>4</v>
      </c>
      <c r="M3" s="40"/>
      <c r="N3" s="40"/>
      <c r="O3" s="40"/>
      <c r="P3" s="40"/>
    </row>
    <row r="4" spans="1:16" s="36" customFormat="1" ht="31.5">
      <c r="A4" s="165" t="s">
        <v>135</v>
      </c>
      <c r="B4" s="165" t="s">
        <v>6</v>
      </c>
      <c r="C4" s="165" t="s">
        <v>7</v>
      </c>
      <c r="D4" s="165">
        <v>1</v>
      </c>
      <c r="E4" s="165">
        <v>2</v>
      </c>
      <c r="F4" s="165">
        <v>3</v>
      </c>
      <c r="G4" s="165">
        <v>4</v>
      </c>
      <c r="H4" s="165">
        <v>5</v>
      </c>
      <c r="I4" s="165">
        <v>6</v>
      </c>
      <c r="J4" s="165">
        <v>7</v>
      </c>
      <c r="K4" s="165">
        <v>8</v>
      </c>
      <c r="L4" s="165">
        <v>9</v>
      </c>
      <c r="M4" s="43" t="s">
        <v>17</v>
      </c>
      <c r="N4" s="43" t="s">
        <v>18</v>
      </c>
      <c r="O4" s="43" t="s">
        <v>19</v>
      </c>
      <c r="P4" s="43" t="s">
        <v>20</v>
      </c>
    </row>
    <row r="5" spans="1:16" s="5" customFormat="1" ht="15">
      <c r="A5" s="44" t="s">
        <v>114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2" t="e">
        <f t="shared" ref="N5:N13" si="0">((M5/C5)*100)</f>
        <v>#DIV/0!</v>
      </c>
      <c r="O5" s="35">
        <f t="shared" ref="O5:O13" si="1">SUM(D5:K5)</f>
        <v>0</v>
      </c>
      <c r="P5" s="32" t="e">
        <f t="shared" ref="P5:P13" si="2">((O5/C5)*100)</f>
        <v>#DIV/0!</v>
      </c>
    </row>
    <row r="6" spans="1:16" ht="15">
      <c r="A6" s="44" t="s">
        <v>146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2" t="e">
        <f t="shared" si="0"/>
        <v>#DIV/0!</v>
      </c>
      <c r="O6" s="35">
        <f t="shared" si="1"/>
        <v>0</v>
      </c>
      <c r="P6" s="32" t="e">
        <f t="shared" si="2"/>
        <v>#DIV/0!</v>
      </c>
    </row>
    <row r="7" spans="1:16" ht="15">
      <c r="A7" s="44" t="s">
        <v>147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2" t="e">
        <f t="shared" si="0"/>
        <v>#DIV/0!</v>
      </c>
      <c r="O7" s="35">
        <f t="shared" si="1"/>
        <v>0</v>
      </c>
      <c r="P7" s="32" t="e">
        <f t="shared" si="2"/>
        <v>#DIV/0!</v>
      </c>
    </row>
    <row r="8" spans="1:16" ht="15">
      <c r="A8" s="44" t="s">
        <v>148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2" t="e">
        <f t="shared" si="0"/>
        <v>#DIV/0!</v>
      </c>
      <c r="O8" s="35">
        <f t="shared" si="1"/>
        <v>0</v>
      </c>
      <c r="P8" s="32" t="e">
        <f t="shared" si="2"/>
        <v>#DIV/0!</v>
      </c>
    </row>
    <row r="9" spans="1:16" ht="15">
      <c r="A9" s="44" t="s">
        <v>119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2" t="e">
        <f t="shared" si="0"/>
        <v>#DIV/0!</v>
      </c>
      <c r="O9" s="35">
        <f t="shared" si="1"/>
        <v>0</v>
      </c>
      <c r="P9" s="32" t="e">
        <f t="shared" si="2"/>
        <v>#DIV/0!</v>
      </c>
    </row>
    <row r="10" spans="1:16" ht="15">
      <c r="A10" s="44" t="s">
        <v>120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2" t="e">
        <f t="shared" si="0"/>
        <v>#DIV/0!</v>
      </c>
      <c r="O10" s="35">
        <f t="shared" si="1"/>
        <v>0</v>
      </c>
      <c r="P10" s="32" t="e">
        <f t="shared" si="2"/>
        <v>#DIV/0!</v>
      </c>
    </row>
    <row r="11" spans="1:16" ht="15">
      <c r="A11" s="44" t="s">
        <v>121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2" t="e">
        <f t="shared" si="0"/>
        <v>#DIV/0!</v>
      </c>
      <c r="O11" s="35">
        <f t="shared" si="1"/>
        <v>0</v>
      </c>
      <c r="P11" s="32" t="e">
        <f t="shared" si="2"/>
        <v>#DIV/0!</v>
      </c>
    </row>
    <row r="12" spans="1:16" ht="15">
      <c r="A12" s="44" t="s">
        <v>123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2" t="e">
        <f t="shared" si="0"/>
        <v>#DIV/0!</v>
      </c>
      <c r="O12" s="35">
        <f t="shared" si="1"/>
        <v>0</v>
      </c>
      <c r="P12" s="32" t="e">
        <f t="shared" si="2"/>
        <v>#DIV/0!</v>
      </c>
    </row>
    <row r="13" spans="1:16" ht="15">
      <c r="A13" s="45" t="s">
        <v>149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2" t="e">
        <f t="shared" si="0"/>
        <v>#DIV/0!</v>
      </c>
      <c r="O13" s="35">
        <f t="shared" si="1"/>
        <v>0</v>
      </c>
      <c r="P13" s="32" t="e">
        <f t="shared" si="2"/>
        <v>#DIV/0!</v>
      </c>
    </row>
    <row r="14" spans="1:16" ht="15.7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37" t="e">
        <f>AVERAGE(N5:N13)</f>
        <v>#DIV/0!</v>
      </c>
      <c r="O14" s="38"/>
      <c r="P14" s="37" t="e">
        <f>AVERAGE(P5:P13)</f>
        <v>#DIV/0!</v>
      </c>
    </row>
    <row r="15" spans="1:16" ht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16" ht="15">
      <c r="A16" s="40" t="s">
        <v>150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 s="5" customFormat="1" ht="15.75">
      <c r="A17" s="40"/>
      <c r="B17" s="40"/>
      <c r="C17" s="41"/>
      <c r="D17" s="235" t="s">
        <v>109</v>
      </c>
      <c r="E17" s="236"/>
      <c r="F17" s="235" t="s">
        <v>110</v>
      </c>
      <c r="G17" s="237"/>
      <c r="H17" s="237"/>
      <c r="I17" s="236"/>
      <c r="J17" s="235" t="s">
        <v>111</v>
      </c>
      <c r="K17" s="236"/>
      <c r="L17" s="42" t="s">
        <v>4</v>
      </c>
      <c r="M17" s="40"/>
      <c r="N17" s="40"/>
      <c r="O17" s="40"/>
      <c r="P17" s="40"/>
    </row>
    <row r="18" spans="1:16" s="36" customFormat="1" ht="31.5">
      <c r="A18" s="165" t="s">
        <v>135</v>
      </c>
      <c r="B18" s="165" t="s">
        <v>6</v>
      </c>
      <c r="C18" s="165" t="s">
        <v>7</v>
      </c>
      <c r="D18" s="165">
        <v>1</v>
      </c>
      <c r="E18" s="165">
        <v>2</v>
      </c>
      <c r="F18" s="165">
        <v>3</v>
      </c>
      <c r="G18" s="165">
        <v>4</v>
      </c>
      <c r="H18" s="165">
        <v>5</v>
      </c>
      <c r="I18" s="165">
        <v>6</v>
      </c>
      <c r="J18" s="165">
        <v>7</v>
      </c>
      <c r="K18" s="165">
        <v>8</v>
      </c>
      <c r="L18" s="165">
        <v>9</v>
      </c>
      <c r="M18" s="43" t="s">
        <v>17</v>
      </c>
      <c r="N18" s="43" t="s">
        <v>18</v>
      </c>
      <c r="O18" s="43" t="s">
        <v>19</v>
      </c>
      <c r="P18" s="43" t="s">
        <v>20</v>
      </c>
    </row>
    <row r="19" spans="1:16" ht="15">
      <c r="A19" s="44" t="s">
        <v>114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2" t="e">
        <f>((M19/C19)*100)</f>
        <v>#DIV/0!</v>
      </c>
      <c r="O19" s="35">
        <f>SUM(D19:K19)</f>
        <v>0</v>
      </c>
      <c r="P19" s="32" t="e">
        <f>((O19/C19)*100)</f>
        <v>#DIV/0!</v>
      </c>
    </row>
    <row r="20" spans="1:16" ht="15">
      <c r="A20" s="44" t="s">
        <v>146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2" t="e">
        <f>((M20/C20)*100)</f>
        <v>#DIV/0!</v>
      </c>
      <c r="O20" s="35">
        <f>SUM(D20:K20)</f>
        <v>0</v>
      </c>
      <c r="P20" s="32" t="e">
        <f>((O20/C20)*100)</f>
        <v>#DIV/0!</v>
      </c>
    </row>
    <row r="21" spans="1:16" ht="15">
      <c r="A21" s="44" t="s">
        <v>147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2" t="e">
        <f>((M21/C21)*100)</f>
        <v>#DIV/0!</v>
      </c>
      <c r="O21" s="35">
        <f>SUM(D21:K21)</f>
        <v>0</v>
      </c>
      <c r="P21" s="32" t="e">
        <f>((O21/C21)*100)</f>
        <v>#DIV/0!</v>
      </c>
    </row>
    <row r="22" spans="1:16" ht="15">
      <c r="A22" s="44" t="s">
        <v>119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2" t="e">
        <f t="shared" ref="N22:N28" si="3">((M22/C22)*100)</f>
        <v>#DIV/0!</v>
      </c>
      <c r="O22" s="35">
        <v>10</v>
      </c>
      <c r="P22" s="32" t="e">
        <f t="shared" ref="P22:P28" si="4">((O22/C22)*100)</f>
        <v>#DIV/0!</v>
      </c>
    </row>
    <row r="23" spans="1:16" ht="15">
      <c r="A23" s="44" t="s">
        <v>120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2" t="e">
        <f t="shared" si="3"/>
        <v>#DIV/0!</v>
      </c>
      <c r="O23" s="35">
        <v>10</v>
      </c>
      <c r="P23" s="32" t="e">
        <f t="shared" si="4"/>
        <v>#DIV/0!</v>
      </c>
    </row>
    <row r="24" spans="1:16" ht="15">
      <c r="A24" s="44" t="s">
        <v>121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2" t="e">
        <f t="shared" si="3"/>
        <v>#DIV/0!</v>
      </c>
      <c r="O24" s="35">
        <v>19</v>
      </c>
      <c r="P24" s="32" t="e">
        <f t="shared" si="4"/>
        <v>#DIV/0!</v>
      </c>
    </row>
    <row r="25" spans="1:16" ht="15">
      <c r="A25" s="44" t="s">
        <v>123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2" t="e">
        <f t="shared" si="3"/>
        <v>#DIV/0!</v>
      </c>
      <c r="O25" s="35">
        <v>19</v>
      </c>
      <c r="P25" s="32" t="e">
        <f t="shared" si="4"/>
        <v>#DIV/0!</v>
      </c>
    </row>
    <row r="26" spans="1:16" ht="15">
      <c r="A26" s="35" t="s">
        <v>127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2" t="e">
        <f t="shared" si="3"/>
        <v>#DIV/0!</v>
      </c>
      <c r="O26" s="35">
        <v>3</v>
      </c>
      <c r="P26" s="32" t="e">
        <f t="shared" si="4"/>
        <v>#DIV/0!</v>
      </c>
    </row>
    <row r="27" spans="1:16" ht="15">
      <c r="A27" s="45" t="s">
        <v>149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2" t="e">
        <f t="shared" si="3"/>
        <v>#DIV/0!</v>
      </c>
      <c r="O27" s="35">
        <v>2</v>
      </c>
      <c r="P27" s="32" t="e">
        <f t="shared" si="4"/>
        <v>#DIV/0!</v>
      </c>
    </row>
    <row r="28" spans="1:16" ht="15">
      <c r="A28" s="45" t="s">
        <v>151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2" t="e">
        <f t="shared" si="3"/>
        <v>#DIV/0!</v>
      </c>
      <c r="O28" s="35">
        <v>12</v>
      </c>
      <c r="P28" s="32" t="e">
        <f t="shared" si="4"/>
        <v>#DIV/0!</v>
      </c>
    </row>
    <row r="29" spans="1:16" ht="15.7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37" t="e">
        <f>AVERAGE(N19:N28)</f>
        <v>#DIV/0!</v>
      </c>
      <c r="O29" s="38"/>
      <c r="P29" s="37" t="e">
        <f>AVERAGE(P19:P28)</f>
        <v>#DIV/0!</v>
      </c>
    </row>
    <row r="30" spans="1:16" ht="1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6"/>
      <c r="O30" s="41"/>
      <c r="P30" s="46"/>
    </row>
    <row r="31" spans="1:16" ht="15">
      <c r="A31" s="40" t="s">
        <v>152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pans="1:16" s="5" customFormat="1" ht="15.75">
      <c r="A32" s="40"/>
      <c r="B32" s="40"/>
      <c r="C32" s="41"/>
      <c r="D32" s="235" t="s">
        <v>109</v>
      </c>
      <c r="E32" s="236"/>
      <c r="F32" s="235" t="s">
        <v>110</v>
      </c>
      <c r="G32" s="237"/>
      <c r="H32" s="237"/>
      <c r="I32" s="236"/>
      <c r="J32" s="235" t="s">
        <v>111</v>
      </c>
      <c r="K32" s="236"/>
      <c r="L32" s="42" t="s">
        <v>4</v>
      </c>
      <c r="M32" s="40"/>
      <c r="N32" s="40"/>
      <c r="O32" s="40"/>
      <c r="P32" s="40"/>
    </row>
    <row r="33" spans="1:16" s="36" customFormat="1" ht="31.5">
      <c r="A33" s="165" t="s">
        <v>135</v>
      </c>
      <c r="B33" s="165" t="s">
        <v>6</v>
      </c>
      <c r="C33" s="165" t="s">
        <v>7</v>
      </c>
      <c r="D33" s="165">
        <v>1</v>
      </c>
      <c r="E33" s="165">
        <v>2</v>
      </c>
      <c r="F33" s="165">
        <v>3</v>
      </c>
      <c r="G33" s="165">
        <v>4</v>
      </c>
      <c r="H33" s="165">
        <v>5</v>
      </c>
      <c r="I33" s="165">
        <v>6</v>
      </c>
      <c r="J33" s="165">
        <v>7</v>
      </c>
      <c r="K33" s="165">
        <v>8</v>
      </c>
      <c r="L33" s="165">
        <v>9</v>
      </c>
      <c r="M33" s="43" t="s">
        <v>17</v>
      </c>
      <c r="N33" s="43" t="s">
        <v>18</v>
      </c>
      <c r="O33" s="43" t="s">
        <v>19</v>
      </c>
      <c r="P33" s="43" t="s">
        <v>20</v>
      </c>
    </row>
    <row r="34" spans="1:16" ht="15">
      <c r="A34" s="44" t="s">
        <v>114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2" t="e">
        <f t="shared" ref="N34:N42" si="5">((M34/C34)*100)</f>
        <v>#DIV/0!</v>
      </c>
      <c r="O34" s="35">
        <v>18</v>
      </c>
      <c r="P34" s="32" t="e">
        <f t="shared" ref="P34:P42" si="6">((O34/C34)*100)</f>
        <v>#DIV/0!</v>
      </c>
    </row>
    <row r="35" spans="1:16" ht="15">
      <c r="A35" s="44" t="s">
        <v>146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2" t="e">
        <f t="shared" si="5"/>
        <v>#DIV/0!</v>
      </c>
      <c r="O35" s="35">
        <v>15</v>
      </c>
      <c r="P35" s="32" t="e">
        <f t="shared" si="6"/>
        <v>#DIV/0!</v>
      </c>
    </row>
    <row r="36" spans="1:16" ht="15">
      <c r="A36" s="44" t="s">
        <v>147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2" t="e">
        <f t="shared" si="5"/>
        <v>#DIV/0!</v>
      </c>
      <c r="O36" s="35">
        <v>9</v>
      </c>
      <c r="P36" s="32" t="e">
        <f t="shared" si="6"/>
        <v>#DIV/0!</v>
      </c>
    </row>
    <row r="37" spans="1:16" ht="15">
      <c r="A37" s="44" t="s">
        <v>153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2" t="e">
        <f t="shared" si="5"/>
        <v>#DIV/0!</v>
      </c>
      <c r="O37" s="35">
        <v>6</v>
      </c>
      <c r="P37" s="32" t="e">
        <f t="shared" si="6"/>
        <v>#DIV/0!</v>
      </c>
    </row>
    <row r="38" spans="1:16" ht="15">
      <c r="A38" s="44" t="s">
        <v>123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2" t="e">
        <f t="shared" si="5"/>
        <v>#DIV/0!</v>
      </c>
      <c r="O38" s="35">
        <v>7</v>
      </c>
      <c r="P38" s="32" t="e">
        <f t="shared" si="6"/>
        <v>#DIV/0!</v>
      </c>
    </row>
    <row r="39" spans="1:16" ht="15">
      <c r="A39" s="44" t="s">
        <v>125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2" t="e">
        <f t="shared" si="5"/>
        <v>#DIV/0!</v>
      </c>
      <c r="O39" s="35">
        <v>14</v>
      </c>
      <c r="P39" s="32" t="e">
        <f t="shared" si="6"/>
        <v>#DIV/0!</v>
      </c>
    </row>
    <row r="40" spans="1:16" ht="15">
      <c r="A40" s="44" t="s">
        <v>124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2" t="e">
        <f t="shared" si="5"/>
        <v>#DIV/0!</v>
      </c>
      <c r="O40" s="35">
        <v>16</v>
      </c>
      <c r="P40" s="32" t="e">
        <f t="shared" si="6"/>
        <v>#DIV/0!</v>
      </c>
    </row>
    <row r="41" spans="1:16" ht="15">
      <c r="A41" s="45" t="s">
        <v>126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2" t="e">
        <f t="shared" si="5"/>
        <v>#DIV/0!</v>
      </c>
      <c r="O41" s="35">
        <v>14</v>
      </c>
      <c r="P41" s="32" t="e">
        <f t="shared" si="6"/>
        <v>#DIV/0!</v>
      </c>
    </row>
    <row r="42" spans="1:16" ht="15">
      <c r="A42" s="45" t="s">
        <v>154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2" t="e">
        <f t="shared" si="5"/>
        <v>#DIV/0!</v>
      </c>
      <c r="O42" s="35">
        <v>2</v>
      </c>
      <c r="P42" s="32" t="e">
        <f t="shared" si="6"/>
        <v>#DIV/0!</v>
      </c>
    </row>
    <row r="43" spans="1:16" ht="15.7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37" t="e">
        <f>AVERAGE(N34:N42)</f>
        <v>#DIV/0!</v>
      </c>
      <c r="O43" s="38"/>
      <c r="P43" s="37" t="e">
        <f>AVERAGE(P34:P42)</f>
        <v>#DIV/0!</v>
      </c>
    </row>
    <row r="44" spans="1:16" ht="1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6"/>
      <c r="O44" s="41"/>
      <c r="P44" s="46"/>
    </row>
    <row r="45" spans="1:16" ht="15">
      <c r="A45" s="40" t="s">
        <v>155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1:16" s="5" customFormat="1" ht="15.75">
      <c r="A46" s="40"/>
      <c r="B46" s="40"/>
      <c r="C46" s="41"/>
      <c r="D46" s="235" t="s">
        <v>109</v>
      </c>
      <c r="E46" s="236"/>
      <c r="F46" s="235" t="s">
        <v>110</v>
      </c>
      <c r="G46" s="237"/>
      <c r="H46" s="237"/>
      <c r="I46" s="236"/>
      <c r="J46" s="235" t="s">
        <v>111</v>
      </c>
      <c r="K46" s="236"/>
      <c r="L46" s="42" t="s">
        <v>4</v>
      </c>
      <c r="M46" s="40"/>
      <c r="N46" s="40"/>
      <c r="O46" s="40"/>
      <c r="P46" s="40"/>
    </row>
    <row r="47" spans="1:16" s="36" customFormat="1" ht="31.5">
      <c r="A47" s="165" t="s">
        <v>135</v>
      </c>
      <c r="B47" s="165" t="s">
        <v>6</v>
      </c>
      <c r="C47" s="165" t="s">
        <v>7</v>
      </c>
      <c r="D47" s="165">
        <v>1</v>
      </c>
      <c r="E47" s="165">
        <v>2</v>
      </c>
      <c r="F47" s="165">
        <v>3</v>
      </c>
      <c r="G47" s="165">
        <v>4</v>
      </c>
      <c r="H47" s="165">
        <v>5</v>
      </c>
      <c r="I47" s="165">
        <v>6</v>
      </c>
      <c r="J47" s="165">
        <v>7</v>
      </c>
      <c r="K47" s="165">
        <v>8</v>
      </c>
      <c r="L47" s="165">
        <v>9</v>
      </c>
      <c r="M47" s="43" t="s">
        <v>17</v>
      </c>
      <c r="N47" s="43" t="s">
        <v>18</v>
      </c>
      <c r="O47" s="43" t="s">
        <v>19</v>
      </c>
      <c r="P47" s="43" t="s">
        <v>20</v>
      </c>
    </row>
    <row r="48" spans="1:16" ht="15">
      <c r="A48" s="44" t="s">
        <v>114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2" t="e">
        <f t="shared" ref="N48:N56" si="7">((M48/C48)*100)</f>
        <v>#DIV/0!</v>
      </c>
      <c r="O48" s="35">
        <v>24</v>
      </c>
      <c r="P48" s="32" t="e">
        <f t="shared" ref="P48:P56" si="8">((O48/C48)*100)</f>
        <v>#DIV/0!</v>
      </c>
    </row>
    <row r="49" spans="1:16" ht="15">
      <c r="A49" s="44" t="s">
        <v>146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2" t="e">
        <f t="shared" si="7"/>
        <v>#DIV/0!</v>
      </c>
      <c r="O49" s="35">
        <v>20</v>
      </c>
      <c r="P49" s="32" t="e">
        <f t="shared" si="8"/>
        <v>#DIV/0!</v>
      </c>
    </row>
    <row r="50" spans="1:16" ht="15">
      <c r="A50" s="44" t="s">
        <v>147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2" t="e">
        <f t="shared" si="7"/>
        <v>#DIV/0!</v>
      </c>
      <c r="O50" s="35">
        <v>5</v>
      </c>
      <c r="P50" s="32" t="e">
        <f t="shared" si="8"/>
        <v>#DIV/0!</v>
      </c>
    </row>
    <row r="51" spans="1:16" ht="15">
      <c r="A51" s="44" t="s">
        <v>153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2" t="e">
        <f t="shared" si="7"/>
        <v>#DIV/0!</v>
      </c>
      <c r="O51" s="35">
        <v>10</v>
      </c>
      <c r="P51" s="32" t="e">
        <f t="shared" si="8"/>
        <v>#DIV/0!</v>
      </c>
    </row>
    <row r="52" spans="1:16" ht="15">
      <c r="A52" s="44" t="s">
        <v>123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2" t="e">
        <f t="shared" si="7"/>
        <v>#DIV/0!</v>
      </c>
      <c r="O52" s="35">
        <v>12</v>
      </c>
      <c r="P52" s="32" t="e">
        <f t="shared" si="8"/>
        <v>#DIV/0!</v>
      </c>
    </row>
    <row r="53" spans="1:16" ht="15">
      <c r="A53" s="44" t="s">
        <v>125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2" t="e">
        <f t="shared" si="7"/>
        <v>#DIV/0!</v>
      </c>
      <c r="O53" s="35">
        <v>13</v>
      </c>
      <c r="P53" s="32" t="e">
        <f t="shared" si="8"/>
        <v>#DIV/0!</v>
      </c>
    </row>
    <row r="54" spans="1:16" ht="15">
      <c r="A54" s="44" t="s">
        <v>124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2" t="e">
        <f t="shared" si="7"/>
        <v>#DIV/0!</v>
      </c>
      <c r="O54" s="35">
        <v>22</v>
      </c>
      <c r="P54" s="32" t="e">
        <f t="shared" si="8"/>
        <v>#DIV/0!</v>
      </c>
    </row>
    <row r="55" spans="1:16" ht="15.75">
      <c r="A55" s="45" t="s">
        <v>156</v>
      </c>
      <c r="B55" s="35"/>
      <c r="C55" s="35"/>
      <c r="D55" s="42"/>
      <c r="E55" s="35"/>
      <c r="F55" s="35"/>
      <c r="G55" s="35"/>
      <c r="H55" s="35"/>
      <c r="I55" s="35"/>
      <c r="J55" s="42"/>
      <c r="K55" s="42"/>
      <c r="L55" s="42"/>
      <c r="M55" s="35"/>
      <c r="N55" s="32" t="e">
        <f t="shared" si="7"/>
        <v>#DIV/0!</v>
      </c>
      <c r="O55" s="35">
        <v>10</v>
      </c>
      <c r="P55" s="32" t="e">
        <f t="shared" si="8"/>
        <v>#DIV/0!</v>
      </c>
    </row>
    <row r="56" spans="1:16" ht="15">
      <c r="A56" s="45" t="s">
        <v>151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2" t="e">
        <f t="shared" si="7"/>
        <v>#DIV/0!</v>
      </c>
      <c r="O56" s="35">
        <v>8</v>
      </c>
      <c r="P56" s="32" t="e">
        <f t="shared" si="8"/>
        <v>#DIV/0!</v>
      </c>
    </row>
    <row r="57" spans="1:16" ht="15.7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37" t="e">
        <f>AVERAGE(N48:N56)</f>
        <v>#DIV/0!</v>
      </c>
      <c r="O57" s="38"/>
      <c r="P57" s="37" t="e">
        <f>AVERAGE(P48:P56)</f>
        <v>#DIV/0!</v>
      </c>
    </row>
    <row r="58" spans="1:16" ht="1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6"/>
      <c r="O58" s="41"/>
      <c r="P58" s="46"/>
    </row>
    <row r="59" spans="1:16" ht="15">
      <c r="A59" s="40" t="s">
        <v>157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</row>
    <row r="60" spans="1:16" s="5" customFormat="1" ht="15.75">
      <c r="A60" s="40"/>
      <c r="B60" s="40"/>
      <c r="C60" s="41"/>
      <c r="D60" s="235" t="s">
        <v>109</v>
      </c>
      <c r="E60" s="236"/>
      <c r="F60" s="235" t="s">
        <v>110</v>
      </c>
      <c r="G60" s="237"/>
      <c r="H60" s="237"/>
      <c r="I60" s="236"/>
      <c r="J60" s="235" t="s">
        <v>111</v>
      </c>
      <c r="K60" s="236"/>
      <c r="L60" s="42" t="s">
        <v>4</v>
      </c>
      <c r="M60" s="40"/>
      <c r="N60" s="40"/>
      <c r="O60" s="40"/>
      <c r="P60" s="40"/>
    </row>
    <row r="61" spans="1:16" s="36" customFormat="1" ht="31.5">
      <c r="A61" s="165" t="s">
        <v>135</v>
      </c>
      <c r="B61" s="165" t="s">
        <v>6</v>
      </c>
      <c r="C61" s="165" t="s">
        <v>7</v>
      </c>
      <c r="D61" s="165">
        <v>1</v>
      </c>
      <c r="E61" s="165">
        <v>2</v>
      </c>
      <c r="F61" s="165">
        <v>3</v>
      </c>
      <c r="G61" s="165">
        <v>4</v>
      </c>
      <c r="H61" s="165">
        <v>5</v>
      </c>
      <c r="I61" s="165">
        <v>6</v>
      </c>
      <c r="J61" s="165">
        <v>7</v>
      </c>
      <c r="K61" s="165">
        <v>8</v>
      </c>
      <c r="L61" s="165">
        <v>9</v>
      </c>
      <c r="M61" s="43" t="s">
        <v>17</v>
      </c>
      <c r="N61" s="43" t="s">
        <v>18</v>
      </c>
      <c r="O61" s="43" t="s">
        <v>19</v>
      </c>
      <c r="P61" s="43" t="s">
        <v>20</v>
      </c>
    </row>
    <row r="62" spans="1:16" ht="15">
      <c r="A62" s="44" t="s">
        <v>114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2" t="e">
        <f t="shared" ref="N62:N69" si="9">((M62/C62)*100)</f>
        <v>#DIV/0!</v>
      </c>
      <c r="O62" s="35">
        <v>18</v>
      </c>
      <c r="P62" s="32" t="e">
        <f t="shared" ref="P62:P69" si="10">((O62/C62)*100)</f>
        <v>#DIV/0!</v>
      </c>
    </row>
    <row r="63" spans="1:16" ht="15">
      <c r="A63" s="44" t="s">
        <v>146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2" t="e">
        <f t="shared" si="9"/>
        <v>#DIV/0!</v>
      </c>
      <c r="O63" s="35">
        <v>7</v>
      </c>
      <c r="P63" s="32" t="e">
        <f t="shared" si="10"/>
        <v>#DIV/0!</v>
      </c>
    </row>
    <row r="64" spans="1:16" ht="15">
      <c r="A64" s="44" t="s">
        <v>147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2" t="e">
        <f t="shared" si="9"/>
        <v>#DIV/0!</v>
      </c>
      <c r="O64" s="35">
        <v>2</v>
      </c>
      <c r="P64" s="32" t="e">
        <f t="shared" si="10"/>
        <v>#DIV/0!</v>
      </c>
    </row>
    <row r="65" spans="1:16" ht="15">
      <c r="A65" s="44" t="s">
        <v>153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2" t="e">
        <f t="shared" si="9"/>
        <v>#DIV/0!</v>
      </c>
      <c r="O65" s="35">
        <v>1</v>
      </c>
      <c r="P65" s="32" t="e">
        <f t="shared" si="10"/>
        <v>#DIV/0!</v>
      </c>
    </row>
    <row r="66" spans="1:16" ht="15">
      <c r="A66" s="44" t="s">
        <v>123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2" t="e">
        <f t="shared" si="9"/>
        <v>#DIV/0!</v>
      </c>
      <c r="O66" s="35">
        <v>9</v>
      </c>
      <c r="P66" s="32" t="e">
        <f t="shared" si="10"/>
        <v>#DIV/0!</v>
      </c>
    </row>
    <row r="67" spans="1:16" ht="15">
      <c r="A67" s="44" t="s">
        <v>124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2" t="e">
        <f t="shared" si="9"/>
        <v>#DIV/0!</v>
      </c>
      <c r="O67" s="35">
        <v>15</v>
      </c>
      <c r="P67" s="32" t="e">
        <f t="shared" si="10"/>
        <v>#DIV/0!</v>
      </c>
    </row>
    <row r="68" spans="1:16" ht="15">
      <c r="A68" s="35" t="s">
        <v>126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2" t="e">
        <f t="shared" si="9"/>
        <v>#DIV/0!</v>
      </c>
      <c r="O68" s="35">
        <v>17</v>
      </c>
      <c r="P68" s="32" t="e">
        <f t="shared" si="10"/>
        <v>#DIV/0!</v>
      </c>
    </row>
    <row r="69" spans="1:16" ht="15">
      <c r="A69" s="44" t="s">
        <v>132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2" t="e">
        <f t="shared" si="9"/>
        <v>#DIV/0!</v>
      </c>
      <c r="O69" s="35">
        <v>17</v>
      </c>
      <c r="P69" s="32" t="e">
        <f t="shared" si="10"/>
        <v>#DIV/0!</v>
      </c>
    </row>
    <row r="70" spans="1:16" ht="15.75">
      <c r="A70" s="40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37" t="e">
        <f>AVERAGE(N62:N69)</f>
        <v>#DIV/0!</v>
      </c>
      <c r="O70" s="38"/>
      <c r="P70" s="37" t="e">
        <f>AVERAGE(P62:P69)</f>
        <v>#DIV/0!</v>
      </c>
    </row>
    <row r="71" spans="1:16" ht="15">
      <c r="A71" s="40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6"/>
      <c r="O71" s="41"/>
      <c r="P71" s="46"/>
    </row>
    <row r="72" spans="1:16" ht="15">
      <c r="A72" s="40" t="s">
        <v>158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</row>
    <row r="73" spans="1:16" ht="18" customHeight="1">
      <c r="A73" s="40"/>
      <c r="B73" s="40"/>
      <c r="C73" s="41"/>
      <c r="D73" s="235" t="s">
        <v>109</v>
      </c>
      <c r="E73" s="236"/>
      <c r="F73" s="235" t="s">
        <v>110</v>
      </c>
      <c r="G73" s="237"/>
      <c r="H73" s="237"/>
      <c r="I73" s="236"/>
      <c r="J73" s="235" t="s">
        <v>111</v>
      </c>
      <c r="K73" s="236"/>
      <c r="L73" s="42" t="s">
        <v>4</v>
      </c>
      <c r="M73" s="40"/>
      <c r="N73" s="40"/>
      <c r="O73" s="40"/>
      <c r="P73" s="40"/>
    </row>
    <row r="74" spans="1:16" s="5" customFormat="1" ht="31.5">
      <c r="A74" s="165" t="s">
        <v>135</v>
      </c>
      <c r="B74" s="165" t="s">
        <v>6</v>
      </c>
      <c r="C74" s="165" t="s">
        <v>7</v>
      </c>
      <c r="D74" s="165">
        <v>1</v>
      </c>
      <c r="E74" s="165">
        <v>2</v>
      </c>
      <c r="F74" s="165">
        <v>3</v>
      </c>
      <c r="G74" s="165">
        <v>4</v>
      </c>
      <c r="H74" s="165">
        <v>5</v>
      </c>
      <c r="I74" s="165">
        <v>6</v>
      </c>
      <c r="J74" s="165">
        <v>7</v>
      </c>
      <c r="K74" s="165">
        <v>8</v>
      </c>
      <c r="L74" s="165">
        <v>9</v>
      </c>
      <c r="M74" s="43" t="s">
        <v>17</v>
      </c>
      <c r="N74" s="43" t="s">
        <v>18</v>
      </c>
      <c r="O74" s="43" t="s">
        <v>19</v>
      </c>
      <c r="P74" s="43" t="s">
        <v>20</v>
      </c>
    </row>
    <row r="75" spans="1:16" s="36" customFormat="1" ht="15">
      <c r="A75" s="44" t="s">
        <v>114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2" t="e">
        <f t="shared" ref="N75:N82" si="11">((M75/C75)*100)</f>
        <v>#DIV/0!</v>
      </c>
      <c r="O75" s="35">
        <v>25</v>
      </c>
      <c r="P75" s="32" t="e">
        <f t="shared" ref="P75:P82" si="12">((O75/C75)*100)</f>
        <v>#DIV/0!</v>
      </c>
    </row>
    <row r="76" spans="1:16" ht="15">
      <c r="A76" s="44" t="s">
        <v>146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2" t="e">
        <f t="shared" si="11"/>
        <v>#DIV/0!</v>
      </c>
      <c r="O76" s="35">
        <v>7</v>
      </c>
      <c r="P76" s="32" t="e">
        <f t="shared" si="12"/>
        <v>#DIV/0!</v>
      </c>
    </row>
    <row r="77" spans="1:16" ht="15">
      <c r="A77" s="44" t="s">
        <v>147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2" t="e">
        <f t="shared" si="11"/>
        <v>#DIV/0!</v>
      </c>
      <c r="O77" s="35">
        <v>2</v>
      </c>
      <c r="P77" s="32" t="e">
        <f t="shared" si="12"/>
        <v>#DIV/0!</v>
      </c>
    </row>
    <row r="78" spans="1:16" ht="15">
      <c r="A78" s="44" t="s">
        <v>153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2" t="e">
        <f t="shared" si="11"/>
        <v>#DIV/0!</v>
      </c>
      <c r="O78" s="35">
        <v>9</v>
      </c>
      <c r="P78" s="32" t="e">
        <f t="shared" si="12"/>
        <v>#DIV/0!</v>
      </c>
    </row>
    <row r="79" spans="1:16" ht="15">
      <c r="A79" s="44" t="s">
        <v>123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2" t="e">
        <f t="shared" si="11"/>
        <v>#DIV/0!</v>
      </c>
      <c r="O79" s="35">
        <v>3</v>
      </c>
      <c r="P79" s="32" t="e">
        <f t="shared" si="12"/>
        <v>#DIV/0!</v>
      </c>
    </row>
    <row r="80" spans="1:16" s="5" customFormat="1" ht="15">
      <c r="A80" s="44" t="s">
        <v>124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2" t="e">
        <f t="shared" si="11"/>
        <v>#DIV/0!</v>
      </c>
      <c r="O80" s="35">
        <v>24</v>
      </c>
      <c r="P80" s="32" t="e">
        <f t="shared" si="12"/>
        <v>#DIV/0!</v>
      </c>
    </row>
    <row r="81" spans="1:17" ht="15">
      <c r="A81" s="45" t="s">
        <v>151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2" t="e">
        <f t="shared" si="11"/>
        <v>#DIV/0!</v>
      </c>
      <c r="O81" s="35">
        <v>2</v>
      </c>
      <c r="P81" s="32" t="e">
        <f t="shared" si="12"/>
        <v>#DIV/0!</v>
      </c>
    </row>
    <row r="82" spans="1:17" s="5" customFormat="1" ht="15">
      <c r="A82" s="44" t="s">
        <v>132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2" t="e">
        <f t="shared" si="11"/>
        <v>#DIV/0!</v>
      </c>
      <c r="O82" s="35">
        <v>24</v>
      </c>
      <c r="P82" s="32" t="e">
        <f t="shared" si="12"/>
        <v>#DIV/0!</v>
      </c>
      <c r="Q82"/>
    </row>
    <row r="83" spans="1:17" s="5" customFormat="1" ht="15.75">
      <c r="A83" s="40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37" t="e">
        <f>AVERAGE(N75:N82)</f>
        <v>#DIV/0!</v>
      </c>
      <c r="O83" s="38"/>
      <c r="P83" s="37" t="e">
        <f>AVERAGE(P75:P82)</f>
        <v>#DIV/0!</v>
      </c>
      <c r="Q83"/>
    </row>
    <row r="84" spans="1:17" s="5" customFormat="1" ht="15.75">
      <c r="A84" s="40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37"/>
      <c r="O84" s="38"/>
      <c r="P84" s="37"/>
      <c r="Q84"/>
    </row>
    <row r="85" spans="1:17" s="5" customFormat="1" ht="15.75">
      <c r="A85" s="40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37"/>
      <c r="O85" s="38"/>
      <c r="P85" s="37"/>
      <c r="Q85"/>
    </row>
    <row r="86" spans="1:17" ht="15">
      <c r="A86" s="40" t="s">
        <v>159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1:17" s="5" customFormat="1" ht="15.75">
      <c r="A87" s="40"/>
      <c r="B87" s="40"/>
      <c r="C87" s="41"/>
      <c r="D87" s="235" t="s">
        <v>109</v>
      </c>
      <c r="E87" s="236"/>
      <c r="F87" s="235" t="s">
        <v>110</v>
      </c>
      <c r="G87" s="237"/>
      <c r="H87" s="237"/>
      <c r="I87" s="236"/>
      <c r="J87" s="235" t="s">
        <v>111</v>
      </c>
      <c r="K87" s="236"/>
      <c r="L87" s="42" t="s">
        <v>4</v>
      </c>
      <c r="M87" s="40"/>
      <c r="N87" s="40"/>
      <c r="O87" s="40"/>
      <c r="P87" s="40"/>
    </row>
    <row r="88" spans="1:17" s="36" customFormat="1" ht="31.5">
      <c r="A88" s="165" t="s">
        <v>135</v>
      </c>
      <c r="B88" s="165" t="s">
        <v>6</v>
      </c>
      <c r="C88" s="165" t="s">
        <v>7</v>
      </c>
      <c r="D88" s="165">
        <v>1</v>
      </c>
      <c r="E88" s="165">
        <v>2</v>
      </c>
      <c r="F88" s="165">
        <v>3</v>
      </c>
      <c r="G88" s="165">
        <v>4</v>
      </c>
      <c r="H88" s="165">
        <v>5</v>
      </c>
      <c r="I88" s="165">
        <v>6</v>
      </c>
      <c r="J88" s="165">
        <v>7</v>
      </c>
      <c r="K88" s="165">
        <v>8</v>
      </c>
      <c r="L88" s="165">
        <v>9</v>
      </c>
      <c r="M88" s="43" t="s">
        <v>17</v>
      </c>
      <c r="N88" s="43" t="s">
        <v>18</v>
      </c>
      <c r="O88" s="43" t="s">
        <v>19</v>
      </c>
      <c r="P88" s="43" t="s">
        <v>20</v>
      </c>
    </row>
    <row r="89" spans="1:17" ht="15">
      <c r="A89" s="44" t="s">
        <v>114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2" t="e">
        <f t="shared" ref="N89:N95" si="13">((M89/C89)*100)</f>
        <v>#DIV/0!</v>
      </c>
      <c r="O89" s="35">
        <v>15</v>
      </c>
      <c r="P89" s="32" t="e">
        <f t="shared" ref="P89:P95" si="14">((O89/C89)*100)</f>
        <v>#DIV/0!</v>
      </c>
      <c r="Q89" s="5"/>
    </row>
    <row r="90" spans="1:17" s="5" customFormat="1" ht="15">
      <c r="A90" s="44" t="s">
        <v>146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2" t="e">
        <f t="shared" si="13"/>
        <v>#DIV/0!</v>
      </c>
      <c r="O90" s="35">
        <v>1</v>
      </c>
      <c r="P90" s="32" t="e">
        <f t="shared" si="14"/>
        <v>#DIV/0!</v>
      </c>
      <c r="Q90"/>
    </row>
    <row r="91" spans="1:17" s="5" customFormat="1" ht="15">
      <c r="A91" s="44" t="s">
        <v>147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2" t="e">
        <f t="shared" si="13"/>
        <v>#DIV/0!</v>
      </c>
      <c r="O91" s="35">
        <v>1</v>
      </c>
      <c r="P91" s="32" t="e">
        <f t="shared" si="14"/>
        <v>#DIV/0!</v>
      </c>
      <c r="Q91"/>
    </row>
    <row r="92" spans="1:17" s="5" customFormat="1" ht="15">
      <c r="A92" s="44" t="s">
        <v>153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2" t="e">
        <f t="shared" si="13"/>
        <v>#DIV/0!</v>
      </c>
      <c r="O92" s="35">
        <v>0</v>
      </c>
      <c r="P92" s="32" t="e">
        <f t="shared" si="14"/>
        <v>#DIV/0!</v>
      </c>
      <c r="Q92"/>
    </row>
    <row r="93" spans="1:17" s="5" customFormat="1" ht="15">
      <c r="A93" s="44" t="s">
        <v>156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2" t="e">
        <f t="shared" si="13"/>
        <v>#DIV/0!</v>
      </c>
      <c r="O93" s="35">
        <v>15</v>
      </c>
      <c r="P93" s="32" t="e">
        <f t="shared" si="14"/>
        <v>#DIV/0!</v>
      </c>
    </row>
    <row r="94" spans="1:17" s="5" customFormat="1" ht="15">
      <c r="A94" s="44" t="s">
        <v>124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2" t="e">
        <f t="shared" si="13"/>
        <v>#DIV/0!</v>
      </c>
      <c r="O94" s="35">
        <v>12</v>
      </c>
      <c r="P94" s="32" t="e">
        <f t="shared" si="14"/>
        <v>#DIV/0!</v>
      </c>
    </row>
    <row r="95" spans="1:17" ht="13.5" customHeight="1">
      <c r="A95" s="44" t="s">
        <v>132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2" t="e">
        <f t="shared" si="13"/>
        <v>#DIV/0!</v>
      </c>
      <c r="O95" s="35">
        <v>13</v>
      </c>
      <c r="P95" s="32" t="e">
        <f t="shared" si="14"/>
        <v>#DIV/0!</v>
      </c>
    </row>
    <row r="96" spans="1:17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37" t="e">
        <f>AVERAGE(N89:N95)</f>
        <v>#DIV/0!</v>
      </c>
      <c r="O96" s="38"/>
      <c r="P96" s="37" t="e">
        <f>AVERAGE(P89:P95)</f>
        <v>#DIV/0!</v>
      </c>
    </row>
    <row r="97" spans="1:16" ht="15" customHeight="1">
      <c r="A97" s="40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37"/>
      <c r="O97" s="38"/>
      <c r="P97" s="37"/>
    </row>
    <row r="98" spans="1:16" ht="15" customHeight="1">
      <c r="A98" s="40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37"/>
      <c r="O98" s="38"/>
      <c r="P98" s="37"/>
    </row>
    <row r="99" spans="1:16" ht="19.5" customHeight="1">
      <c r="A99" s="40" t="s">
        <v>160</v>
      </c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</row>
    <row r="100" spans="1:16" ht="18" customHeight="1">
      <c r="A100" s="40"/>
      <c r="B100" s="40"/>
      <c r="C100" s="41"/>
      <c r="D100" s="235" t="s">
        <v>109</v>
      </c>
      <c r="E100" s="236"/>
      <c r="F100" s="235" t="s">
        <v>110</v>
      </c>
      <c r="G100" s="237"/>
      <c r="H100" s="237"/>
      <c r="I100" s="236"/>
      <c r="J100" s="235" t="s">
        <v>111</v>
      </c>
      <c r="K100" s="236"/>
      <c r="L100" s="42" t="s">
        <v>4</v>
      </c>
      <c r="M100" s="40"/>
      <c r="N100" s="40"/>
      <c r="O100" s="40"/>
      <c r="P100" s="40"/>
    </row>
    <row r="101" spans="1:16" ht="35.25" customHeight="1">
      <c r="A101" s="165" t="s">
        <v>135</v>
      </c>
      <c r="B101" s="165" t="s">
        <v>6</v>
      </c>
      <c r="C101" s="165" t="s">
        <v>7</v>
      </c>
      <c r="D101" s="165">
        <v>1</v>
      </c>
      <c r="E101" s="165">
        <v>2</v>
      </c>
      <c r="F101" s="165">
        <v>3</v>
      </c>
      <c r="G101" s="165">
        <v>4</v>
      </c>
      <c r="H101" s="165">
        <v>5</v>
      </c>
      <c r="I101" s="165">
        <v>6</v>
      </c>
      <c r="J101" s="165">
        <v>7</v>
      </c>
      <c r="K101" s="165">
        <v>8</v>
      </c>
      <c r="L101" s="165">
        <v>9</v>
      </c>
      <c r="M101" s="43" t="s">
        <v>17</v>
      </c>
      <c r="N101" s="43" t="s">
        <v>18</v>
      </c>
      <c r="O101" s="43" t="s">
        <v>19</v>
      </c>
      <c r="P101" s="43" t="s">
        <v>20</v>
      </c>
    </row>
    <row r="102" spans="1:16" ht="15" customHeight="1">
      <c r="A102" s="44" t="s">
        <v>114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2" t="e">
        <f t="shared" ref="N102:N108" si="15">((M102/C102)*100)</f>
        <v>#DIV/0!</v>
      </c>
      <c r="O102" s="35">
        <v>16</v>
      </c>
      <c r="P102" s="32" t="e">
        <f t="shared" ref="P102:P108" si="16">((O102/C102)*100)</f>
        <v>#DIV/0!</v>
      </c>
    </row>
    <row r="103" spans="1:16" ht="15" customHeight="1">
      <c r="A103" s="44" t="s">
        <v>146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2" t="e">
        <f t="shared" si="15"/>
        <v>#DIV/0!</v>
      </c>
      <c r="O103" s="35">
        <v>6</v>
      </c>
      <c r="P103" s="32" t="e">
        <f t="shared" si="16"/>
        <v>#DIV/0!</v>
      </c>
    </row>
    <row r="104" spans="1:16" ht="15" customHeight="1">
      <c r="A104" s="44" t="s">
        <v>147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2" t="e">
        <f t="shared" si="15"/>
        <v>#DIV/0!</v>
      </c>
      <c r="O104" s="35">
        <v>0</v>
      </c>
      <c r="P104" s="32" t="e">
        <f t="shared" si="16"/>
        <v>#DIV/0!</v>
      </c>
    </row>
    <row r="105" spans="1:16" ht="15" customHeight="1">
      <c r="A105" s="44" t="s">
        <v>153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2" t="e">
        <f t="shared" si="15"/>
        <v>#DIV/0!</v>
      </c>
      <c r="O105" s="35">
        <v>0</v>
      </c>
      <c r="P105" s="32" t="e">
        <f t="shared" si="16"/>
        <v>#DIV/0!</v>
      </c>
    </row>
    <row r="106" spans="1:16" ht="15.75" customHeight="1">
      <c r="A106" s="44" t="s">
        <v>156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2" t="e">
        <f t="shared" si="15"/>
        <v>#DIV/0!</v>
      </c>
      <c r="O106" s="35">
        <v>16</v>
      </c>
      <c r="P106" s="32" t="e">
        <f t="shared" si="16"/>
        <v>#DIV/0!</v>
      </c>
    </row>
    <row r="107" spans="1:16" ht="15" customHeight="1">
      <c r="A107" s="44" t="s">
        <v>124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2" t="e">
        <f t="shared" si="15"/>
        <v>#DIV/0!</v>
      </c>
      <c r="O107" s="35">
        <v>11</v>
      </c>
      <c r="P107" s="32" t="e">
        <f t="shared" si="16"/>
        <v>#DIV/0!</v>
      </c>
    </row>
    <row r="108" spans="1:16" ht="15" customHeight="1">
      <c r="A108" s="44" t="s">
        <v>132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2" t="e">
        <f t="shared" si="15"/>
        <v>#DIV/0!</v>
      </c>
      <c r="O108" s="35">
        <v>12</v>
      </c>
      <c r="P108" s="32" t="e">
        <f t="shared" si="16"/>
        <v>#DIV/0!</v>
      </c>
    </row>
    <row r="109" spans="1:16" ht="18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37" t="e">
        <f>AVERAGE(N102:N108)</f>
        <v>#DIV/0!</v>
      </c>
      <c r="O109" s="38"/>
      <c r="P109" s="37" t="e">
        <f>AVERAGE(P102:P108)</f>
        <v>#DIV/0!</v>
      </c>
    </row>
    <row r="110" spans="1:16" ht="21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</row>
    <row r="111" spans="1:16" ht="21" customHeight="1"/>
    <row r="112" spans="1:16" ht="21" customHeight="1"/>
    <row r="113" spans="2:18" ht="21" customHeight="1"/>
    <row r="114" spans="2:18" ht="12.75" customHeight="1">
      <c r="Q114" s="10"/>
      <c r="R114" s="11"/>
    </row>
    <row r="115" spans="2:18" ht="18.75" customHeight="1">
      <c r="B115" s="29"/>
      <c r="C115" s="29"/>
      <c r="D115" s="238" t="s">
        <v>109</v>
      </c>
      <c r="E115" s="239"/>
      <c r="F115" s="238" t="s">
        <v>110</v>
      </c>
      <c r="G115" s="240"/>
      <c r="H115" s="240"/>
      <c r="I115" s="239"/>
      <c r="J115" s="238" t="s">
        <v>111</v>
      </c>
      <c r="K115" s="239"/>
      <c r="L115" s="165" t="s">
        <v>4</v>
      </c>
      <c r="M115" s="29"/>
      <c r="N115" s="29"/>
      <c r="O115" s="29"/>
      <c r="P115" s="29"/>
    </row>
    <row r="116" spans="2:18" ht="30" customHeight="1">
      <c r="B116" s="148"/>
      <c r="C116" s="148"/>
      <c r="D116" s="218" t="s">
        <v>109</v>
      </c>
      <c r="E116" s="219"/>
      <c r="F116" s="218" t="s">
        <v>110</v>
      </c>
      <c r="G116" s="225"/>
      <c r="H116" s="225"/>
      <c r="I116" s="219"/>
      <c r="J116" s="218" t="s">
        <v>111</v>
      </c>
      <c r="K116" s="219"/>
      <c r="L116" s="13" t="s">
        <v>4</v>
      </c>
      <c r="M116" s="148"/>
      <c r="N116" s="148"/>
      <c r="O116" s="148"/>
      <c r="P116" s="148"/>
    </row>
    <row r="117" spans="2:18" ht="32.25" customHeight="1">
      <c r="B117" s="13" t="s">
        <v>112</v>
      </c>
      <c r="C117" s="13" t="s">
        <v>7</v>
      </c>
      <c r="D117" s="13">
        <v>1</v>
      </c>
      <c r="E117" s="13">
        <v>2</v>
      </c>
      <c r="F117" s="13">
        <v>3</v>
      </c>
      <c r="G117" s="13">
        <v>4</v>
      </c>
      <c r="H117" s="13">
        <v>5</v>
      </c>
      <c r="I117" s="13">
        <v>6</v>
      </c>
      <c r="J117" s="13">
        <v>7</v>
      </c>
      <c r="K117" s="13">
        <v>8</v>
      </c>
      <c r="L117" s="13">
        <v>9</v>
      </c>
      <c r="M117" s="14" t="s">
        <v>17</v>
      </c>
      <c r="N117" s="14" t="s">
        <v>18</v>
      </c>
      <c r="O117" s="14" t="s">
        <v>19</v>
      </c>
      <c r="P117" s="14" t="s">
        <v>20</v>
      </c>
    </row>
    <row r="118" spans="2:18" ht="21.75" customHeight="1">
      <c r="B118" s="23" t="s">
        <v>161</v>
      </c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30"/>
      <c r="O118" s="23"/>
      <c r="P118" s="30"/>
    </row>
    <row r="119" spans="2:18" ht="21" customHeight="1">
      <c r="B119" s="23" t="s">
        <v>162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1"/>
      <c r="O119" s="33"/>
      <c r="P119" s="31"/>
    </row>
    <row r="120" spans="2:18" ht="21" customHeight="1">
      <c r="B120" s="23" t="s">
        <v>147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30"/>
      <c r="O120" s="23"/>
      <c r="P120" s="30"/>
    </row>
    <row r="121" spans="2:18" ht="21" customHeight="1">
      <c r="B121" s="23" t="s">
        <v>163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30"/>
      <c r="O121" s="23"/>
      <c r="P121" s="30"/>
    </row>
    <row r="122" spans="2:18" ht="21" customHeight="1">
      <c r="B122" s="23" t="s">
        <v>164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30"/>
      <c r="O122" s="23"/>
      <c r="P122" s="30"/>
    </row>
    <row r="123" spans="2:18" ht="15">
      <c r="B123" s="23" t="s">
        <v>165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30"/>
      <c r="O123" s="23"/>
      <c r="P123" s="30"/>
    </row>
    <row r="124" spans="2:18" ht="21" customHeight="1">
      <c r="B124" s="23" t="s">
        <v>166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30"/>
      <c r="O124" s="23"/>
      <c r="P124" s="30"/>
    </row>
    <row r="125" spans="2:18" ht="15">
      <c r="B125" s="23" t="s">
        <v>167</v>
      </c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30"/>
      <c r="O125" s="23"/>
      <c r="P125" s="30"/>
    </row>
    <row r="126" spans="2:18" ht="15">
      <c r="B126" s="23" t="s">
        <v>168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30"/>
      <c r="O126" s="23"/>
      <c r="P126" s="30"/>
    </row>
    <row r="127" spans="2:18" ht="15">
      <c r="B127" s="23" t="s">
        <v>169</v>
      </c>
      <c r="C127" s="34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2"/>
    </row>
    <row r="128" spans="2:18" ht="15">
      <c r="B128" s="23" t="s">
        <v>124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30"/>
      <c r="O128" s="23"/>
      <c r="P128" s="30"/>
    </row>
    <row r="129" spans="2:16" ht="15">
      <c r="B129" s="23" t="s">
        <v>170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30"/>
      <c r="O129" s="23"/>
      <c r="P129" s="30"/>
    </row>
    <row r="130" spans="2:16" ht="15">
      <c r="B130" s="23" t="s">
        <v>171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30"/>
      <c r="O130" s="33"/>
      <c r="P130" s="30"/>
    </row>
    <row r="131" spans="2:16" ht="15">
      <c r="B131" s="23" t="s">
        <v>172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30"/>
      <c r="O131" s="33"/>
      <c r="P131" s="30"/>
    </row>
    <row r="132" spans="2:16" ht="15">
      <c r="B132" s="23" t="s">
        <v>151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1"/>
      <c r="O132" s="33"/>
      <c r="P132" s="31"/>
    </row>
    <row r="133" spans="2:16" ht="15">
      <c r="B133" s="23" t="s">
        <v>173</v>
      </c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30"/>
      <c r="O133" s="33"/>
      <c r="P133" s="30"/>
    </row>
    <row r="134" spans="2:16" ht="15">
      <c r="B134" s="23" t="s">
        <v>156</v>
      </c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30"/>
      <c r="O134" s="33"/>
      <c r="P134" s="30"/>
    </row>
    <row r="135" spans="2:16" ht="15">
      <c r="B135" s="23" t="s">
        <v>174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30"/>
      <c r="O135" s="23"/>
      <c r="P135" s="30"/>
    </row>
    <row r="136" spans="2:16" ht="20.25">
      <c r="B136" s="147"/>
      <c r="C136" s="147"/>
      <c r="D136" s="147"/>
      <c r="E136" s="147"/>
      <c r="F136" s="147"/>
      <c r="G136" s="147"/>
      <c r="H136" s="147"/>
      <c r="I136" s="147"/>
      <c r="J136" s="147"/>
      <c r="K136" s="147"/>
      <c r="L136" s="18" t="s">
        <v>134</v>
      </c>
      <c r="M136" s="147"/>
      <c r="N136" s="19" t="e">
        <f>AVERAGE(N118:N135)</f>
        <v>#DIV/0!</v>
      </c>
      <c r="O136" s="19"/>
      <c r="P136" s="19" t="e">
        <f>AVERAGE(P118:P135)</f>
        <v>#DIV/0!</v>
      </c>
    </row>
    <row r="137" spans="2:16" ht="20.25">
      <c r="L137" s="20"/>
      <c r="N137" s="21"/>
      <c r="O137" s="21"/>
      <c r="P137" s="21"/>
    </row>
    <row r="142" spans="2:16" ht="31.5">
      <c r="B142" s="13"/>
      <c r="C142" s="14" t="s">
        <v>18</v>
      </c>
      <c r="D142" s="14" t="s">
        <v>20</v>
      </c>
    </row>
    <row r="143" spans="2:16" ht="18">
      <c r="B143" s="15" t="s">
        <v>161</v>
      </c>
      <c r="C143" s="16"/>
      <c r="D143" s="22"/>
    </row>
    <row r="144" spans="2:16" ht="18">
      <c r="B144" s="15" t="s">
        <v>162</v>
      </c>
      <c r="C144" s="17"/>
      <c r="D144" s="17"/>
    </row>
    <row r="145" spans="2:4" ht="18">
      <c r="B145" s="15" t="s">
        <v>147</v>
      </c>
      <c r="C145" s="16"/>
      <c r="D145" s="16"/>
    </row>
    <row r="146" spans="2:4" ht="18">
      <c r="B146" s="15" t="s">
        <v>163</v>
      </c>
      <c r="C146" s="16"/>
      <c r="D146" s="16"/>
    </row>
    <row r="147" spans="2:4" ht="18">
      <c r="B147" s="15" t="s">
        <v>164</v>
      </c>
      <c r="C147" s="16"/>
      <c r="D147" s="16"/>
    </row>
    <row r="148" spans="2:4" ht="18">
      <c r="B148" s="15" t="s">
        <v>165</v>
      </c>
      <c r="C148" s="16"/>
      <c r="D148" s="16"/>
    </row>
    <row r="149" spans="2:4" ht="18">
      <c r="B149" s="15" t="s">
        <v>166</v>
      </c>
      <c r="C149" s="16"/>
      <c r="D149" s="22"/>
    </row>
    <row r="150" spans="2:4" ht="18">
      <c r="B150" s="15" t="s">
        <v>167</v>
      </c>
      <c r="C150" s="16"/>
      <c r="D150" s="16"/>
    </row>
    <row r="151" spans="2:4" ht="18">
      <c r="B151" s="15" t="s">
        <v>168</v>
      </c>
      <c r="C151" s="16"/>
      <c r="D151" s="16"/>
    </row>
    <row r="152" spans="2:4" ht="18">
      <c r="B152" s="15" t="s">
        <v>169</v>
      </c>
      <c r="C152" s="16"/>
      <c r="D152" s="16"/>
    </row>
    <row r="153" spans="2:4" ht="18">
      <c r="B153" s="15" t="s">
        <v>124</v>
      </c>
      <c r="C153" s="16"/>
      <c r="D153" s="22"/>
    </row>
    <row r="154" spans="2:4" ht="18">
      <c r="B154" s="15" t="s">
        <v>170</v>
      </c>
      <c r="C154" s="22"/>
      <c r="D154" s="22"/>
    </row>
    <row r="155" spans="2:4" ht="18">
      <c r="B155" s="15" t="s">
        <v>171</v>
      </c>
      <c r="C155" s="16"/>
      <c r="D155" s="16"/>
    </row>
    <row r="156" spans="2:4" ht="18">
      <c r="B156" s="15" t="s">
        <v>172</v>
      </c>
      <c r="C156" s="22"/>
      <c r="D156" s="22"/>
    </row>
    <row r="157" spans="2:4" ht="18">
      <c r="B157" s="15" t="s">
        <v>151</v>
      </c>
      <c r="C157" s="17"/>
      <c r="D157" s="17"/>
    </row>
    <row r="158" spans="2:4" ht="18">
      <c r="B158" s="15" t="s">
        <v>173</v>
      </c>
      <c r="C158" s="16"/>
      <c r="D158" s="16"/>
    </row>
    <row r="159" spans="2:4" ht="18">
      <c r="B159" s="15" t="s">
        <v>156</v>
      </c>
      <c r="C159" s="22"/>
      <c r="D159" s="22"/>
    </row>
    <row r="160" spans="2:4" ht="18">
      <c r="B160" s="15" t="s">
        <v>174</v>
      </c>
      <c r="C160" s="16"/>
      <c r="D160" s="16"/>
    </row>
    <row r="163" spans="17:19" ht="30">
      <c r="Q163" s="23" t="s">
        <v>175</v>
      </c>
      <c r="R163" s="24" t="s">
        <v>18</v>
      </c>
      <c r="S163" s="24" t="s">
        <v>20</v>
      </c>
    </row>
    <row r="164" spans="17:19" ht="24" customHeight="1">
      <c r="Q164" s="25" t="s">
        <v>161</v>
      </c>
      <c r="R164" s="26">
        <v>97.979797979797979</v>
      </c>
      <c r="S164" s="27">
        <v>100</v>
      </c>
    </row>
    <row r="165" spans="17:19" ht="24" customHeight="1">
      <c r="Q165" s="25" t="s">
        <v>162</v>
      </c>
      <c r="R165" s="28">
        <v>22</v>
      </c>
      <c r="S165" s="28">
        <v>50</v>
      </c>
    </row>
    <row r="166" spans="17:19" ht="24" customHeight="1">
      <c r="Q166" s="25" t="s">
        <v>147</v>
      </c>
      <c r="R166" s="26">
        <v>40</v>
      </c>
      <c r="S166" s="26">
        <v>63</v>
      </c>
    </row>
    <row r="167" spans="17:19" ht="24" customHeight="1">
      <c r="Q167" s="25" t="s">
        <v>163</v>
      </c>
      <c r="R167" s="26">
        <v>81.818181818181827</v>
      </c>
      <c r="S167" s="26">
        <v>90.909090909090907</v>
      </c>
    </row>
    <row r="168" spans="17:19" ht="24" customHeight="1">
      <c r="Q168" s="25" t="s">
        <v>164</v>
      </c>
      <c r="R168" s="26">
        <v>76.666666666666671</v>
      </c>
      <c r="S168" s="26">
        <v>93.333333333333329</v>
      </c>
    </row>
    <row r="169" spans="17:19" ht="24" customHeight="1">
      <c r="Q169" s="25" t="s">
        <v>165</v>
      </c>
      <c r="R169" s="26">
        <v>64</v>
      </c>
      <c r="S169" s="26">
        <v>84</v>
      </c>
    </row>
    <row r="170" spans="17:19" ht="24" customHeight="1">
      <c r="Q170" s="25" t="s">
        <v>166</v>
      </c>
      <c r="R170" s="26">
        <v>93.333333333333329</v>
      </c>
      <c r="S170" s="27">
        <v>100</v>
      </c>
    </row>
    <row r="171" spans="17:19" ht="24" customHeight="1">
      <c r="Q171" s="25" t="s">
        <v>167</v>
      </c>
      <c r="R171" s="26">
        <v>84</v>
      </c>
      <c r="S171" s="26">
        <v>98</v>
      </c>
    </row>
    <row r="172" spans="17:19" ht="24" customHeight="1">
      <c r="Q172" s="25" t="s">
        <v>168</v>
      </c>
      <c r="R172" s="26">
        <v>52</v>
      </c>
      <c r="S172" s="26">
        <v>68</v>
      </c>
    </row>
    <row r="173" spans="17:19" ht="24" customHeight="1">
      <c r="Q173" s="25" t="s">
        <v>169</v>
      </c>
      <c r="R173" s="26">
        <v>20</v>
      </c>
      <c r="S173" s="26">
        <v>65</v>
      </c>
    </row>
    <row r="174" spans="17:19" ht="24" customHeight="1">
      <c r="Q174" s="25" t="s">
        <v>124</v>
      </c>
      <c r="R174" s="26">
        <v>97.368421052631575</v>
      </c>
      <c r="S174" s="27">
        <v>100</v>
      </c>
    </row>
    <row r="175" spans="17:19" ht="24" customHeight="1">
      <c r="Q175" s="25" t="s">
        <v>170</v>
      </c>
      <c r="R175" s="27">
        <v>100</v>
      </c>
      <c r="S175" s="27">
        <v>100</v>
      </c>
    </row>
    <row r="176" spans="17:19" ht="24" customHeight="1">
      <c r="Q176" s="25" t="s">
        <v>171</v>
      </c>
      <c r="R176" s="26">
        <v>15.384615384615385</v>
      </c>
      <c r="S176" s="26">
        <v>76.923076923076934</v>
      </c>
    </row>
    <row r="177" spans="17:19" ht="24" customHeight="1">
      <c r="Q177" s="25" t="s">
        <v>172</v>
      </c>
      <c r="R177" s="27">
        <v>100</v>
      </c>
      <c r="S177" s="27">
        <v>100</v>
      </c>
    </row>
    <row r="178" spans="17:19" ht="24" customHeight="1">
      <c r="Q178" s="25" t="s">
        <v>151</v>
      </c>
      <c r="R178" s="28">
        <v>43.478260869565219</v>
      </c>
      <c r="S178" s="28">
        <v>73.91304347826086</v>
      </c>
    </row>
    <row r="179" spans="17:19" ht="24" customHeight="1">
      <c r="Q179" s="25" t="s">
        <v>173</v>
      </c>
      <c r="R179" s="26">
        <v>80</v>
      </c>
      <c r="S179" s="26">
        <v>80</v>
      </c>
    </row>
    <row r="180" spans="17:19" ht="24" customHeight="1">
      <c r="Q180" s="25" t="s">
        <v>156</v>
      </c>
      <c r="R180" s="27">
        <v>100</v>
      </c>
      <c r="S180" s="27">
        <v>100</v>
      </c>
    </row>
    <row r="181" spans="17:19" ht="24" customHeight="1">
      <c r="Q181" s="25" t="s">
        <v>174</v>
      </c>
      <c r="R181" s="26">
        <v>86.956521739130437</v>
      </c>
      <c r="S181" s="26">
        <v>95.652173913043484</v>
      </c>
    </row>
    <row r="182" spans="17:19">
      <c r="Q182" s="149"/>
      <c r="R182" s="149"/>
      <c r="S182" s="149"/>
    </row>
  </sheetData>
  <mergeCells count="30">
    <mergeCell ref="D3:E3"/>
    <mergeCell ref="F3:I3"/>
    <mergeCell ref="J3:K3"/>
    <mergeCell ref="D116:E116"/>
    <mergeCell ref="F116:I116"/>
    <mergeCell ref="J116:K116"/>
    <mergeCell ref="D115:E115"/>
    <mergeCell ref="F115:I115"/>
    <mergeCell ref="J115:K115"/>
    <mergeCell ref="D46:E46"/>
    <mergeCell ref="D60:E60"/>
    <mergeCell ref="F60:I60"/>
    <mergeCell ref="J60:K60"/>
    <mergeCell ref="F46:I46"/>
    <mergeCell ref="J46:K46"/>
    <mergeCell ref="D17:E17"/>
    <mergeCell ref="F17:I17"/>
    <mergeCell ref="J17:K17"/>
    <mergeCell ref="D32:E32"/>
    <mergeCell ref="F32:I32"/>
    <mergeCell ref="J32:K32"/>
    <mergeCell ref="D100:E100"/>
    <mergeCell ref="F100:I100"/>
    <mergeCell ref="J100:K100"/>
    <mergeCell ref="F73:I73"/>
    <mergeCell ref="J73:K73"/>
    <mergeCell ref="D87:E87"/>
    <mergeCell ref="F87:I87"/>
    <mergeCell ref="J87:K87"/>
    <mergeCell ref="D73:E73"/>
  </mergeCells>
  <phoneticPr fontId="0" type="noConversion"/>
  <pageMargins left="0.75" right="0.67" top="1.07" bottom="0.44" header="0.45" footer="0.25"/>
  <pageSetup paperSize="9" firstPageNumber="17" orientation="landscape" useFirstPageNumber="1" horizontalDpi="360" verticalDpi="360" r:id="rId1"/>
  <headerFooter alignWithMargins="0">
    <oddHeader>&amp;C&amp;"Arial Narrow,Bold"&amp;12SEKOLAH MENENGAH PENGIRAN ANAK PUTERI HAJAH MASNA
END OF YEAR EXAMINATION ANALYSIS 2007, MEN 4 O LEVEL</oddHeader>
    <oddFooter>&amp;L&amp;8Exam Dept SMPAPHM&amp;CM4'O'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view="pageLayout" zoomScaleNormal="100" workbookViewId="0">
      <selection activeCell="M11" sqref="M11"/>
    </sheetView>
  </sheetViews>
  <sheetFormatPr defaultColWidth="8.85546875" defaultRowHeight="12.75"/>
  <sheetData>
    <row r="1" spans="1:20" ht="36">
      <c r="A1" s="247" t="s">
        <v>176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</row>
    <row r="2" spans="1:20" ht="28.5">
      <c r="A2" s="248" t="s">
        <v>177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</row>
    <row r="4" spans="1:20" s="79" customFormat="1" ht="18" customHeight="1">
      <c r="A4" s="78" t="s">
        <v>178</v>
      </c>
    </row>
    <row r="5" spans="1:20" s="79" customFormat="1" ht="18" customHeight="1">
      <c r="A5" s="78"/>
    </row>
    <row r="6" spans="1:20" s="79" customFormat="1" ht="18" customHeight="1">
      <c r="A6" s="149"/>
      <c r="B6" s="149"/>
      <c r="C6" s="249" t="s">
        <v>179</v>
      </c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 t="s">
        <v>180</v>
      </c>
      <c r="P6" s="249"/>
      <c r="Q6" s="249"/>
      <c r="R6" s="249"/>
      <c r="S6" s="249"/>
      <c r="T6" s="249"/>
    </row>
    <row r="7" spans="1:20" s="79" customFormat="1" ht="18" customHeight="1">
      <c r="A7" s="148"/>
      <c r="B7" s="148"/>
      <c r="C7" s="250" t="s">
        <v>181</v>
      </c>
      <c r="D7" s="250"/>
      <c r="E7" s="245" t="s">
        <v>109</v>
      </c>
      <c r="F7" s="246"/>
      <c r="G7" s="250" t="s">
        <v>110</v>
      </c>
      <c r="H7" s="250"/>
      <c r="I7" s="245" t="s">
        <v>111</v>
      </c>
      <c r="J7" s="251"/>
      <c r="K7" s="251"/>
      <c r="L7" s="246"/>
      <c r="M7" s="166" t="s">
        <v>4</v>
      </c>
      <c r="N7" s="80" t="s">
        <v>182</v>
      </c>
      <c r="O7" s="81" t="s">
        <v>109</v>
      </c>
      <c r="P7" s="81" t="s">
        <v>110</v>
      </c>
      <c r="Q7" s="81" t="s">
        <v>111</v>
      </c>
      <c r="R7" s="81" t="s">
        <v>4</v>
      </c>
      <c r="S7" s="150" t="s">
        <v>110</v>
      </c>
      <c r="T7" s="150" t="s">
        <v>111</v>
      </c>
    </row>
    <row r="8" spans="1:20" s="79" customFormat="1" ht="23.25" customHeight="1">
      <c r="A8" s="245" t="s">
        <v>112</v>
      </c>
      <c r="B8" s="246"/>
      <c r="C8" s="80" t="s">
        <v>183</v>
      </c>
      <c r="D8" s="166" t="s">
        <v>184</v>
      </c>
      <c r="E8" s="166" t="s">
        <v>8</v>
      </c>
      <c r="F8" s="166" t="s">
        <v>42</v>
      </c>
      <c r="G8" s="166" t="s">
        <v>43</v>
      </c>
      <c r="H8" s="166" t="s">
        <v>44</v>
      </c>
      <c r="I8" s="166" t="s">
        <v>45</v>
      </c>
      <c r="J8" s="166" t="s">
        <v>46</v>
      </c>
      <c r="K8" s="166" t="s">
        <v>47</v>
      </c>
      <c r="L8" s="166" t="s">
        <v>48</v>
      </c>
      <c r="M8" s="166" t="s">
        <v>16</v>
      </c>
      <c r="N8" s="166" t="s">
        <v>185</v>
      </c>
      <c r="O8" s="82" t="s">
        <v>186</v>
      </c>
      <c r="P8" s="82" t="s">
        <v>187</v>
      </c>
      <c r="Q8" s="82" t="s">
        <v>188</v>
      </c>
      <c r="R8" s="82" t="s">
        <v>16</v>
      </c>
      <c r="S8" s="83" t="s">
        <v>189</v>
      </c>
      <c r="T8" s="83" t="s">
        <v>190</v>
      </c>
    </row>
    <row r="9" spans="1:20" s="79" customFormat="1" ht="28.7" customHeight="1">
      <c r="A9" s="243" t="s">
        <v>191</v>
      </c>
      <c r="B9" s="244"/>
      <c r="C9" s="33">
        <f>'ANALYSIS BY SUBJECTS'!$C$40</f>
        <v>0</v>
      </c>
      <c r="D9" s="33">
        <f>'ANALYSIS BY SUBJECTS'!$C$40</f>
        <v>0</v>
      </c>
      <c r="E9" s="84"/>
      <c r="F9" s="84"/>
      <c r="G9" s="84"/>
      <c r="H9" s="33">
        <f>'ANALYSIS BY SUBJECTS'!D40</f>
        <v>0</v>
      </c>
      <c r="I9" s="33">
        <f>'ANALYSIS BY SUBJECTS'!E40</f>
        <v>0</v>
      </c>
      <c r="J9" s="33">
        <f>'ANALYSIS BY SUBJECTS'!F40</f>
        <v>0</v>
      </c>
      <c r="K9" s="33">
        <f>'ANALYSIS BY SUBJECTS'!G40</f>
        <v>0</v>
      </c>
      <c r="L9" s="33">
        <f>'ANALYSIS BY SUBJECTS'!H40</f>
        <v>0</v>
      </c>
      <c r="M9" s="33">
        <f>'ANALYSIS BY SUBJECTS'!I40</f>
        <v>0</v>
      </c>
      <c r="N9" s="33"/>
      <c r="O9" s="85" t="e">
        <f>((E9+F9)/C9)</f>
        <v>#DIV/0!</v>
      </c>
      <c r="P9" s="85" t="e">
        <f>(SUM(G9:H9)/C9)</f>
        <v>#DIV/0!</v>
      </c>
      <c r="Q9" s="85" t="e">
        <f>(SUM(I9:L9)/C9)</f>
        <v>#DIV/0!</v>
      </c>
      <c r="R9" s="85" t="e">
        <f>M9/C9</f>
        <v>#DIV/0!</v>
      </c>
      <c r="S9" s="86" t="e">
        <f>(SUM(E9:H9)/C9)</f>
        <v>#DIV/0!</v>
      </c>
      <c r="T9" s="86" t="e">
        <f>(SUM(E9:L9)/D9)</f>
        <v>#DIV/0!</v>
      </c>
    </row>
    <row r="10" spans="1:20" s="79" customFormat="1" ht="28.7" customHeight="1">
      <c r="A10" s="241" t="s">
        <v>192</v>
      </c>
      <c r="B10" s="242"/>
      <c r="C10" s="33">
        <f>'ANALYSIS BY SUBJECTS'!$C$57</f>
        <v>39</v>
      </c>
      <c r="D10" s="33">
        <f>'ANALYSIS BY SUBJECTS'!$C$57</f>
        <v>39</v>
      </c>
      <c r="E10" s="84"/>
      <c r="F10" s="84"/>
      <c r="G10" s="84"/>
      <c r="H10" s="33">
        <v>1</v>
      </c>
      <c r="I10" s="33" t="e">
        <f>'ANALYSIS BY SUBJECTS'!#REF!</f>
        <v>#REF!</v>
      </c>
      <c r="J10" s="33">
        <v>2</v>
      </c>
      <c r="K10" s="33">
        <v>15</v>
      </c>
      <c r="L10" s="33">
        <v>38</v>
      </c>
      <c r="M10" s="33">
        <v>27</v>
      </c>
      <c r="N10" s="33"/>
      <c r="O10" s="85">
        <f>((E10+F10)/C10)</f>
        <v>0</v>
      </c>
      <c r="P10" s="85">
        <f>(SUM(G10:H10)/C10)</f>
        <v>2.564102564102564E-2</v>
      </c>
      <c r="Q10" s="85" t="e">
        <f>(SUM(I10:L10)/C10)</f>
        <v>#REF!</v>
      </c>
      <c r="R10" s="85">
        <f>M10/C10</f>
        <v>0.69230769230769229</v>
      </c>
      <c r="S10" s="86">
        <f>(SUM(E10:H10)/C10)</f>
        <v>2.564102564102564E-2</v>
      </c>
      <c r="T10" s="86" t="e">
        <f>(SUM(E10:L10)/D10)</f>
        <v>#REF!</v>
      </c>
    </row>
    <row r="11" spans="1:20" s="79" customFormat="1" ht="28.7" customHeight="1">
      <c r="A11" s="243" t="s">
        <v>193</v>
      </c>
      <c r="B11" s="244"/>
      <c r="C11" s="33">
        <v>21</v>
      </c>
      <c r="D11" s="33">
        <v>21</v>
      </c>
      <c r="E11" s="103" t="e">
        <f>'ANALYSIS BY SUBJECTS'!#REF!</f>
        <v>#REF!</v>
      </c>
      <c r="F11" s="103" t="e">
        <f>'ANALYSIS BY SUBJECTS'!#REF!</f>
        <v>#REF!</v>
      </c>
      <c r="G11" s="103">
        <v>2</v>
      </c>
      <c r="H11" s="33">
        <v>7</v>
      </c>
      <c r="I11" s="33">
        <v>4</v>
      </c>
      <c r="J11" s="33">
        <v>1</v>
      </c>
      <c r="K11" s="33">
        <v>0</v>
      </c>
      <c r="L11" s="33">
        <v>0</v>
      </c>
      <c r="M11" s="33" t="e">
        <f>'ANALYSIS BY SUBJECTS'!#REF!</f>
        <v>#REF!</v>
      </c>
      <c r="N11" s="33"/>
      <c r="O11" s="85" t="e">
        <f>((E11+F11)/C11)</f>
        <v>#REF!</v>
      </c>
      <c r="P11" s="85">
        <f>(SUM(G11:H11)/C11)</f>
        <v>0.42857142857142855</v>
      </c>
      <c r="Q11" s="85">
        <f>(SUM(I11:L11)/C11)</f>
        <v>0.23809523809523808</v>
      </c>
      <c r="R11" s="85" t="e">
        <f>M11/C11</f>
        <v>#REF!</v>
      </c>
      <c r="S11" s="86" t="e">
        <f>(SUM(E11:H11)/C11)</f>
        <v>#REF!</v>
      </c>
      <c r="T11" s="86" t="e">
        <f>(SUM(E11:L11)/D11)</f>
        <v>#REF!</v>
      </c>
    </row>
    <row r="12" spans="1:20" s="79" customFormat="1" ht="28.7" hidden="1" customHeight="1">
      <c r="A12" s="243" t="s">
        <v>194</v>
      </c>
      <c r="B12" s="244"/>
      <c r="C12" s="33"/>
      <c r="D12" s="33"/>
      <c r="E12" s="33"/>
      <c r="F12" s="33"/>
      <c r="G12" s="33"/>
      <c r="H12" s="33"/>
      <c r="I12" s="33"/>
      <c r="J12" s="33"/>
      <c r="K12" s="84"/>
      <c r="L12" s="84"/>
      <c r="M12" s="33"/>
      <c r="N12" s="33"/>
      <c r="O12" s="85" t="e">
        <f>((E12+F12)/C12)</f>
        <v>#DIV/0!</v>
      </c>
      <c r="P12" s="85" t="e">
        <f>(SUM(G12:H12)/C12)</f>
        <v>#DIV/0!</v>
      </c>
      <c r="Q12" s="85" t="e">
        <f>(SUM(I12:L12)/C12)</f>
        <v>#DIV/0!</v>
      </c>
      <c r="R12" s="85" t="e">
        <f>M12/C12</f>
        <v>#DIV/0!</v>
      </c>
      <c r="S12" s="86" t="e">
        <f>(SUM(E12:H12)/C12)</f>
        <v>#DIV/0!</v>
      </c>
      <c r="T12" s="86" t="e">
        <f>(SUM(E12:L12)/D12)</f>
        <v>#DIV/0!</v>
      </c>
    </row>
  </sheetData>
  <mergeCells count="13">
    <mergeCell ref="A1:T1"/>
    <mergeCell ref="A2:T2"/>
    <mergeCell ref="C6:N6"/>
    <mergeCell ref="O6:T6"/>
    <mergeCell ref="C7:D7"/>
    <mergeCell ref="E7:F7"/>
    <mergeCell ref="G7:H7"/>
    <mergeCell ref="I7:L7"/>
    <mergeCell ref="A10:B10"/>
    <mergeCell ref="A12:B12"/>
    <mergeCell ref="A8:B8"/>
    <mergeCell ref="A9:B9"/>
    <mergeCell ref="A11:B11"/>
  </mergeCells>
  <pageMargins left="0.7" right="0.7" top="0.75" bottom="0.75" header="0.3" footer="0.3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9"/>
  <sheetViews>
    <sheetView view="pageLayout" topLeftCell="A16" zoomScaleNormal="100" workbookViewId="0">
      <selection activeCell="P7" sqref="P7"/>
    </sheetView>
  </sheetViews>
  <sheetFormatPr defaultColWidth="9.140625" defaultRowHeight="11.25"/>
  <cols>
    <col min="1" max="1" width="14.7109375" style="89" customWidth="1"/>
    <col min="2" max="2" width="21" style="89" customWidth="1"/>
    <col min="3" max="3" width="12.7109375" style="89" bestFit="1" customWidth="1"/>
    <col min="4" max="4" width="8.5703125" style="89" customWidth="1"/>
    <col min="5" max="13" width="5.7109375" style="89" customWidth="1"/>
    <col min="14" max="14" width="8.42578125" style="89" bestFit="1" customWidth="1"/>
    <col min="15" max="18" width="8.42578125" style="89" customWidth="1"/>
    <col min="19" max="23" width="8.7109375" style="89" customWidth="1"/>
    <col min="24" max="16384" width="9.140625" style="89"/>
  </cols>
  <sheetData>
    <row r="1" spans="1:21" ht="26.25">
      <c r="A1" s="264" t="s">
        <v>195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</row>
    <row r="2" spans="1:21" ht="23.25">
      <c r="A2" s="265" t="s">
        <v>196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</row>
    <row r="4" spans="1:21" ht="18" customHeight="1">
      <c r="A4" s="71"/>
      <c r="B4" s="71"/>
      <c r="C4" s="260" t="s">
        <v>179</v>
      </c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 t="s">
        <v>180</v>
      </c>
      <c r="P4" s="260"/>
      <c r="Q4" s="260"/>
      <c r="R4" s="260"/>
      <c r="S4" s="260"/>
      <c r="T4" s="260"/>
      <c r="U4" s="90" t="s">
        <v>197</v>
      </c>
    </row>
    <row r="5" spans="1:21" ht="18" customHeight="1">
      <c r="A5" s="91"/>
      <c r="B5" s="91"/>
      <c r="C5" s="262" t="s">
        <v>198</v>
      </c>
      <c r="D5" s="262"/>
      <c r="E5" s="252" t="s">
        <v>109</v>
      </c>
      <c r="F5" s="253"/>
      <c r="G5" s="252" t="s">
        <v>110</v>
      </c>
      <c r="H5" s="263"/>
      <c r="I5" s="263"/>
      <c r="J5" s="253"/>
      <c r="K5" s="252" t="s">
        <v>111</v>
      </c>
      <c r="L5" s="253"/>
      <c r="M5" s="167" t="s">
        <v>4</v>
      </c>
      <c r="N5" s="167" t="s">
        <v>182</v>
      </c>
      <c r="O5" s="92" t="s">
        <v>109</v>
      </c>
      <c r="P5" s="92" t="s">
        <v>110</v>
      </c>
      <c r="Q5" s="92" t="s">
        <v>111</v>
      </c>
      <c r="R5" s="92" t="s">
        <v>4</v>
      </c>
      <c r="S5" s="93" t="s">
        <v>110</v>
      </c>
      <c r="T5" s="93" t="s">
        <v>111</v>
      </c>
      <c r="U5" s="94"/>
    </row>
    <row r="6" spans="1:21" ht="26.25" customHeight="1">
      <c r="A6" s="252" t="s">
        <v>112</v>
      </c>
      <c r="B6" s="253"/>
      <c r="C6" s="167" t="s">
        <v>183</v>
      </c>
      <c r="D6" s="167" t="s">
        <v>184</v>
      </c>
      <c r="E6" s="13" t="s">
        <v>113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3" t="s">
        <v>14</v>
      </c>
      <c r="L6" s="13" t="s">
        <v>15</v>
      </c>
      <c r="M6" s="13" t="s">
        <v>16</v>
      </c>
      <c r="N6" s="167" t="s">
        <v>185</v>
      </c>
      <c r="O6" s="95" t="s">
        <v>199</v>
      </c>
      <c r="P6" s="95" t="s">
        <v>200</v>
      </c>
      <c r="Q6" s="95" t="s">
        <v>201</v>
      </c>
      <c r="R6" s="95" t="s">
        <v>202</v>
      </c>
      <c r="S6" s="96" t="s">
        <v>18</v>
      </c>
      <c r="T6" s="96" t="s">
        <v>20</v>
      </c>
      <c r="U6" s="94"/>
    </row>
    <row r="7" spans="1:21" ht="18" customHeight="1">
      <c r="A7" s="258" t="str">
        <f>'ANALYSIS BY SUBJECTS'!A201</f>
        <v>B.Melayu</v>
      </c>
      <c r="B7" s="259"/>
      <c r="C7" s="97">
        <f>'ANALYSIS BY SUBJECTS'!C201</f>
        <v>165</v>
      </c>
      <c r="D7" s="97">
        <f>'ANALYSIS BY SUBJECTS'!C201</f>
        <v>165</v>
      </c>
      <c r="E7" s="97">
        <f>'ANALYSIS BY SUBJECTS'!D201</f>
        <v>0</v>
      </c>
      <c r="F7" s="97">
        <f>'ANALYSIS BY SUBJECTS'!E201</f>
        <v>25</v>
      </c>
      <c r="G7" s="97">
        <f>'ANALYSIS BY SUBJECTS'!F201</f>
        <v>35</v>
      </c>
      <c r="H7" s="97">
        <f>'ANALYSIS BY SUBJECTS'!G201</f>
        <v>26</v>
      </c>
      <c r="I7" s="97">
        <f>'ANALYSIS BY SUBJECTS'!H201</f>
        <v>25</v>
      </c>
      <c r="J7" s="97">
        <f>'ANALYSIS BY SUBJECTS'!I201</f>
        <v>21</v>
      </c>
      <c r="K7" s="97">
        <f>'ANALYSIS BY SUBJECTS'!J201</f>
        <v>16</v>
      </c>
      <c r="L7" s="97">
        <f>'ANALYSIS BY SUBJECTS'!K201</f>
        <v>11</v>
      </c>
      <c r="M7" s="97">
        <f>'ANALYSIS BY SUBJECTS'!L201</f>
        <v>6</v>
      </c>
      <c r="N7" s="97">
        <v>0</v>
      </c>
      <c r="O7" s="98">
        <f>((E7+F7)/C7)</f>
        <v>0.15151515151515152</v>
      </c>
      <c r="P7" s="98">
        <f>(SUM(G7:J7)/C7)</f>
        <v>0.64848484848484844</v>
      </c>
      <c r="Q7" s="98">
        <f>(SUM(K7:L7)/C7)</f>
        <v>0.16363636363636364</v>
      </c>
      <c r="R7" s="98">
        <f>M7/C7</f>
        <v>3.6363636363636362E-2</v>
      </c>
      <c r="S7" s="99">
        <f>'OVERALL PERFORMANCES'!B3</f>
        <v>80</v>
      </c>
      <c r="T7" s="99">
        <f>'OVERALL PERFORMANCES'!C3</f>
        <v>96.36363636363636</v>
      </c>
      <c r="U7" s="94"/>
    </row>
    <row r="8" spans="1:21" ht="18" customHeight="1">
      <c r="A8" s="258" t="str">
        <f>'ANALYSIS BY SUBJECTS'!A202</f>
        <v>English Language</v>
      </c>
      <c r="B8" s="259"/>
      <c r="C8" s="97">
        <f>'ANALYSIS BY SUBJECTS'!C202</f>
        <v>165</v>
      </c>
      <c r="D8" s="97">
        <f>'ANALYSIS BY SUBJECTS'!C202</f>
        <v>165</v>
      </c>
      <c r="E8" s="97">
        <f>'ANALYSIS BY SUBJECTS'!D202</f>
        <v>1</v>
      </c>
      <c r="F8" s="97">
        <f>'ANALYSIS BY SUBJECTS'!E202</f>
        <v>33</v>
      </c>
      <c r="G8" s="97">
        <f>'ANALYSIS BY SUBJECTS'!F202</f>
        <v>31</v>
      </c>
      <c r="H8" s="97">
        <f>'ANALYSIS BY SUBJECTS'!G202</f>
        <v>36</v>
      </c>
      <c r="I8" s="97">
        <f>'ANALYSIS BY SUBJECTS'!H202</f>
        <v>17</v>
      </c>
      <c r="J8" s="97">
        <f>'ANALYSIS BY SUBJECTS'!I202</f>
        <v>18</v>
      </c>
      <c r="K8" s="97">
        <f>'ANALYSIS BY SUBJECTS'!J202</f>
        <v>10</v>
      </c>
      <c r="L8" s="97">
        <f>'ANALYSIS BY SUBJECTS'!K202</f>
        <v>8</v>
      </c>
      <c r="M8" s="97">
        <f>'ANALYSIS BY SUBJECTS'!L202</f>
        <v>11</v>
      </c>
      <c r="N8" s="97">
        <v>0</v>
      </c>
      <c r="O8" s="98">
        <f t="shared" ref="O8:O25" si="0">((E8+F8)/C8)</f>
        <v>0.20606060606060606</v>
      </c>
      <c r="P8" s="98">
        <f t="shared" ref="P8:P25" si="1">(SUM(G8:J8)/C8)</f>
        <v>0.61818181818181817</v>
      </c>
      <c r="Q8" s="98">
        <f t="shared" ref="Q8:Q25" si="2">(SUM(K8:L8)/C8)</f>
        <v>0.10909090909090909</v>
      </c>
      <c r="R8" s="98">
        <f t="shared" ref="R8:R25" si="3">M8/C8</f>
        <v>6.6666666666666666E-2</v>
      </c>
      <c r="S8" s="99">
        <f>'OVERALL PERFORMANCES'!B4</f>
        <v>82.424242424242422</v>
      </c>
      <c r="T8" s="99">
        <f>'OVERALL PERFORMANCES'!C4</f>
        <v>93.333333333333329</v>
      </c>
      <c r="U8" s="94"/>
    </row>
    <row r="9" spans="1:21" ht="18" customHeight="1">
      <c r="A9" s="258" t="str">
        <f>'ANALYSIS BY SUBJECTS'!A203</f>
        <v>Mathematics D</v>
      </c>
      <c r="B9" s="259"/>
      <c r="C9" s="97">
        <f>'ANALYSIS BY SUBJECTS'!C203</f>
        <v>126</v>
      </c>
      <c r="D9" s="97">
        <f>'ANALYSIS BY SUBJECTS'!C203</f>
        <v>126</v>
      </c>
      <c r="E9" s="97">
        <f>'ANALYSIS BY SUBJECTS'!D203</f>
        <v>2</v>
      </c>
      <c r="F9" s="97">
        <f>'ANALYSIS BY SUBJECTS'!E203</f>
        <v>7</v>
      </c>
      <c r="G9" s="97">
        <f>'ANALYSIS BY SUBJECTS'!F203</f>
        <v>7</v>
      </c>
      <c r="H9" s="97">
        <f>'ANALYSIS BY SUBJECTS'!G203</f>
        <v>2</v>
      </c>
      <c r="I9" s="97">
        <f>'ANALYSIS BY SUBJECTS'!H203</f>
        <v>7</v>
      </c>
      <c r="J9" s="97">
        <f>'ANALYSIS BY SUBJECTS'!I203</f>
        <v>10</v>
      </c>
      <c r="K9" s="97">
        <f>'ANALYSIS BY SUBJECTS'!J203</f>
        <v>10</v>
      </c>
      <c r="L9" s="97">
        <f>'ANALYSIS BY SUBJECTS'!K203</f>
        <v>19</v>
      </c>
      <c r="M9" s="97">
        <f>'ANALYSIS BY SUBJECTS'!L203</f>
        <v>62</v>
      </c>
      <c r="N9" s="97">
        <v>0</v>
      </c>
      <c r="O9" s="98">
        <f t="shared" si="0"/>
        <v>7.1428571428571425E-2</v>
      </c>
      <c r="P9" s="98">
        <f t="shared" si="1"/>
        <v>0.20634920634920634</v>
      </c>
      <c r="Q9" s="98">
        <f t="shared" si="2"/>
        <v>0.23015873015873015</v>
      </c>
      <c r="R9" s="98">
        <f t="shared" si="3"/>
        <v>0.49206349206349204</v>
      </c>
      <c r="S9" s="99">
        <f>'OVERALL PERFORMANCES'!B5</f>
        <v>27.777777777777779</v>
      </c>
      <c r="T9" s="99">
        <f>'OVERALL PERFORMANCES'!C5</f>
        <v>50.793650793650791</v>
      </c>
      <c r="U9" s="94"/>
    </row>
    <row r="10" spans="1:21" ht="18" customHeight="1">
      <c r="A10" s="258" t="str">
        <f>'ANALYSIS BY SUBJECTS'!A204</f>
        <v>Mathematics IGCSE (Core)</v>
      </c>
      <c r="B10" s="259"/>
      <c r="C10" s="97">
        <f>'ANALYSIS BY SUBJECTS'!C204</f>
        <v>39</v>
      </c>
      <c r="D10" s="97">
        <f>'ANALYSIS BY SUBJECTS'!C204</f>
        <v>39</v>
      </c>
      <c r="E10" s="97">
        <f>'ANALYSIS BY SUBJECTS'!D204</f>
        <v>1</v>
      </c>
      <c r="F10" s="97">
        <f>'ANALYSIS BY SUBJECTS'!E204</f>
        <v>4</v>
      </c>
      <c r="G10" s="97">
        <f>'ANALYSIS BY SUBJECTS'!F204</f>
        <v>9</v>
      </c>
      <c r="H10" s="97">
        <f>'ANALYSIS BY SUBJECTS'!G204</f>
        <v>12</v>
      </c>
      <c r="I10" s="97">
        <f>'ANALYSIS BY SUBJECTS'!H204</f>
        <v>8</v>
      </c>
      <c r="J10" s="97">
        <f>'ANALYSIS BY SUBJECTS'!I204</f>
        <v>5</v>
      </c>
      <c r="K10" s="97">
        <f>'ANALYSIS BY SUBJECTS'!J204</f>
        <v>0</v>
      </c>
      <c r="L10" s="97">
        <f>'ANALYSIS BY SUBJECTS'!K204</f>
        <v>0</v>
      </c>
      <c r="M10" s="97">
        <f>'ANALYSIS BY SUBJECTS'!L204</f>
        <v>0</v>
      </c>
      <c r="N10" s="97">
        <v>0</v>
      </c>
      <c r="O10" s="98">
        <f t="shared" si="0"/>
        <v>0.12820512820512819</v>
      </c>
      <c r="P10" s="98">
        <f t="shared" si="1"/>
        <v>0.87179487179487181</v>
      </c>
      <c r="Q10" s="98">
        <f t="shared" si="2"/>
        <v>0</v>
      </c>
      <c r="R10" s="98">
        <f t="shared" si="3"/>
        <v>0</v>
      </c>
      <c r="S10" s="99">
        <f>'OVERALL PERFORMANCES'!B6</f>
        <v>2.5641025641025639</v>
      </c>
      <c r="T10" s="99">
        <f>'OVERALL PERFORMANCES'!C6</f>
        <v>87.179487179487182</v>
      </c>
      <c r="U10" s="94"/>
    </row>
    <row r="11" spans="1:21" ht="18" customHeight="1">
      <c r="A11" s="258" t="str">
        <f>'ANALYSIS BY SUBJECTS'!A205</f>
        <v>Additional Maths</v>
      </c>
      <c r="B11" s="259"/>
      <c r="C11" s="97">
        <f>'ANALYSIS BY SUBJECTS'!C205</f>
        <v>17</v>
      </c>
      <c r="D11" s="97">
        <f>'ANALYSIS BY SUBJECTS'!C205</f>
        <v>17</v>
      </c>
      <c r="E11" s="97">
        <f>'ANALYSIS BY SUBJECTS'!D205</f>
        <v>0</v>
      </c>
      <c r="F11" s="97">
        <f>'ANALYSIS BY SUBJECTS'!E205</f>
        <v>0</v>
      </c>
      <c r="G11" s="97">
        <f>'ANALYSIS BY SUBJECTS'!F205</f>
        <v>0</v>
      </c>
      <c r="H11" s="97">
        <f>'ANALYSIS BY SUBJECTS'!G205</f>
        <v>0</v>
      </c>
      <c r="I11" s="97">
        <f>'ANALYSIS BY SUBJECTS'!H205</f>
        <v>1</v>
      </c>
      <c r="J11" s="97">
        <f>'ANALYSIS BY SUBJECTS'!I205</f>
        <v>0</v>
      </c>
      <c r="K11" s="97">
        <f>'ANALYSIS BY SUBJECTS'!J205</f>
        <v>6</v>
      </c>
      <c r="L11" s="97">
        <f>'ANALYSIS BY SUBJECTS'!K205</f>
        <v>2</v>
      </c>
      <c r="M11" s="97">
        <f>'ANALYSIS BY SUBJECTS'!L205</f>
        <v>8</v>
      </c>
      <c r="N11" s="97">
        <v>0</v>
      </c>
      <c r="O11" s="98">
        <f t="shared" si="0"/>
        <v>0</v>
      </c>
      <c r="P11" s="98">
        <f t="shared" si="1"/>
        <v>5.8823529411764705E-2</v>
      </c>
      <c r="Q11" s="98">
        <f t="shared" si="2"/>
        <v>0.47058823529411764</v>
      </c>
      <c r="R11" s="98">
        <f t="shared" si="3"/>
        <v>0.47058823529411764</v>
      </c>
      <c r="S11" s="99">
        <f>'OVERALL PERFORMANCES'!B7</f>
        <v>5.8823529411764701</v>
      </c>
      <c r="T11" s="99">
        <f>'OVERALL PERFORMANCES'!C7</f>
        <v>52.941176470588239</v>
      </c>
      <c r="U11" s="94"/>
    </row>
    <row r="12" spans="1:21" ht="18" customHeight="1">
      <c r="A12" s="258" t="str">
        <f>'ANALYSIS BY SUBJECTS'!A206</f>
        <v>Physics</v>
      </c>
      <c r="B12" s="259"/>
      <c r="C12" s="97">
        <f>'ANALYSIS BY SUBJECTS'!C206</f>
        <v>72</v>
      </c>
      <c r="D12" s="97">
        <f>'ANALYSIS BY SUBJECTS'!C206</f>
        <v>72</v>
      </c>
      <c r="E12" s="97">
        <f>'ANALYSIS BY SUBJECTS'!D206</f>
        <v>1</v>
      </c>
      <c r="F12" s="97">
        <f>'ANALYSIS BY SUBJECTS'!E206</f>
        <v>8</v>
      </c>
      <c r="G12" s="97">
        <f>'ANALYSIS BY SUBJECTS'!F206</f>
        <v>8</v>
      </c>
      <c r="H12" s="97">
        <f>'ANALYSIS BY SUBJECTS'!G206</f>
        <v>6</v>
      </c>
      <c r="I12" s="97">
        <f>'ANALYSIS BY SUBJECTS'!H206</f>
        <v>11</v>
      </c>
      <c r="J12" s="97">
        <f>'ANALYSIS BY SUBJECTS'!I206</f>
        <v>10</v>
      </c>
      <c r="K12" s="97">
        <f>'ANALYSIS BY SUBJECTS'!J206</f>
        <v>15</v>
      </c>
      <c r="L12" s="97">
        <f>'ANALYSIS BY SUBJECTS'!K206</f>
        <v>8</v>
      </c>
      <c r="M12" s="97">
        <f>'ANALYSIS BY SUBJECTS'!L206</f>
        <v>5</v>
      </c>
      <c r="N12" s="97">
        <v>0</v>
      </c>
      <c r="O12" s="98">
        <f t="shared" si="0"/>
        <v>0.125</v>
      </c>
      <c r="P12" s="98">
        <f t="shared" si="1"/>
        <v>0.4861111111111111</v>
      </c>
      <c r="Q12" s="98">
        <f t="shared" si="2"/>
        <v>0.31944444444444442</v>
      </c>
      <c r="R12" s="98">
        <f t="shared" si="3"/>
        <v>6.9444444444444448E-2</v>
      </c>
      <c r="S12" s="99">
        <f>'OVERALL PERFORMANCES'!B8</f>
        <v>61.111111111111114</v>
      </c>
      <c r="T12" s="99">
        <f>'OVERALL PERFORMANCES'!C8</f>
        <v>93.055555555555557</v>
      </c>
      <c r="U12" s="94"/>
    </row>
    <row r="13" spans="1:21" ht="18" customHeight="1">
      <c r="A13" s="258" t="str">
        <f>'ANALYSIS BY SUBJECTS'!A207</f>
        <v>Chemistry</v>
      </c>
      <c r="B13" s="259"/>
      <c r="C13" s="97">
        <f>'ANALYSIS BY SUBJECTS'!C207</f>
        <v>78</v>
      </c>
      <c r="D13" s="97">
        <f>'ANALYSIS BY SUBJECTS'!C207</f>
        <v>78</v>
      </c>
      <c r="E13" s="97">
        <f>'ANALYSIS BY SUBJECTS'!D207</f>
        <v>0</v>
      </c>
      <c r="F13" s="97">
        <f>'ANALYSIS BY SUBJECTS'!E207</f>
        <v>4</v>
      </c>
      <c r="G13" s="97">
        <f>'ANALYSIS BY SUBJECTS'!F207</f>
        <v>4</v>
      </c>
      <c r="H13" s="97">
        <f>'ANALYSIS BY SUBJECTS'!G207</f>
        <v>4</v>
      </c>
      <c r="I13" s="97">
        <f>'ANALYSIS BY SUBJECTS'!H207</f>
        <v>5</v>
      </c>
      <c r="J13" s="97">
        <f>'ANALYSIS BY SUBJECTS'!I207</f>
        <v>12</v>
      </c>
      <c r="K13" s="97">
        <f>'ANALYSIS BY SUBJECTS'!J207</f>
        <v>17</v>
      </c>
      <c r="L13" s="97">
        <f>'ANALYSIS BY SUBJECTS'!K207</f>
        <v>11</v>
      </c>
      <c r="M13" s="97">
        <f>'ANALYSIS BY SUBJECTS'!L207</f>
        <v>21</v>
      </c>
      <c r="N13" s="97">
        <v>0</v>
      </c>
      <c r="O13" s="98">
        <f t="shared" si="0"/>
        <v>5.128205128205128E-2</v>
      </c>
      <c r="P13" s="98">
        <f t="shared" si="1"/>
        <v>0.32051282051282054</v>
      </c>
      <c r="Q13" s="98">
        <f t="shared" si="2"/>
        <v>0.35897435897435898</v>
      </c>
      <c r="R13" s="98">
        <f t="shared" si="3"/>
        <v>0.26923076923076922</v>
      </c>
      <c r="S13" s="99">
        <f>'OVERALL PERFORMANCES'!B9</f>
        <v>37.179487179487182</v>
      </c>
      <c r="T13" s="99">
        <f>'OVERALL PERFORMANCES'!C9</f>
        <v>73.076923076923066</v>
      </c>
      <c r="U13" s="94"/>
    </row>
    <row r="14" spans="1:21" ht="18" customHeight="1">
      <c r="A14" s="258" t="str">
        <f>'ANALYSIS BY SUBJECTS'!A208</f>
        <v>Biology</v>
      </c>
      <c r="B14" s="259"/>
      <c r="C14" s="97">
        <f>'ANALYSIS BY SUBJECTS'!C208</f>
        <v>77</v>
      </c>
      <c r="D14" s="97">
        <f>'ANALYSIS BY SUBJECTS'!C208</f>
        <v>77</v>
      </c>
      <c r="E14" s="97">
        <f>'ANALYSIS BY SUBJECTS'!D208</f>
        <v>0</v>
      </c>
      <c r="F14" s="97">
        <f>'ANALYSIS BY SUBJECTS'!E208</f>
        <v>1</v>
      </c>
      <c r="G14" s="97">
        <f>'ANALYSIS BY SUBJECTS'!F208</f>
        <v>7</v>
      </c>
      <c r="H14" s="97">
        <f>'ANALYSIS BY SUBJECTS'!G208</f>
        <v>9</v>
      </c>
      <c r="I14" s="97">
        <f>'ANALYSIS BY SUBJECTS'!H208</f>
        <v>12</v>
      </c>
      <c r="J14" s="97">
        <f>'ANALYSIS BY SUBJECTS'!I208</f>
        <v>12</v>
      </c>
      <c r="K14" s="97">
        <f>'ANALYSIS BY SUBJECTS'!J208</f>
        <v>17</v>
      </c>
      <c r="L14" s="97">
        <f>'ANALYSIS BY SUBJECTS'!K208</f>
        <v>14</v>
      </c>
      <c r="M14" s="97">
        <f>'ANALYSIS BY SUBJECTS'!L208</f>
        <v>5</v>
      </c>
      <c r="N14" s="97">
        <v>0</v>
      </c>
      <c r="O14" s="98">
        <f t="shared" si="0"/>
        <v>1.2987012987012988E-2</v>
      </c>
      <c r="P14" s="98">
        <f t="shared" si="1"/>
        <v>0.51948051948051943</v>
      </c>
      <c r="Q14" s="98">
        <f t="shared" si="2"/>
        <v>0.40259740259740262</v>
      </c>
      <c r="R14" s="98">
        <f t="shared" si="3"/>
        <v>6.4935064935064929E-2</v>
      </c>
      <c r="S14" s="99">
        <f>'OVERALL PERFORMANCES'!B10</f>
        <v>53.246753246753244</v>
      </c>
      <c r="T14" s="99">
        <f>'OVERALL PERFORMANCES'!C10</f>
        <v>93.506493506493499</v>
      </c>
      <c r="U14" s="94"/>
    </row>
    <row r="15" spans="1:21" ht="18" customHeight="1">
      <c r="A15" s="258" t="str">
        <f>'ANALYSIS BY SUBJECTS'!A209</f>
        <v>Combined Science</v>
      </c>
      <c r="B15" s="259"/>
      <c r="C15" s="97">
        <f>'ANALYSIS BY SUBJECTS'!C209</f>
        <v>39</v>
      </c>
      <c r="D15" s="97">
        <f>'ANALYSIS BY SUBJECTS'!C209</f>
        <v>39</v>
      </c>
      <c r="E15" s="97">
        <f>'ANALYSIS BY SUBJECTS'!D209</f>
        <v>0</v>
      </c>
      <c r="F15" s="97">
        <f>'ANALYSIS BY SUBJECTS'!E209</f>
        <v>0</v>
      </c>
      <c r="G15" s="97">
        <f>'ANALYSIS BY SUBJECTS'!F209</f>
        <v>0</v>
      </c>
      <c r="H15" s="97">
        <f>'ANALYSIS BY SUBJECTS'!G209</f>
        <v>0</v>
      </c>
      <c r="I15" s="97">
        <f>'ANALYSIS BY SUBJECTS'!H209</f>
        <v>1</v>
      </c>
      <c r="J15" s="97">
        <f>'ANALYSIS BY SUBJECTS'!I209</f>
        <v>1</v>
      </c>
      <c r="K15" s="97">
        <f>'ANALYSIS BY SUBJECTS'!J209</f>
        <v>3</v>
      </c>
      <c r="L15" s="97">
        <f>'ANALYSIS BY SUBJECTS'!K209</f>
        <v>11</v>
      </c>
      <c r="M15" s="97">
        <f>'ANALYSIS BY SUBJECTS'!L209</f>
        <v>23</v>
      </c>
      <c r="N15" s="97">
        <v>0</v>
      </c>
      <c r="O15" s="98">
        <f t="shared" si="0"/>
        <v>0</v>
      </c>
      <c r="P15" s="98">
        <f t="shared" si="1"/>
        <v>5.128205128205128E-2</v>
      </c>
      <c r="Q15" s="98">
        <f t="shared" si="2"/>
        <v>0.35897435897435898</v>
      </c>
      <c r="R15" s="98">
        <f t="shared" si="3"/>
        <v>0.58974358974358976</v>
      </c>
      <c r="S15" s="99">
        <f>'OVERALL PERFORMANCES'!B11</f>
        <v>5.1282051282051277</v>
      </c>
      <c r="T15" s="99">
        <f>'OVERALL PERFORMANCES'!C11</f>
        <v>41.025641025641022</v>
      </c>
      <c r="U15" s="94"/>
    </row>
    <row r="16" spans="1:21" ht="18" customHeight="1">
      <c r="A16" s="258" t="str">
        <f>'ANALYSIS BY SUBJECTS'!A210</f>
        <v>Geography</v>
      </c>
      <c r="B16" s="259"/>
      <c r="C16" s="97">
        <f>'ANALYSIS BY SUBJECTS'!C210</f>
        <v>64</v>
      </c>
      <c r="D16" s="97">
        <f>'ANALYSIS BY SUBJECTS'!C210</f>
        <v>64</v>
      </c>
      <c r="E16" s="97">
        <f>'ANALYSIS BY SUBJECTS'!D210</f>
        <v>0</v>
      </c>
      <c r="F16" s="97">
        <f>'ANALYSIS BY SUBJECTS'!E210</f>
        <v>0</v>
      </c>
      <c r="G16" s="97">
        <f>'ANALYSIS BY SUBJECTS'!F210</f>
        <v>4</v>
      </c>
      <c r="H16" s="97">
        <f>'ANALYSIS BY SUBJECTS'!G210</f>
        <v>2</v>
      </c>
      <c r="I16" s="97">
        <f>'ANALYSIS BY SUBJECTS'!H210</f>
        <v>1</v>
      </c>
      <c r="J16" s="97">
        <f>'ANALYSIS BY SUBJECTS'!I210</f>
        <v>5</v>
      </c>
      <c r="K16" s="97">
        <f>'ANALYSIS BY SUBJECTS'!J210</f>
        <v>13</v>
      </c>
      <c r="L16" s="97">
        <f>'ANALYSIS BY SUBJECTS'!K210</f>
        <v>20</v>
      </c>
      <c r="M16" s="97">
        <f>'ANALYSIS BY SUBJECTS'!L210</f>
        <v>19</v>
      </c>
      <c r="N16" s="97">
        <v>0</v>
      </c>
      <c r="O16" s="98">
        <f t="shared" si="0"/>
        <v>0</v>
      </c>
      <c r="P16" s="98">
        <f t="shared" si="1"/>
        <v>0.1875</v>
      </c>
      <c r="Q16" s="98">
        <f t="shared" si="2"/>
        <v>0.515625</v>
      </c>
      <c r="R16" s="98">
        <f t="shared" si="3"/>
        <v>0.296875</v>
      </c>
      <c r="S16" s="99">
        <f>'OVERALL PERFORMANCES'!B12</f>
        <v>18.75</v>
      </c>
      <c r="T16" s="99">
        <f>'OVERALL PERFORMANCES'!C12</f>
        <v>70.3125</v>
      </c>
      <c r="U16" s="94"/>
    </row>
    <row r="17" spans="1:21" ht="18" customHeight="1">
      <c r="A17" s="258" t="str">
        <f>'ANALYSIS BY SUBJECTS'!A211</f>
        <v>IRK</v>
      </c>
      <c r="B17" s="259"/>
      <c r="C17" s="97">
        <f>'ANALYSIS BY SUBJECTS'!C211</f>
        <v>165</v>
      </c>
      <c r="D17" s="97">
        <f>'ANALYSIS BY SUBJECTS'!C211</f>
        <v>165</v>
      </c>
      <c r="E17" s="97">
        <f>'ANALYSIS BY SUBJECTS'!D211</f>
        <v>13</v>
      </c>
      <c r="F17" s="97">
        <f>'ANALYSIS BY SUBJECTS'!E211</f>
        <v>19</v>
      </c>
      <c r="G17" s="97">
        <f>'ANALYSIS BY SUBJECTS'!F211</f>
        <v>15</v>
      </c>
      <c r="H17" s="97">
        <f>'ANALYSIS BY SUBJECTS'!G211</f>
        <v>17</v>
      </c>
      <c r="I17" s="97">
        <f>'ANALYSIS BY SUBJECTS'!H211</f>
        <v>17</v>
      </c>
      <c r="J17" s="97">
        <f>'ANALYSIS BY SUBJECTS'!I211</f>
        <v>15</v>
      </c>
      <c r="K17" s="97">
        <f>'ANALYSIS BY SUBJECTS'!J211</f>
        <v>20</v>
      </c>
      <c r="L17" s="97">
        <f>'ANALYSIS BY SUBJECTS'!K211</f>
        <v>25</v>
      </c>
      <c r="M17" s="97">
        <f>'ANALYSIS BY SUBJECTS'!L211</f>
        <v>24</v>
      </c>
      <c r="N17" s="97">
        <v>0</v>
      </c>
      <c r="O17" s="98">
        <f t="shared" si="0"/>
        <v>0.19393939393939394</v>
      </c>
      <c r="P17" s="98">
        <f t="shared" si="1"/>
        <v>0.38787878787878788</v>
      </c>
      <c r="Q17" s="98">
        <f t="shared" si="2"/>
        <v>0.27272727272727271</v>
      </c>
      <c r="R17" s="98">
        <f t="shared" si="3"/>
        <v>0.14545454545454545</v>
      </c>
      <c r="S17" s="99">
        <f>'OVERALL PERFORMANCES'!B13</f>
        <v>58.18181818181818</v>
      </c>
      <c r="T17" s="99">
        <f>'OVERALL PERFORMANCES'!C13</f>
        <v>85.454545454545453</v>
      </c>
      <c r="U17" s="94"/>
    </row>
    <row r="18" spans="1:21" ht="18" customHeight="1">
      <c r="A18" s="258" t="str">
        <f>'ANALYSIS BY SUBJECTS'!A212</f>
        <v>History</v>
      </c>
      <c r="B18" s="259"/>
      <c r="C18" s="97">
        <f>'ANALYSIS BY SUBJECTS'!C212</f>
        <v>23</v>
      </c>
      <c r="D18" s="97">
        <f>'ANALYSIS BY SUBJECTS'!C212</f>
        <v>23</v>
      </c>
      <c r="E18" s="97">
        <f>'ANALYSIS BY SUBJECTS'!D212</f>
        <v>0</v>
      </c>
      <c r="F18" s="97">
        <f>'ANALYSIS BY SUBJECTS'!E212</f>
        <v>0</v>
      </c>
      <c r="G18" s="97">
        <f>'ANALYSIS BY SUBJECTS'!F212</f>
        <v>1</v>
      </c>
      <c r="H18" s="97">
        <f>'ANALYSIS BY SUBJECTS'!G212</f>
        <v>1</v>
      </c>
      <c r="I18" s="97">
        <f>'ANALYSIS BY SUBJECTS'!H212</f>
        <v>2</v>
      </c>
      <c r="J18" s="97">
        <f>'ANALYSIS BY SUBJECTS'!I212</f>
        <v>1</v>
      </c>
      <c r="K18" s="97">
        <f>'ANALYSIS BY SUBJECTS'!J212</f>
        <v>4</v>
      </c>
      <c r="L18" s="97">
        <f>'ANALYSIS BY SUBJECTS'!K212</f>
        <v>7</v>
      </c>
      <c r="M18" s="97">
        <f>'ANALYSIS BY SUBJECTS'!L212</f>
        <v>7</v>
      </c>
      <c r="N18" s="97">
        <v>0</v>
      </c>
      <c r="O18" s="98">
        <f t="shared" si="0"/>
        <v>0</v>
      </c>
      <c r="P18" s="98">
        <f t="shared" si="1"/>
        <v>0.21739130434782608</v>
      </c>
      <c r="Q18" s="98">
        <f t="shared" si="2"/>
        <v>0.47826086956521741</v>
      </c>
      <c r="R18" s="98">
        <f t="shared" si="3"/>
        <v>0.30434782608695654</v>
      </c>
      <c r="S18" s="99">
        <f>'OVERALL PERFORMANCES'!B14</f>
        <v>21.739130434782609</v>
      </c>
      <c r="T18" s="99">
        <f>'OVERALL PERFORMANCES'!C14</f>
        <v>69.565217391304344</v>
      </c>
      <c r="U18" s="94"/>
    </row>
    <row r="19" spans="1:21" ht="18" customHeight="1">
      <c r="A19" s="258" t="str">
        <f>'ANALYSIS BY SUBJECTS'!A213</f>
        <v>Commerce</v>
      </c>
      <c r="B19" s="259"/>
      <c r="C19" s="97">
        <f>'ANALYSIS BY SUBJECTS'!C213</f>
        <v>11</v>
      </c>
      <c r="D19" s="97">
        <f>'ANALYSIS BY SUBJECTS'!C213</f>
        <v>11</v>
      </c>
      <c r="E19" s="97">
        <f>'ANALYSIS BY SUBJECTS'!D213</f>
        <v>0</v>
      </c>
      <c r="F19" s="97">
        <f>'ANALYSIS BY SUBJECTS'!E213</f>
        <v>1</v>
      </c>
      <c r="G19" s="97">
        <f>'ANALYSIS BY SUBJECTS'!F213</f>
        <v>0</v>
      </c>
      <c r="H19" s="97">
        <f>'ANALYSIS BY SUBJECTS'!G213</f>
        <v>2</v>
      </c>
      <c r="I19" s="97">
        <f>'ANALYSIS BY SUBJECTS'!H213</f>
        <v>1</v>
      </c>
      <c r="J19" s="97">
        <f>'ANALYSIS BY SUBJECTS'!I213</f>
        <v>3</v>
      </c>
      <c r="K19" s="97">
        <f>'ANALYSIS BY SUBJECTS'!J213</f>
        <v>2</v>
      </c>
      <c r="L19" s="97">
        <f>'ANALYSIS BY SUBJECTS'!K213</f>
        <v>1</v>
      </c>
      <c r="M19" s="97">
        <f>'ANALYSIS BY SUBJECTS'!L213</f>
        <v>1</v>
      </c>
      <c r="N19" s="97">
        <v>0</v>
      </c>
      <c r="O19" s="98">
        <f t="shared" si="0"/>
        <v>9.0909090909090912E-2</v>
      </c>
      <c r="P19" s="98">
        <f t="shared" si="1"/>
        <v>0.54545454545454541</v>
      </c>
      <c r="Q19" s="98">
        <f t="shared" si="2"/>
        <v>0.27272727272727271</v>
      </c>
      <c r="R19" s="98">
        <f t="shared" si="3"/>
        <v>9.0909090909090912E-2</v>
      </c>
      <c r="S19" s="99">
        <f>'OVERALL PERFORMANCES'!B15</f>
        <v>63.636363636363633</v>
      </c>
      <c r="T19" s="99">
        <f>'OVERALL PERFORMANCES'!C15</f>
        <v>90.909090909090907</v>
      </c>
      <c r="U19" s="94"/>
    </row>
    <row r="20" spans="1:21" ht="18" customHeight="1">
      <c r="A20" s="258" t="str">
        <f>'ANALYSIS BY SUBJECTS'!A214</f>
        <v>Economics</v>
      </c>
      <c r="B20" s="259"/>
      <c r="C20" s="97">
        <f>'ANALYSIS BY SUBJECTS'!C214</f>
        <v>29</v>
      </c>
      <c r="D20" s="97">
        <f>'ANALYSIS BY SUBJECTS'!C214</f>
        <v>29</v>
      </c>
      <c r="E20" s="97">
        <f>'ANALYSIS BY SUBJECTS'!D214</f>
        <v>0</v>
      </c>
      <c r="F20" s="97">
        <f>'ANALYSIS BY SUBJECTS'!E214</f>
        <v>1</v>
      </c>
      <c r="G20" s="97">
        <f>'ANALYSIS BY SUBJECTS'!F214</f>
        <v>6</v>
      </c>
      <c r="H20" s="97">
        <f>'ANALYSIS BY SUBJECTS'!G214</f>
        <v>6</v>
      </c>
      <c r="I20" s="97">
        <f>'ANALYSIS BY SUBJECTS'!H214</f>
        <v>6</v>
      </c>
      <c r="J20" s="97">
        <f>'ANALYSIS BY SUBJECTS'!I214</f>
        <v>4</v>
      </c>
      <c r="K20" s="97">
        <f>'ANALYSIS BY SUBJECTS'!J214</f>
        <v>5</v>
      </c>
      <c r="L20" s="97">
        <f>'ANALYSIS BY SUBJECTS'!K214</f>
        <v>1</v>
      </c>
      <c r="M20" s="97">
        <f>'ANALYSIS BY SUBJECTS'!L214</f>
        <v>0</v>
      </c>
      <c r="N20" s="97">
        <v>0</v>
      </c>
      <c r="O20" s="98">
        <f>((E20+F20)/C20)</f>
        <v>3.4482758620689655E-2</v>
      </c>
      <c r="P20" s="98">
        <f>(SUM(G20:J20)/C20)</f>
        <v>0.75862068965517238</v>
      </c>
      <c r="Q20" s="98">
        <f>(SUM(K20:L20)/C20)</f>
        <v>0.20689655172413793</v>
      </c>
      <c r="R20" s="98">
        <f>M20/C20</f>
        <v>0</v>
      </c>
      <c r="S20" s="99">
        <f>'OVERALL PERFORMANCES'!B16</f>
        <v>79.310344827586206</v>
      </c>
      <c r="T20" s="99">
        <f>'OVERALL PERFORMANCES'!C16</f>
        <v>100</v>
      </c>
      <c r="U20" s="94"/>
    </row>
    <row r="21" spans="1:21" ht="18" customHeight="1">
      <c r="A21" s="258" t="str">
        <f>'ANALYSIS BY SUBJECTS'!A215</f>
        <v>Accounting</v>
      </c>
      <c r="B21" s="259"/>
      <c r="C21" s="97">
        <f>'ANALYSIS BY SUBJECTS'!C215</f>
        <v>73</v>
      </c>
      <c r="D21" s="97">
        <f>'ANALYSIS BY SUBJECTS'!C215</f>
        <v>73</v>
      </c>
      <c r="E21" s="97">
        <f>'ANALYSIS BY SUBJECTS'!D215</f>
        <v>0</v>
      </c>
      <c r="F21" s="97">
        <f>'ANALYSIS BY SUBJECTS'!E215</f>
        <v>0</v>
      </c>
      <c r="G21" s="97">
        <f>'ANALYSIS BY SUBJECTS'!F215</f>
        <v>0</v>
      </c>
      <c r="H21" s="97">
        <f>'ANALYSIS BY SUBJECTS'!G215</f>
        <v>0</v>
      </c>
      <c r="I21" s="97">
        <f>'ANALYSIS BY SUBJECTS'!H215</f>
        <v>0</v>
      </c>
      <c r="J21" s="97">
        <f>'ANALYSIS BY SUBJECTS'!I215</f>
        <v>2</v>
      </c>
      <c r="K21" s="97">
        <f>'ANALYSIS BY SUBJECTS'!J215</f>
        <v>9</v>
      </c>
      <c r="L21" s="97">
        <f>'ANALYSIS BY SUBJECTS'!K215</f>
        <v>19</v>
      </c>
      <c r="M21" s="97">
        <f>'ANALYSIS BY SUBJECTS'!L215</f>
        <v>43</v>
      </c>
      <c r="N21" s="97">
        <v>0</v>
      </c>
      <c r="O21" s="98">
        <f t="shared" si="0"/>
        <v>0</v>
      </c>
      <c r="P21" s="98">
        <f t="shared" si="1"/>
        <v>2.7397260273972601E-2</v>
      </c>
      <c r="Q21" s="98">
        <f t="shared" si="2"/>
        <v>0.38356164383561642</v>
      </c>
      <c r="R21" s="98">
        <f t="shared" si="3"/>
        <v>0.58904109589041098</v>
      </c>
      <c r="S21" s="99">
        <f>'OVERALL PERFORMANCES'!B17</f>
        <v>2.7397260273972601</v>
      </c>
      <c r="T21" s="99">
        <f>'OVERALL PERFORMANCES'!C17</f>
        <v>41.095890410958901</v>
      </c>
      <c r="U21" s="94"/>
    </row>
    <row r="22" spans="1:21" ht="18" customHeight="1">
      <c r="A22" s="258" t="str">
        <f>'ANALYSIS BY SUBJECTS'!A216</f>
        <v>Art &amp; Design</v>
      </c>
      <c r="B22" s="259"/>
      <c r="C22" s="97">
        <f>'ANALYSIS BY SUBJECTS'!C216</f>
        <v>100</v>
      </c>
      <c r="D22" s="97">
        <f>'ANALYSIS BY SUBJECTS'!C216</f>
        <v>100</v>
      </c>
      <c r="E22" s="97">
        <f>'ANALYSIS BY SUBJECTS'!D216</f>
        <v>2</v>
      </c>
      <c r="F22" s="97">
        <f>'ANALYSIS BY SUBJECTS'!E216</f>
        <v>9</v>
      </c>
      <c r="G22" s="97">
        <f>'ANALYSIS BY SUBJECTS'!F216</f>
        <v>9</v>
      </c>
      <c r="H22" s="97">
        <f>'ANALYSIS BY SUBJECTS'!G216</f>
        <v>10</v>
      </c>
      <c r="I22" s="97">
        <f>'ANALYSIS BY SUBJECTS'!H216</f>
        <v>19</v>
      </c>
      <c r="J22" s="97">
        <f>'ANALYSIS BY SUBJECTS'!I216</f>
        <v>20</v>
      </c>
      <c r="K22" s="97">
        <f>'ANALYSIS BY SUBJECTS'!J216</f>
        <v>21</v>
      </c>
      <c r="L22" s="97">
        <f>'ANALYSIS BY SUBJECTS'!K216</f>
        <v>5</v>
      </c>
      <c r="M22" s="97">
        <f>'ANALYSIS BY SUBJECTS'!L216</f>
        <v>5</v>
      </c>
      <c r="N22" s="97">
        <v>0</v>
      </c>
      <c r="O22" s="98">
        <f t="shared" si="0"/>
        <v>0.11</v>
      </c>
      <c r="P22" s="98">
        <f t="shared" si="1"/>
        <v>0.57999999999999996</v>
      </c>
      <c r="Q22" s="98">
        <f t="shared" si="2"/>
        <v>0.26</v>
      </c>
      <c r="R22" s="98">
        <f t="shared" si="3"/>
        <v>0.05</v>
      </c>
      <c r="S22" s="99">
        <f>'OVERALL PERFORMANCES'!B18</f>
        <v>69</v>
      </c>
      <c r="T22" s="99">
        <f>'OVERALL PERFORMANCES'!C18</f>
        <v>95</v>
      </c>
      <c r="U22" s="94"/>
    </row>
    <row r="23" spans="1:21" ht="18" customHeight="1">
      <c r="A23" s="258" t="str">
        <f>'ANALYSIS BY SUBJECTS'!A217</f>
        <v>Food &amp; Nutrition</v>
      </c>
      <c r="B23" s="259"/>
      <c r="C23" s="97">
        <f>'ANALYSIS BY SUBJECTS'!C217</f>
        <v>15</v>
      </c>
      <c r="D23" s="97">
        <f>'ANALYSIS BY SUBJECTS'!C217</f>
        <v>15</v>
      </c>
      <c r="E23" s="97">
        <f>'ANALYSIS BY SUBJECTS'!D217</f>
        <v>0</v>
      </c>
      <c r="F23" s="97">
        <f>'ANALYSIS BY SUBJECTS'!E217</f>
        <v>0</v>
      </c>
      <c r="G23" s="97">
        <f>'ANALYSIS BY SUBJECTS'!F217</f>
        <v>0</v>
      </c>
      <c r="H23" s="97">
        <f>'ANALYSIS BY SUBJECTS'!G217</f>
        <v>2</v>
      </c>
      <c r="I23" s="97">
        <f>'ANALYSIS BY SUBJECTS'!H217</f>
        <v>0</v>
      </c>
      <c r="J23" s="97">
        <f>'ANALYSIS BY SUBJECTS'!I217</f>
        <v>2</v>
      </c>
      <c r="K23" s="97">
        <f>'ANALYSIS BY SUBJECTS'!J217</f>
        <v>7</v>
      </c>
      <c r="L23" s="97">
        <f>'ANALYSIS BY SUBJECTS'!K217</f>
        <v>2</v>
      </c>
      <c r="M23" s="97">
        <f>'ANALYSIS BY SUBJECTS'!L217</f>
        <v>2</v>
      </c>
      <c r="N23" s="97">
        <v>0</v>
      </c>
      <c r="O23" s="98">
        <f t="shared" si="0"/>
        <v>0</v>
      </c>
      <c r="P23" s="98">
        <f t="shared" si="1"/>
        <v>0.26666666666666666</v>
      </c>
      <c r="Q23" s="98">
        <f t="shared" si="2"/>
        <v>0.6</v>
      </c>
      <c r="R23" s="98">
        <f t="shared" si="3"/>
        <v>0.13333333333333333</v>
      </c>
      <c r="S23" s="99">
        <f>'OVERALL PERFORMANCES'!B19</f>
        <v>26.666666666666668</v>
      </c>
      <c r="T23" s="99">
        <f>'OVERALL PERFORMANCES'!C19</f>
        <v>86.666666666666671</v>
      </c>
      <c r="U23" s="94"/>
    </row>
    <row r="24" spans="1:21" ht="18" customHeight="1">
      <c r="A24" s="258" t="str">
        <f>'ANALYSIS BY SUBJECTS'!A218</f>
        <v>Agriculture</v>
      </c>
      <c r="B24" s="259"/>
      <c r="C24" s="97">
        <f>'ANALYSIS BY SUBJECTS'!C218</f>
        <v>5</v>
      </c>
      <c r="D24" s="97">
        <f>'ANALYSIS BY SUBJECTS'!C218</f>
        <v>5</v>
      </c>
      <c r="E24" s="97">
        <f>'ANALYSIS BY SUBJECTS'!D218</f>
        <v>0</v>
      </c>
      <c r="F24" s="97">
        <f>'ANALYSIS BY SUBJECTS'!E218</f>
        <v>0</v>
      </c>
      <c r="G24" s="97">
        <f>'ANALYSIS BY SUBJECTS'!F218</f>
        <v>0</v>
      </c>
      <c r="H24" s="97">
        <f>'ANALYSIS BY SUBJECTS'!G218</f>
        <v>0</v>
      </c>
      <c r="I24" s="97">
        <f>'ANALYSIS BY SUBJECTS'!H218</f>
        <v>0</v>
      </c>
      <c r="J24" s="97">
        <f>'ANALYSIS BY SUBJECTS'!I218</f>
        <v>2</v>
      </c>
      <c r="K24" s="97">
        <f>'ANALYSIS BY SUBJECTS'!J218</f>
        <v>1</v>
      </c>
      <c r="L24" s="97">
        <f>'ANALYSIS BY SUBJECTS'!K218</f>
        <v>2</v>
      </c>
      <c r="M24" s="97">
        <f>'ANALYSIS BY SUBJECTS'!L218</f>
        <v>0</v>
      </c>
      <c r="N24" s="97">
        <v>0</v>
      </c>
      <c r="O24" s="98">
        <f t="shared" si="0"/>
        <v>0</v>
      </c>
      <c r="P24" s="98">
        <f t="shared" si="1"/>
        <v>0.4</v>
      </c>
      <c r="Q24" s="98">
        <f t="shared" si="2"/>
        <v>0.6</v>
      </c>
      <c r="R24" s="98">
        <f t="shared" si="3"/>
        <v>0</v>
      </c>
      <c r="S24" s="99">
        <f>'OVERALL PERFORMANCES'!B20</f>
        <v>40</v>
      </c>
      <c r="T24" s="99">
        <f>'OVERALL PERFORMANCES'!C20</f>
        <v>100</v>
      </c>
      <c r="U24" s="94"/>
    </row>
    <row r="25" spans="1:21" ht="18" customHeight="1">
      <c r="A25" s="258" t="str">
        <f>'ANALYSIS BY SUBJECTS'!A219</f>
        <v>Sastera</v>
      </c>
      <c r="B25" s="259"/>
      <c r="C25" s="97">
        <f>'ANALYSIS BY SUBJECTS'!C219</f>
        <v>39</v>
      </c>
      <c r="D25" s="97">
        <f>'ANALYSIS BY SUBJECTS'!C219</f>
        <v>39</v>
      </c>
      <c r="E25" s="97">
        <f>'ANALYSIS BY SUBJECTS'!D219</f>
        <v>0</v>
      </c>
      <c r="F25" s="97">
        <f>'ANALYSIS BY SUBJECTS'!E219</f>
        <v>0</v>
      </c>
      <c r="G25" s="97">
        <f>'ANALYSIS BY SUBJECTS'!F219</f>
        <v>0</v>
      </c>
      <c r="H25" s="97">
        <f>'ANALYSIS BY SUBJECTS'!G219</f>
        <v>3</v>
      </c>
      <c r="I25" s="97">
        <f>'ANALYSIS BY SUBJECTS'!H219</f>
        <v>3</v>
      </c>
      <c r="J25" s="97">
        <f>'ANALYSIS BY SUBJECTS'!I219</f>
        <v>4</v>
      </c>
      <c r="K25" s="97">
        <f>'ANALYSIS BY SUBJECTS'!J219</f>
        <v>6</v>
      </c>
      <c r="L25" s="97">
        <f>'ANALYSIS BY SUBJECTS'!K219</f>
        <v>14</v>
      </c>
      <c r="M25" s="97">
        <f>'ANALYSIS BY SUBJECTS'!L219</f>
        <v>9</v>
      </c>
      <c r="N25" s="97">
        <v>0</v>
      </c>
      <c r="O25" s="98">
        <f t="shared" si="0"/>
        <v>0</v>
      </c>
      <c r="P25" s="98">
        <f t="shared" si="1"/>
        <v>0.25641025641025639</v>
      </c>
      <c r="Q25" s="98">
        <f t="shared" si="2"/>
        <v>0.51282051282051277</v>
      </c>
      <c r="R25" s="98">
        <f t="shared" si="3"/>
        <v>0.23076923076923078</v>
      </c>
      <c r="S25" s="99">
        <f>'OVERALL PERFORMANCES'!B21</f>
        <v>25.641025641025639</v>
      </c>
      <c r="T25" s="99">
        <f>'OVERALL PERFORMANCES'!C21</f>
        <v>76.923076923076934</v>
      </c>
      <c r="U25" s="94"/>
    </row>
    <row r="26" spans="1:21" ht="18" customHeight="1">
      <c r="A26" s="258" t="s">
        <v>40</v>
      </c>
      <c r="B26" s="259"/>
      <c r="C26" s="97">
        <f>'ANALYSIS BY SUBJECTS'!C220</f>
        <v>9</v>
      </c>
      <c r="D26" s="97">
        <f>'ANALYSIS BY SUBJECTS'!C220</f>
        <v>9</v>
      </c>
      <c r="E26" s="97">
        <f>'ANALYSIS BY SUBJECTS'!D220</f>
        <v>0</v>
      </c>
      <c r="F26" s="97">
        <f>'ANALYSIS BY SUBJECTS'!E220</f>
        <v>0</v>
      </c>
      <c r="G26" s="97">
        <f>'ANALYSIS BY SUBJECTS'!F220</f>
        <v>0</v>
      </c>
      <c r="H26" s="97">
        <f>'ANALYSIS BY SUBJECTS'!G220</f>
        <v>1</v>
      </c>
      <c r="I26" s="97">
        <f>'ANALYSIS BY SUBJECTS'!H220</f>
        <v>0</v>
      </c>
      <c r="J26" s="97">
        <f>'ANALYSIS BY SUBJECTS'!I220</f>
        <v>2</v>
      </c>
      <c r="K26" s="97">
        <f>'ANALYSIS BY SUBJECTS'!J220</f>
        <v>2</v>
      </c>
      <c r="L26" s="97">
        <f>'ANALYSIS BY SUBJECTS'!K220</f>
        <v>0</v>
      </c>
      <c r="M26" s="97">
        <f>'ANALYSIS BY SUBJECTS'!L220</f>
        <v>4</v>
      </c>
      <c r="N26" s="97">
        <v>0</v>
      </c>
      <c r="O26" s="98">
        <f>((E26+F26)/C26)</f>
        <v>0</v>
      </c>
      <c r="P26" s="98">
        <f>(SUM(G26:J26)/C26)</f>
        <v>0.33333333333333331</v>
      </c>
      <c r="Q26" s="98">
        <f>(SUM(K26:L26)/C26)</f>
        <v>0.22222222222222221</v>
      </c>
      <c r="R26" s="98">
        <f>M26/C26</f>
        <v>0.44444444444444442</v>
      </c>
      <c r="S26" s="99">
        <f>'OVERALL PERFORMANCES'!B22</f>
        <v>33.333333333333329</v>
      </c>
      <c r="T26" s="99">
        <f>'OVERALL PERFORMANCES'!C22</f>
        <v>55.555555555555557</v>
      </c>
      <c r="U26" s="94"/>
    </row>
    <row r="27" spans="1:21" ht="18" customHeight="1">
      <c r="A27" s="258" t="str">
        <f>'ANALYSIS BY SUBJECTS'!A221</f>
        <v>Computer Science</v>
      </c>
      <c r="B27" s="259"/>
      <c r="C27" s="97">
        <f>'ANALYSIS BY SUBJECTS'!C221</f>
        <v>20</v>
      </c>
      <c r="D27" s="97">
        <f>'ANALYSIS BY SUBJECTS'!C221</f>
        <v>20</v>
      </c>
      <c r="E27" s="97">
        <f>'ANALYSIS BY SUBJECTS'!D221</f>
        <v>0</v>
      </c>
      <c r="F27" s="97">
        <f>'ANALYSIS BY SUBJECTS'!E221</f>
        <v>0</v>
      </c>
      <c r="G27" s="97">
        <f>'ANALYSIS BY SUBJECTS'!F221</f>
        <v>0</v>
      </c>
      <c r="H27" s="97">
        <f>'ANALYSIS BY SUBJECTS'!G221</f>
        <v>0</v>
      </c>
      <c r="I27" s="97">
        <f>'ANALYSIS BY SUBJECTS'!H221</f>
        <v>1</v>
      </c>
      <c r="J27" s="97">
        <f>'ANALYSIS BY SUBJECTS'!I221</f>
        <v>2</v>
      </c>
      <c r="K27" s="97">
        <f>'ANALYSIS BY SUBJECTS'!J221</f>
        <v>2</v>
      </c>
      <c r="L27" s="97">
        <f>'ANALYSIS BY SUBJECTS'!K221</f>
        <v>4</v>
      </c>
      <c r="M27" s="97">
        <f>'ANALYSIS BY SUBJECTS'!L221</f>
        <v>11</v>
      </c>
      <c r="N27" s="97">
        <v>0</v>
      </c>
      <c r="O27" s="98">
        <f>((E27+F27)/C27)</f>
        <v>0</v>
      </c>
      <c r="P27" s="98">
        <f t="shared" ref="P27" si="4">(SUM(G27:J27)/C27)</f>
        <v>0.15</v>
      </c>
      <c r="Q27" s="98">
        <f t="shared" ref="Q27" si="5">(SUM(K27:L27)/C27)</f>
        <v>0.3</v>
      </c>
      <c r="R27" s="98">
        <f t="shared" ref="R27" si="6">M27/C27</f>
        <v>0.55000000000000004</v>
      </c>
      <c r="S27" s="99">
        <f>'OVERALL PERFORMANCES'!B23</f>
        <v>15</v>
      </c>
      <c r="T27" s="99">
        <f>'OVERALL PERFORMANCES'!C23</f>
        <v>45</v>
      </c>
      <c r="U27" s="94"/>
    </row>
    <row r="28" spans="1:21" ht="24.75" customHeight="1">
      <c r="A28" s="157"/>
      <c r="B28" s="157"/>
    </row>
    <row r="29" spans="1:21" ht="14.25" customHeight="1">
      <c r="A29" s="71"/>
      <c r="B29" s="71"/>
      <c r="C29" s="260" t="s">
        <v>179</v>
      </c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 t="s">
        <v>180</v>
      </c>
      <c r="P29" s="260"/>
      <c r="Q29" s="260"/>
      <c r="R29" s="260"/>
      <c r="S29" s="260"/>
      <c r="T29" s="260"/>
      <c r="U29" s="90" t="s">
        <v>197</v>
      </c>
    </row>
    <row r="30" spans="1:21" ht="30.75" customHeight="1">
      <c r="A30" s="91"/>
      <c r="B30" s="91"/>
      <c r="C30" s="261" t="s">
        <v>181</v>
      </c>
      <c r="D30" s="261"/>
      <c r="E30" s="252" t="s">
        <v>109</v>
      </c>
      <c r="F30" s="253"/>
      <c r="G30" s="262" t="s">
        <v>110</v>
      </c>
      <c r="H30" s="262"/>
      <c r="I30" s="252" t="s">
        <v>111</v>
      </c>
      <c r="J30" s="263"/>
      <c r="K30" s="263"/>
      <c r="L30" s="253"/>
      <c r="M30" s="167" t="s">
        <v>4</v>
      </c>
      <c r="N30" s="167" t="s">
        <v>182</v>
      </c>
      <c r="O30" s="92" t="s">
        <v>109</v>
      </c>
      <c r="P30" s="92" t="s">
        <v>110</v>
      </c>
      <c r="Q30" s="92" t="s">
        <v>111</v>
      </c>
      <c r="R30" s="92" t="s">
        <v>4</v>
      </c>
      <c r="S30" s="93" t="s">
        <v>110</v>
      </c>
      <c r="T30" s="93" t="s">
        <v>111</v>
      </c>
      <c r="U30" s="94"/>
    </row>
    <row r="31" spans="1:21" ht="23.25" customHeight="1">
      <c r="A31" s="252" t="s">
        <v>112</v>
      </c>
      <c r="B31" s="253"/>
      <c r="C31" s="167" t="s">
        <v>183</v>
      </c>
      <c r="D31" s="167" t="s">
        <v>184</v>
      </c>
      <c r="E31" s="167" t="s">
        <v>8</v>
      </c>
      <c r="F31" s="167" t="s">
        <v>42</v>
      </c>
      <c r="G31" s="167" t="s">
        <v>43</v>
      </c>
      <c r="H31" s="167" t="s">
        <v>44</v>
      </c>
      <c r="I31" s="167" t="s">
        <v>45</v>
      </c>
      <c r="J31" s="167" t="s">
        <v>46</v>
      </c>
      <c r="K31" s="167" t="s">
        <v>47</v>
      </c>
      <c r="L31" s="167" t="s">
        <v>48</v>
      </c>
      <c r="M31" s="167" t="s">
        <v>16</v>
      </c>
      <c r="N31" s="167" t="s">
        <v>185</v>
      </c>
      <c r="O31" s="95" t="s">
        <v>186</v>
      </c>
      <c r="P31" s="95" t="s">
        <v>187</v>
      </c>
      <c r="Q31" s="95" t="s">
        <v>188</v>
      </c>
      <c r="R31" s="95" t="s">
        <v>16</v>
      </c>
      <c r="S31" s="96" t="s">
        <v>189</v>
      </c>
      <c r="T31" s="96" t="s">
        <v>190</v>
      </c>
      <c r="U31" s="94"/>
    </row>
    <row r="32" spans="1:21" ht="28.7" hidden="1" customHeight="1">
      <c r="A32" s="254" t="s">
        <v>191</v>
      </c>
      <c r="B32" s="255"/>
      <c r="C32" s="97">
        <f>'ANALYSIS BY SUBJECTS'!$C$40</f>
        <v>0</v>
      </c>
      <c r="D32" s="97">
        <f>'ANALYSIS BY SUBJECTS'!$C$40</f>
        <v>0</v>
      </c>
      <c r="E32" s="100"/>
      <c r="F32" s="100"/>
      <c r="G32" s="100"/>
      <c r="H32" s="97">
        <f>'ANALYSIS BY SUBJECTS'!D40</f>
        <v>0</v>
      </c>
      <c r="I32" s="97">
        <f>'ANALYSIS BY SUBJECTS'!E40</f>
        <v>0</v>
      </c>
      <c r="J32" s="97">
        <f>'ANALYSIS BY SUBJECTS'!F40</f>
        <v>0</v>
      </c>
      <c r="K32" s="97">
        <f>'ANALYSIS BY SUBJECTS'!G40</f>
        <v>0</v>
      </c>
      <c r="L32" s="97">
        <f>'ANALYSIS BY SUBJECTS'!H40</f>
        <v>0</v>
      </c>
      <c r="M32" s="97">
        <f>'ANALYSIS BY SUBJECTS'!I40</f>
        <v>0</v>
      </c>
      <c r="N32" s="97">
        <v>0</v>
      </c>
      <c r="O32" s="101" t="e">
        <f>((E32+F32)/C32)</f>
        <v>#DIV/0!</v>
      </c>
      <c r="P32" s="101" t="e">
        <f>(SUM(G32:H32)/C32)</f>
        <v>#DIV/0!</v>
      </c>
      <c r="Q32" s="101" t="e">
        <f>(SUM(I32:L32)/C32)</f>
        <v>#DIV/0!</v>
      </c>
      <c r="R32" s="101" t="e">
        <f>M32/C32</f>
        <v>#DIV/0!</v>
      </c>
      <c r="S32" s="102" t="e">
        <f>(SUM(E32:H32)/C32)</f>
        <v>#DIV/0!</v>
      </c>
      <c r="T32" s="102" t="e">
        <f>(SUM(E32:L32)/D32)</f>
        <v>#DIV/0!</v>
      </c>
      <c r="U32" s="94"/>
    </row>
    <row r="33" spans="1:21" ht="39" customHeight="1">
      <c r="A33" s="256" t="s">
        <v>192</v>
      </c>
      <c r="B33" s="257"/>
      <c r="C33" s="97">
        <f>'ANALYSIS BY SUBJECTS'!$C$57</f>
        <v>39</v>
      </c>
      <c r="D33" s="97">
        <f>'ANALYSIS BY SUBJECTS'!$C$57</f>
        <v>39</v>
      </c>
      <c r="E33" s="100"/>
      <c r="F33" s="100"/>
      <c r="G33" s="100"/>
      <c r="H33" s="97">
        <f>'ANALYSIS BY SUBJECTS'!D57</f>
        <v>1</v>
      </c>
      <c r="I33" s="97">
        <f>'ANALYSIS BY SUBJECTS'!E57</f>
        <v>4</v>
      </c>
      <c r="J33" s="97">
        <f>'ANALYSIS BY SUBJECTS'!F57</f>
        <v>9</v>
      </c>
      <c r="K33" s="97">
        <f>'ANALYSIS BY SUBJECTS'!G57</f>
        <v>12</v>
      </c>
      <c r="L33" s="97">
        <f>'ANALYSIS BY SUBJECTS'!H57</f>
        <v>8</v>
      </c>
      <c r="M33" s="97">
        <f>'ANALYSIS BY SUBJECTS'!I57</f>
        <v>5</v>
      </c>
      <c r="N33" s="97">
        <v>0</v>
      </c>
      <c r="O33" s="101">
        <f>((E33+F33)/C33)</f>
        <v>0</v>
      </c>
      <c r="P33" s="101">
        <f>(SUM(G33:H33)/C33)</f>
        <v>2.564102564102564E-2</v>
      </c>
      <c r="Q33" s="101">
        <f>(SUM(I33:L33)/C33)</f>
        <v>0.84615384615384615</v>
      </c>
      <c r="R33" s="101">
        <f>M33/C33</f>
        <v>0.12820512820512819</v>
      </c>
      <c r="S33" s="102">
        <f>(SUM(E33:H33)/C33)</f>
        <v>2.564102564102564E-2</v>
      </c>
      <c r="T33" s="102">
        <f>(SUM(E33:L33)/D33)</f>
        <v>0.87179487179487181</v>
      </c>
      <c r="U33" s="94"/>
    </row>
    <row r="34" spans="1:21">
      <c r="E34" s="105"/>
      <c r="F34" s="105"/>
      <c r="G34" s="105"/>
      <c r="H34" s="105"/>
    </row>
    <row r="35" spans="1:21" ht="15.75" hidden="1">
      <c r="A35" s="71"/>
      <c r="B35" s="71"/>
      <c r="C35" s="260" t="s">
        <v>179</v>
      </c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 t="s">
        <v>180</v>
      </c>
      <c r="P35" s="260"/>
      <c r="Q35" s="260"/>
      <c r="R35" s="260"/>
      <c r="S35" s="260"/>
      <c r="T35" s="260"/>
      <c r="U35" s="90" t="s">
        <v>197</v>
      </c>
    </row>
    <row r="36" spans="1:21" ht="33.75" hidden="1" customHeight="1">
      <c r="A36" s="91"/>
      <c r="B36" s="91"/>
      <c r="C36" s="261" t="s">
        <v>181</v>
      </c>
      <c r="D36" s="261"/>
      <c r="E36" s="252" t="s">
        <v>109</v>
      </c>
      <c r="F36" s="253"/>
      <c r="G36" s="262" t="s">
        <v>110</v>
      </c>
      <c r="H36" s="262"/>
      <c r="I36" s="252" t="s">
        <v>111</v>
      </c>
      <c r="J36" s="263"/>
      <c r="K36" s="263"/>
      <c r="L36" s="253"/>
      <c r="M36" s="167" t="s">
        <v>4</v>
      </c>
      <c r="N36" s="167" t="s">
        <v>182</v>
      </c>
      <c r="O36" s="92" t="s">
        <v>109</v>
      </c>
      <c r="P36" s="92" t="s">
        <v>110</v>
      </c>
      <c r="Q36" s="92" t="s">
        <v>111</v>
      </c>
      <c r="R36" s="92" t="s">
        <v>4</v>
      </c>
      <c r="S36" s="93" t="s">
        <v>110</v>
      </c>
      <c r="T36" s="93" t="s">
        <v>111</v>
      </c>
      <c r="U36" s="94"/>
    </row>
    <row r="37" spans="1:21" ht="23.25" hidden="1">
      <c r="A37" s="252" t="s">
        <v>112</v>
      </c>
      <c r="B37" s="253"/>
      <c r="C37" s="167" t="s">
        <v>183</v>
      </c>
      <c r="D37" s="167" t="s">
        <v>184</v>
      </c>
      <c r="E37" s="167" t="s">
        <v>8</v>
      </c>
      <c r="F37" s="167" t="s">
        <v>42</v>
      </c>
      <c r="G37" s="167" t="s">
        <v>43</v>
      </c>
      <c r="H37" s="167" t="s">
        <v>44</v>
      </c>
      <c r="I37" s="167" t="s">
        <v>45</v>
      </c>
      <c r="J37" s="167" t="s">
        <v>46</v>
      </c>
      <c r="K37" s="167" t="s">
        <v>47</v>
      </c>
      <c r="L37" s="167" t="s">
        <v>48</v>
      </c>
      <c r="M37" s="167" t="s">
        <v>16</v>
      </c>
      <c r="N37" s="167" t="s">
        <v>185</v>
      </c>
      <c r="O37" s="95" t="s">
        <v>186</v>
      </c>
      <c r="P37" s="95" t="s">
        <v>187</v>
      </c>
      <c r="Q37" s="95" t="s">
        <v>188</v>
      </c>
      <c r="R37" s="95" t="s">
        <v>16</v>
      </c>
      <c r="S37" s="96" t="s">
        <v>189</v>
      </c>
      <c r="T37" s="96" t="s">
        <v>190</v>
      </c>
      <c r="U37" s="94"/>
    </row>
    <row r="38" spans="1:21" ht="33" hidden="1" customHeight="1">
      <c r="A38" s="256" t="s">
        <v>191</v>
      </c>
      <c r="B38" s="257"/>
      <c r="C38" s="97">
        <f>'ANALYSIS BY SUBJECTS'!$C$40</f>
        <v>0</v>
      </c>
      <c r="D38" s="97">
        <f>'ANALYSIS BY SUBJECTS'!$C$40</f>
        <v>0</v>
      </c>
      <c r="E38" s="200">
        <f>'ANALYSIS BY SUBJECTS'!D40</f>
        <v>0</v>
      </c>
      <c r="F38" s="200">
        <f>'ANALYSIS BY SUBJECTS'!E40</f>
        <v>0</v>
      </c>
      <c r="G38" s="200">
        <f>'ANALYSIS BY SUBJECTS'!F40</f>
        <v>0</v>
      </c>
      <c r="H38" s="200">
        <f>'ANALYSIS BY SUBJECTS'!G40</f>
        <v>0</v>
      </c>
      <c r="I38" s="200">
        <f>'ANALYSIS BY SUBJECTS'!H40</f>
        <v>0</v>
      </c>
      <c r="J38" s="200">
        <f>'ANALYSIS BY SUBJECTS'!I40</f>
        <v>0</v>
      </c>
      <c r="K38" s="200">
        <f>'ANALYSIS BY SUBJECTS'!J40</f>
        <v>0</v>
      </c>
      <c r="L38" s="200">
        <f>'ANALYSIS BY SUBJECTS'!K40</f>
        <v>0</v>
      </c>
      <c r="M38" s="200">
        <f>'ANALYSIS BY SUBJECTS'!L40</f>
        <v>0</v>
      </c>
      <c r="N38" s="97">
        <v>0</v>
      </c>
      <c r="O38" s="101" t="e">
        <f>((E38+F38)/C38)</f>
        <v>#DIV/0!</v>
      </c>
      <c r="P38" s="101" t="e">
        <f>(SUM(G38:H38)/C38)</f>
        <v>#DIV/0!</v>
      </c>
      <c r="Q38" s="101" t="e">
        <f>(SUM(I38:L38)/C38)</f>
        <v>#DIV/0!</v>
      </c>
      <c r="R38" s="101" t="e">
        <f>M38/C38</f>
        <v>#DIV/0!</v>
      </c>
      <c r="S38" s="102" t="e">
        <f>(SUM(E38:H38)/C38)</f>
        <v>#DIV/0!</v>
      </c>
      <c r="T38" s="102" t="e">
        <f>(SUM(E38:L38)/D38)</f>
        <v>#DIV/0!</v>
      </c>
      <c r="U38" s="94"/>
    </row>
    <row r="39" spans="1:21" hidden="1"/>
  </sheetData>
  <mergeCells count="47">
    <mergeCell ref="A37:B37"/>
    <mergeCell ref="A38:B38"/>
    <mergeCell ref="A10:B10"/>
    <mergeCell ref="C35:N35"/>
    <mergeCell ref="A24:B24"/>
    <mergeCell ref="A13:B13"/>
    <mergeCell ref="A14:B14"/>
    <mergeCell ref="A15:B15"/>
    <mergeCell ref="A16:B16"/>
    <mergeCell ref="A17:B17"/>
    <mergeCell ref="A20:B20"/>
    <mergeCell ref="A19:B19"/>
    <mergeCell ref="A18:B18"/>
    <mergeCell ref="A21:B21"/>
    <mergeCell ref="A22:B22"/>
    <mergeCell ref="A23:B23"/>
    <mergeCell ref="O35:T35"/>
    <mergeCell ref="C36:D36"/>
    <mergeCell ref="E36:F36"/>
    <mergeCell ref="G36:H36"/>
    <mergeCell ref="I36:L36"/>
    <mergeCell ref="A6:B6"/>
    <mergeCell ref="A1:U1"/>
    <mergeCell ref="A2:U2"/>
    <mergeCell ref="C4:N4"/>
    <mergeCell ref="O4:T4"/>
    <mergeCell ref="C5:D5"/>
    <mergeCell ref="E5:F5"/>
    <mergeCell ref="G5:J5"/>
    <mergeCell ref="K5:L5"/>
    <mergeCell ref="A7:B7"/>
    <mergeCell ref="A8:B8"/>
    <mergeCell ref="A9:B9"/>
    <mergeCell ref="A11:B11"/>
    <mergeCell ref="A12:B12"/>
    <mergeCell ref="C29:N29"/>
    <mergeCell ref="O29:T29"/>
    <mergeCell ref="C30:D30"/>
    <mergeCell ref="E30:F30"/>
    <mergeCell ref="G30:H30"/>
    <mergeCell ref="I30:L30"/>
    <mergeCell ref="A31:B31"/>
    <mergeCell ref="A32:B32"/>
    <mergeCell ref="A33:B33"/>
    <mergeCell ref="A25:B25"/>
    <mergeCell ref="A26:B26"/>
    <mergeCell ref="A27:B27"/>
  </mergeCells>
  <pageMargins left="0.42708333333333298" right="0.34375" top="0.41249999999999998" bottom="0.30249999999999999" header="0.3" footer="0.3"/>
  <pageSetup paperSize="5" scale="8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"/>
  <sheetViews>
    <sheetView view="pageLayout" zoomScaleNormal="100" workbookViewId="0">
      <selection activeCell="F5" sqref="F5"/>
    </sheetView>
  </sheetViews>
  <sheetFormatPr defaultColWidth="9.140625" defaultRowHeight="12.75"/>
  <cols>
    <col min="1" max="1" width="10.7109375" customWidth="1"/>
    <col min="2" max="19" width="6.85546875" customWidth="1"/>
  </cols>
  <sheetData>
    <row r="1" spans="1:19" ht="36">
      <c r="A1" s="247" t="s">
        <v>176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</row>
    <row r="2" spans="1:19" ht="28.5">
      <c r="A2" s="248" t="s">
        <v>177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</row>
    <row r="4" spans="1:19" s="66" customFormat="1" ht="15.75">
      <c r="A4" s="268" t="s">
        <v>203</v>
      </c>
      <c r="B4" s="269"/>
      <c r="C4" s="269"/>
      <c r="D4" s="270"/>
      <c r="E4" s="64">
        <v>195</v>
      </c>
      <c r="F4" s="65"/>
      <c r="G4" s="65"/>
      <c r="H4" s="65"/>
      <c r="I4" s="65"/>
      <c r="J4" s="65"/>
      <c r="K4" s="65"/>
      <c r="L4" s="65"/>
    </row>
    <row r="5" spans="1:19" s="66" customFormat="1" ht="15.75">
      <c r="A5" s="268" t="s">
        <v>204</v>
      </c>
      <c r="B5" s="269"/>
      <c r="C5" s="269"/>
      <c r="D5" s="270"/>
      <c r="E5" s="64">
        <v>195</v>
      </c>
      <c r="F5" s="65"/>
      <c r="G5" s="65"/>
      <c r="H5" s="65"/>
      <c r="I5" s="65"/>
      <c r="J5" s="65"/>
      <c r="K5" s="65"/>
      <c r="L5" s="65"/>
    </row>
    <row r="6" spans="1:19" s="66" customFormat="1" ht="15.75">
      <c r="A6" s="268" t="s">
        <v>205</v>
      </c>
      <c r="B6" s="269"/>
      <c r="C6" s="269"/>
      <c r="D6" s="270"/>
      <c r="E6" s="64">
        <v>0</v>
      </c>
      <c r="F6" s="65"/>
      <c r="G6" s="65"/>
      <c r="H6" s="65"/>
      <c r="I6" s="65"/>
      <c r="J6" s="65"/>
      <c r="K6" s="65"/>
      <c r="L6" s="65"/>
    </row>
    <row r="7" spans="1:19" s="66" customFormat="1" ht="15.75"/>
    <row r="8" spans="1:19" s="66" customFormat="1" ht="63" customHeight="1">
      <c r="A8" s="67" t="s">
        <v>206</v>
      </c>
      <c r="B8" s="271" t="s">
        <v>207</v>
      </c>
      <c r="C8" s="272"/>
      <c r="D8" s="68" t="s">
        <v>208</v>
      </c>
      <c r="E8" s="69"/>
      <c r="F8" s="69"/>
      <c r="G8" s="69"/>
      <c r="H8" s="69"/>
      <c r="I8" s="69"/>
      <c r="J8" s="69"/>
      <c r="K8" s="69"/>
      <c r="L8" s="65"/>
    </row>
    <row r="9" spans="1:19" s="66" customFormat="1" ht="15.75">
      <c r="A9" s="64">
        <v>9</v>
      </c>
      <c r="B9" s="266"/>
      <c r="C9" s="267"/>
      <c r="D9" s="70"/>
      <c r="E9" s="65"/>
      <c r="F9" s="65"/>
      <c r="G9" s="65"/>
      <c r="H9" s="65"/>
      <c r="I9" s="65"/>
      <c r="J9" s="65"/>
      <c r="K9" s="65"/>
      <c r="L9" s="65"/>
    </row>
    <row r="10" spans="1:19" s="66" customFormat="1" ht="15.75">
      <c r="A10" s="64">
        <v>8</v>
      </c>
      <c r="B10" s="266"/>
      <c r="C10" s="267"/>
      <c r="D10" s="70"/>
      <c r="E10" s="65"/>
      <c r="F10" s="65"/>
      <c r="G10" s="65"/>
      <c r="H10" s="65"/>
      <c r="I10" s="65"/>
      <c r="J10" s="65"/>
      <c r="K10" s="65"/>
      <c r="L10" s="65"/>
    </row>
    <row r="11" spans="1:19" s="66" customFormat="1" ht="15.75">
      <c r="A11" s="64">
        <v>7</v>
      </c>
      <c r="B11" s="266"/>
      <c r="C11" s="267"/>
      <c r="D11" s="70"/>
      <c r="E11" s="65"/>
      <c r="F11" s="65"/>
      <c r="G11" s="65"/>
      <c r="H11" s="65"/>
      <c r="I11" s="65"/>
      <c r="J11" s="65"/>
      <c r="K11" s="65"/>
      <c r="L11" s="65"/>
    </row>
    <row r="12" spans="1:19" s="66" customFormat="1" ht="15.75">
      <c r="A12" s="64">
        <v>6</v>
      </c>
      <c r="B12" s="266"/>
      <c r="C12" s="267"/>
      <c r="D12" s="70"/>
      <c r="E12" s="65"/>
      <c r="F12" s="65"/>
      <c r="G12" s="65"/>
      <c r="H12" s="65"/>
      <c r="I12" s="65"/>
      <c r="J12" s="65"/>
      <c r="K12" s="65"/>
      <c r="L12" s="65"/>
    </row>
    <row r="13" spans="1:19" s="66" customFormat="1" ht="15.75">
      <c r="A13" s="64">
        <v>5</v>
      </c>
      <c r="B13" s="266"/>
      <c r="C13" s="267"/>
      <c r="D13" s="70"/>
      <c r="E13" s="65"/>
      <c r="F13" s="65"/>
      <c r="G13" s="65"/>
      <c r="H13" s="65"/>
      <c r="I13" s="65"/>
      <c r="J13" s="65"/>
      <c r="K13" s="65"/>
      <c r="L13" s="65"/>
    </row>
    <row r="14" spans="1:19" s="66" customFormat="1" ht="15.75">
      <c r="A14" s="64">
        <v>4</v>
      </c>
      <c r="B14" s="266"/>
      <c r="C14" s="267"/>
      <c r="D14" s="70"/>
      <c r="E14" s="65"/>
      <c r="F14" s="65"/>
      <c r="G14" s="65"/>
      <c r="H14" s="65"/>
      <c r="I14" s="65"/>
      <c r="J14" s="65"/>
      <c r="K14" s="65"/>
      <c r="L14" s="65"/>
    </row>
    <row r="15" spans="1:19" s="66" customFormat="1" ht="15.75">
      <c r="A15" s="64">
        <v>3</v>
      </c>
      <c r="B15" s="266"/>
      <c r="C15" s="267"/>
      <c r="D15" s="70"/>
    </row>
    <row r="16" spans="1:19" s="66" customFormat="1" ht="15.75">
      <c r="A16" s="64">
        <v>2</v>
      </c>
      <c r="B16" s="266"/>
      <c r="C16" s="267"/>
      <c r="D16" s="70"/>
    </row>
    <row r="17" spans="1:19" s="66" customFormat="1" ht="15.75">
      <c r="A17" s="64">
        <v>1</v>
      </c>
      <c r="B17" s="266"/>
      <c r="C17" s="267"/>
      <c r="D17" s="70"/>
    </row>
    <row r="18" spans="1:19" s="66" customFormat="1" ht="15.75">
      <c r="A18" s="64">
        <v>0</v>
      </c>
      <c r="B18" s="266"/>
      <c r="C18" s="267"/>
      <c r="D18" s="70"/>
    </row>
    <row r="19" spans="1:19" s="66" customFormat="1" ht="15.75">
      <c r="A19" s="68" t="s">
        <v>7</v>
      </c>
      <c r="B19" s="275">
        <v>195</v>
      </c>
      <c r="C19" s="275"/>
    </row>
    <row r="21" spans="1:19" ht="19.5">
      <c r="A21" s="71"/>
      <c r="B21" s="72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</row>
    <row r="22" spans="1:19" ht="24.75" customHeight="1">
      <c r="A22" s="71"/>
      <c r="B22" s="71"/>
      <c r="C22" s="73" t="s">
        <v>209</v>
      </c>
      <c r="D22" s="74" t="s">
        <v>208</v>
      </c>
    </row>
    <row r="23" spans="1:19" ht="21.6" customHeight="1">
      <c r="A23" s="273" t="s">
        <v>210</v>
      </c>
      <c r="B23" s="274"/>
      <c r="C23" s="75"/>
      <c r="D23" s="76">
        <f>C23/B19</f>
        <v>0</v>
      </c>
    </row>
    <row r="24" spans="1:19" ht="21.6" customHeight="1">
      <c r="A24" s="273" t="s">
        <v>211</v>
      </c>
      <c r="B24" s="274"/>
      <c r="C24" s="75"/>
      <c r="D24" s="76">
        <f>C24/B19</f>
        <v>0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</row>
  </sheetData>
  <mergeCells count="19">
    <mergeCell ref="A24:B24"/>
    <mergeCell ref="B15:C15"/>
    <mergeCell ref="B16:C16"/>
    <mergeCell ref="B17:C17"/>
    <mergeCell ref="B18:C18"/>
    <mergeCell ref="B19:C19"/>
    <mergeCell ref="A23:B23"/>
    <mergeCell ref="B14:C14"/>
    <mergeCell ref="A1:S1"/>
    <mergeCell ref="A2:S2"/>
    <mergeCell ref="A4:D4"/>
    <mergeCell ref="A5:D5"/>
    <mergeCell ref="A6:D6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C3" sqref="C3:C21"/>
    </sheetView>
  </sheetViews>
  <sheetFormatPr defaultColWidth="8.85546875"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view="pageLayout" topLeftCell="A6" zoomScale="50" zoomScaleNormal="100" zoomScalePageLayoutView="50" workbookViewId="0"/>
  </sheetViews>
  <sheetFormatPr defaultColWidth="11.42578125" defaultRowHeight="15"/>
  <cols>
    <col min="1" max="1" width="15.28515625" style="118" customWidth="1"/>
    <col min="2" max="2" width="11.28515625" style="118" customWidth="1"/>
    <col min="3" max="3" width="9.28515625" style="118" customWidth="1"/>
    <col min="4" max="12" width="5.140625" style="118" customWidth="1"/>
    <col min="13" max="13" width="12" style="118" customWidth="1"/>
    <col min="14" max="14" width="10.7109375" style="118" customWidth="1"/>
    <col min="15" max="15" width="12" style="118" customWidth="1"/>
    <col min="16" max="16" width="14.42578125" style="118" customWidth="1"/>
    <col min="17" max="16384" width="11.42578125" style="118"/>
  </cols>
  <sheetData>
    <row r="1" spans="1:16" ht="30">
      <c r="A1" s="276" t="s">
        <v>212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</row>
    <row r="2" spans="1:16" ht="17.2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spans="1:16" s="121" customFormat="1" ht="32.25" customHeight="1">
      <c r="A3" s="120"/>
      <c r="B3" s="277" t="s">
        <v>213</v>
      </c>
      <c r="C3" s="281" t="s">
        <v>214</v>
      </c>
      <c r="D3" s="281"/>
      <c r="E3" s="281"/>
      <c r="F3" s="281"/>
      <c r="G3" s="281"/>
      <c r="H3" s="281"/>
      <c r="I3" s="281"/>
      <c r="J3" s="281"/>
      <c r="K3" s="281"/>
      <c r="L3" s="282"/>
      <c r="M3" s="279" t="s">
        <v>215</v>
      </c>
      <c r="N3" s="280"/>
      <c r="O3" s="279" t="s">
        <v>216</v>
      </c>
      <c r="P3" s="280"/>
    </row>
    <row r="4" spans="1:16" s="121" customFormat="1" ht="32.25" customHeight="1">
      <c r="A4" s="120"/>
      <c r="B4" s="278"/>
      <c r="C4" s="214">
        <v>9</v>
      </c>
      <c r="D4" s="215">
        <v>8</v>
      </c>
      <c r="E4" s="215">
        <v>7</v>
      </c>
      <c r="F4" s="215">
        <v>6</v>
      </c>
      <c r="G4" s="215">
        <v>5</v>
      </c>
      <c r="H4" s="215">
        <v>4</v>
      </c>
      <c r="I4" s="215">
        <v>3</v>
      </c>
      <c r="J4" s="215">
        <v>2</v>
      </c>
      <c r="K4" s="215">
        <v>1</v>
      </c>
      <c r="L4" s="216">
        <v>0</v>
      </c>
      <c r="M4" s="188" t="s">
        <v>213</v>
      </c>
      <c r="N4" s="176" t="s">
        <v>208</v>
      </c>
      <c r="O4" s="175" t="s">
        <v>213</v>
      </c>
      <c r="P4" s="176" t="s">
        <v>208</v>
      </c>
    </row>
    <row r="5" spans="1:16" s="121" customFormat="1" ht="29.25" customHeight="1">
      <c r="A5" s="139" t="s">
        <v>21</v>
      </c>
      <c r="B5" s="171">
        <f t="shared" ref="B5:B11" si="0">SUM(C5:L5)</f>
        <v>17</v>
      </c>
      <c r="C5" s="201">
        <f>'[1]MASTER '!$DW$38</f>
        <v>1</v>
      </c>
      <c r="D5" s="202">
        <f>'[1]MASTER '!$DW$39</f>
        <v>6</v>
      </c>
      <c r="E5" s="203">
        <f>'[1]MASTER '!$DW$40</f>
        <v>5</v>
      </c>
      <c r="F5" s="203">
        <f>'[1]MASTER '!$DW$41</f>
        <v>3</v>
      </c>
      <c r="G5" s="203">
        <f>'[1]MASTER '!$DW$42</f>
        <v>1</v>
      </c>
      <c r="H5" s="203">
        <f>'[1]MASTER '!$DW$43</f>
        <v>1</v>
      </c>
      <c r="I5" s="203">
        <f>'[1]MASTER '!$DW$44</f>
        <v>0</v>
      </c>
      <c r="J5" s="201">
        <f>'[1]MASTER '!$DW$45</f>
        <v>0</v>
      </c>
      <c r="K5" s="201">
        <f>'[1]MASTER '!$DW$46</f>
        <v>0</v>
      </c>
      <c r="L5" s="204">
        <f>'[1]MASTER '!$DW$47</f>
        <v>0</v>
      </c>
      <c r="M5" s="189">
        <f>SUM(C5:G5)</f>
        <v>16</v>
      </c>
      <c r="N5" s="178">
        <f>M5/B5</f>
        <v>0.94117647058823528</v>
      </c>
      <c r="O5" s="177">
        <f>SUM(C5:I5)</f>
        <v>17</v>
      </c>
      <c r="P5" s="180">
        <f>O5/B5</f>
        <v>1</v>
      </c>
    </row>
    <row r="6" spans="1:16" s="121" customFormat="1" ht="29.25" customHeight="1">
      <c r="A6" s="139" t="s">
        <v>23</v>
      </c>
      <c r="B6" s="171">
        <f t="shared" si="0"/>
        <v>21</v>
      </c>
      <c r="C6" s="205">
        <f>'[2]MASTER '!$DW$38</f>
        <v>3</v>
      </c>
      <c r="D6" s="201">
        <f>'[2]MASTER '!$DW$39</f>
        <v>2</v>
      </c>
      <c r="E6" s="203">
        <f>'[2]MASTER '!$DW$40</f>
        <v>3</v>
      </c>
      <c r="F6" s="203">
        <f>'[2]MASTER '!$DW$41</f>
        <v>2</v>
      </c>
      <c r="G6" s="203">
        <f>'[2]MASTER '!$DW$42</f>
        <v>3</v>
      </c>
      <c r="H6" s="203">
        <f>'[2]MASTER '!$DW$43</f>
        <v>3</v>
      </c>
      <c r="I6" s="203">
        <f>'[2]MASTER '!$DW$44</f>
        <v>2</v>
      </c>
      <c r="J6" s="201">
        <f>'[2]MASTER '!$DW$45</f>
        <v>3</v>
      </c>
      <c r="K6" s="201">
        <f>'[2]MASTER '!$DW$46</f>
        <v>0</v>
      </c>
      <c r="L6" s="204">
        <f>'[2]MASTER '!$DW$47</f>
        <v>0</v>
      </c>
      <c r="M6" s="189">
        <f t="shared" ref="M6:M13" si="1">SUM(C6:G6)</f>
        <v>13</v>
      </c>
      <c r="N6" s="178">
        <f>M6/B6</f>
        <v>0.61904761904761907</v>
      </c>
      <c r="O6" s="177">
        <f t="shared" ref="O6:O12" si="2">SUM(C6:I6)</f>
        <v>18</v>
      </c>
      <c r="P6" s="180">
        <f>O6/B6</f>
        <v>0.8571428571428571</v>
      </c>
    </row>
    <row r="7" spans="1:16" s="121" customFormat="1" ht="29.25" customHeight="1">
      <c r="A7" s="139" t="s">
        <v>25</v>
      </c>
      <c r="B7" s="171">
        <f t="shared" si="0"/>
        <v>15</v>
      </c>
      <c r="C7" s="206">
        <f>'[3]MASTER '!$DW$38</f>
        <v>2</v>
      </c>
      <c r="D7" s="203">
        <f>'[3]MASTER '!$DW$39</f>
        <v>4</v>
      </c>
      <c r="E7" s="203">
        <f>'[3]MASTER '!$DW$40</f>
        <v>2</v>
      </c>
      <c r="F7" s="203">
        <f>'[3]MASTER '!$DW$41</f>
        <v>0</v>
      </c>
      <c r="G7" s="203">
        <f>'[3]MASTER '!$DW$42</f>
        <v>3</v>
      </c>
      <c r="H7" s="203">
        <f>'[3]MASTER '!$DW$43</f>
        <v>2</v>
      </c>
      <c r="I7" s="203">
        <f>'[3]MASTER '!$DW$44</f>
        <v>1</v>
      </c>
      <c r="J7" s="203">
        <f>'[3]MASTER '!$DW$45</f>
        <v>1</v>
      </c>
      <c r="K7" s="203">
        <f>'[3]MASTER '!$DW$46</f>
        <v>0</v>
      </c>
      <c r="L7" s="207">
        <f>'[3]MASTER '!$DW$47</f>
        <v>0</v>
      </c>
      <c r="M7" s="189">
        <f t="shared" si="1"/>
        <v>11</v>
      </c>
      <c r="N7" s="178">
        <f>M7/B7</f>
        <v>0.73333333333333328</v>
      </c>
      <c r="O7" s="177">
        <f t="shared" si="2"/>
        <v>14</v>
      </c>
      <c r="P7" s="180">
        <f>O7/B7</f>
        <v>0.93333333333333335</v>
      </c>
    </row>
    <row r="8" spans="1:16" s="121" customFormat="1" ht="29.25" customHeight="1">
      <c r="A8" s="139" t="s">
        <v>26</v>
      </c>
      <c r="B8" s="171">
        <f t="shared" si="0"/>
        <v>24</v>
      </c>
      <c r="C8" s="206">
        <f>'[4]MASTER '!$DW$38</f>
        <v>0</v>
      </c>
      <c r="D8" s="203">
        <f>'[4]MASTER '!$DW$39</f>
        <v>0</v>
      </c>
      <c r="E8" s="203">
        <f>'[4]MASTER '!$DW$40</f>
        <v>1</v>
      </c>
      <c r="F8" s="203">
        <f>'[4]MASTER '!$DW$41</f>
        <v>4</v>
      </c>
      <c r="G8" s="203">
        <f>'[4]MASTER '!$DW$42</f>
        <v>8</v>
      </c>
      <c r="H8" s="203">
        <f>'[4]MASTER '!$DW$43</f>
        <v>3</v>
      </c>
      <c r="I8" s="203">
        <f>'[4]MASTER '!$DW$44</f>
        <v>3</v>
      </c>
      <c r="J8" s="203">
        <f>'[4]MASTER '!$DW$45</f>
        <v>5</v>
      </c>
      <c r="K8" s="203">
        <f>'[4]MASTER '!$DW$46</f>
        <v>0</v>
      </c>
      <c r="L8" s="207">
        <f>'[4]MASTER '!$DW$47</f>
        <v>0</v>
      </c>
      <c r="M8" s="189">
        <f t="shared" si="1"/>
        <v>13</v>
      </c>
      <c r="N8" s="178">
        <f>M8/B8</f>
        <v>0.54166666666666663</v>
      </c>
      <c r="O8" s="177">
        <f t="shared" si="2"/>
        <v>19</v>
      </c>
      <c r="P8" s="180">
        <f>O8/B8</f>
        <v>0.79166666666666663</v>
      </c>
    </row>
    <row r="9" spans="1:16" s="121" customFormat="1" ht="29.25" customHeight="1">
      <c r="A9" s="139" t="s">
        <v>27</v>
      </c>
      <c r="B9" s="171">
        <f t="shared" si="0"/>
        <v>24</v>
      </c>
      <c r="C9" s="206">
        <f>'[5]MASTER '!$DW$38</f>
        <v>0</v>
      </c>
      <c r="D9" s="203">
        <f>'[5]MASTER '!$DW$39</f>
        <v>0</v>
      </c>
      <c r="E9" s="203">
        <f>'[5]MASTER '!$DW$40</f>
        <v>0</v>
      </c>
      <c r="F9" s="203">
        <f>'[5]MASTER '!$DW$41</f>
        <v>0</v>
      </c>
      <c r="G9" s="203">
        <f>'[5]MASTER '!$DW$42</f>
        <v>1</v>
      </c>
      <c r="H9" s="203">
        <f>'[5]MASTER '!$DW$43</f>
        <v>12</v>
      </c>
      <c r="I9" s="203">
        <f>'[5]MASTER '!$DW$44</f>
        <v>6</v>
      </c>
      <c r="J9" s="203">
        <f>'[5]MASTER '!$DW$45</f>
        <v>5</v>
      </c>
      <c r="K9" s="203">
        <f>'[5]MASTER '!$DW$46</f>
        <v>0</v>
      </c>
      <c r="L9" s="207">
        <f>'[5]MASTER '!$DW$47</f>
        <v>0</v>
      </c>
      <c r="M9" s="189">
        <f t="shared" si="1"/>
        <v>1</v>
      </c>
      <c r="N9" s="178">
        <f>M9/B9</f>
        <v>4.1666666666666664E-2</v>
      </c>
      <c r="O9" s="177">
        <f t="shared" si="2"/>
        <v>19</v>
      </c>
      <c r="P9" s="180">
        <f>O9/B9</f>
        <v>0.79166666666666663</v>
      </c>
    </row>
    <row r="10" spans="1:16" s="121" customFormat="1" ht="29.25" customHeight="1">
      <c r="A10" s="139" t="s">
        <v>29</v>
      </c>
      <c r="B10" s="171">
        <f t="shared" si="0"/>
        <v>25</v>
      </c>
      <c r="C10" s="206">
        <f>'[6]MASTER '!$DW$38</f>
        <v>0</v>
      </c>
      <c r="D10" s="203">
        <f>'[6]MASTER '!$DW$39</f>
        <v>0</v>
      </c>
      <c r="E10" s="203">
        <f>'[6]MASTER '!$DW$40</f>
        <v>0</v>
      </c>
      <c r="F10" s="203">
        <f>'[6]MASTER '!$DW$41</f>
        <v>0</v>
      </c>
      <c r="G10" s="203">
        <f>'[6]MASTER '!$DW$42</f>
        <v>1</v>
      </c>
      <c r="H10" s="203">
        <f>'[6]MASTER '!$DW$43</f>
        <v>5</v>
      </c>
      <c r="I10" s="203">
        <f>'[6]MASTER '!$DW$44</f>
        <v>10</v>
      </c>
      <c r="J10" s="203">
        <f>'[6]MASTER '!$DW$45</f>
        <v>3</v>
      </c>
      <c r="K10" s="203">
        <f>'[6]MASTER '!$DW$46</f>
        <v>6</v>
      </c>
      <c r="L10" s="207">
        <f>'[6]MASTER '!$DW$47</f>
        <v>0</v>
      </c>
      <c r="M10" s="189">
        <f t="shared" si="1"/>
        <v>1</v>
      </c>
      <c r="N10" s="178">
        <f>M10/B10</f>
        <v>0.04</v>
      </c>
      <c r="O10" s="177">
        <f t="shared" si="2"/>
        <v>16</v>
      </c>
      <c r="P10" s="180">
        <f>O10/B10</f>
        <v>0.64</v>
      </c>
    </row>
    <row r="11" spans="1:16" s="121" customFormat="1" ht="29.25" customHeight="1">
      <c r="A11" s="139" t="s">
        <v>31</v>
      </c>
      <c r="B11" s="171">
        <f t="shared" si="0"/>
        <v>21</v>
      </c>
      <c r="C11" s="206">
        <f>'[7]MASTER '!$DW$38</f>
        <v>0</v>
      </c>
      <c r="D11" s="203">
        <f>'[7]MASTER '!$DW$39</f>
        <v>0</v>
      </c>
      <c r="E11" s="203">
        <f>'[7]MASTER '!$DW$40</f>
        <v>0</v>
      </c>
      <c r="F11" s="203">
        <f>'[7]MASTER '!$DW$41</f>
        <v>1</v>
      </c>
      <c r="G11" s="203">
        <f>'[7]MASTER '!$DW$42</f>
        <v>1</v>
      </c>
      <c r="H11" s="203">
        <f>'[7]MASTER '!$DW$43</f>
        <v>1</v>
      </c>
      <c r="I11" s="203">
        <f>'[7]MASTER '!$DW$44</f>
        <v>4</v>
      </c>
      <c r="J11" s="203">
        <f>'[7]MASTER '!$DW$45</f>
        <v>5</v>
      </c>
      <c r="K11" s="203">
        <f>'[7]MASTER '!$DW$46</f>
        <v>6</v>
      </c>
      <c r="L11" s="207">
        <f>'[7]MASTER '!$DW$47</f>
        <v>3</v>
      </c>
      <c r="M11" s="189">
        <f t="shared" si="1"/>
        <v>2</v>
      </c>
      <c r="N11" s="178">
        <f>M11/B11</f>
        <v>9.5238095238095233E-2</v>
      </c>
      <c r="O11" s="177">
        <f t="shared" si="2"/>
        <v>7</v>
      </c>
      <c r="P11" s="180">
        <f>O11/B11</f>
        <v>0.33333333333333331</v>
      </c>
    </row>
    <row r="12" spans="1:16" s="121" customFormat="1" ht="29.25" customHeight="1">
      <c r="A12" s="139" t="s">
        <v>32</v>
      </c>
      <c r="B12" s="171">
        <f>SUM(C12:L12)</f>
        <v>18</v>
      </c>
      <c r="C12" s="206">
        <f>'[8]MASTER '!$DW$36</f>
        <v>0</v>
      </c>
      <c r="D12" s="203">
        <f>'[8]MASTER '!$DW$37</f>
        <v>0</v>
      </c>
      <c r="E12" s="203">
        <f>'[8]MASTER '!$DW$38</f>
        <v>0</v>
      </c>
      <c r="F12" s="203">
        <f>'[8]MASTER '!$DW$39</f>
        <v>0</v>
      </c>
      <c r="G12" s="203">
        <f>'[8]MASTER '!$DW$40</f>
        <v>1</v>
      </c>
      <c r="H12" s="203">
        <f>'[8]MASTER '!$DW$41</f>
        <v>2</v>
      </c>
      <c r="I12" s="203">
        <f>'[8]MASTER '!$DW$42</f>
        <v>2</v>
      </c>
      <c r="J12" s="203">
        <f>'[8]MASTER '!$DW$43</f>
        <v>7</v>
      </c>
      <c r="K12" s="203">
        <f>'[8]MASTER '!$DW$44</f>
        <v>4</v>
      </c>
      <c r="L12" s="207">
        <f>'[8]MASTER '!$DW$45</f>
        <v>2</v>
      </c>
      <c r="M12" s="189">
        <f t="shared" si="1"/>
        <v>1</v>
      </c>
      <c r="N12" s="178">
        <f>M12/B12</f>
        <v>5.5555555555555552E-2</v>
      </c>
      <c r="O12" s="177">
        <f>SUM(C12:I12)</f>
        <v>5</v>
      </c>
      <c r="P12" s="180">
        <f>O12/B12</f>
        <v>0.27777777777777779</v>
      </c>
    </row>
    <row r="13" spans="1:16" s="121" customFormat="1" ht="29.25" customHeight="1">
      <c r="A13" s="140" t="s">
        <v>217</v>
      </c>
      <c r="B13" s="172">
        <f>SUM(B5:B12)</f>
        <v>165</v>
      </c>
      <c r="C13" s="208">
        <f>SUM(C5:C12)</f>
        <v>6</v>
      </c>
      <c r="D13" s="208">
        <f t="shared" ref="D13:L13" si="3">SUM(D5:D12)</f>
        <v>12</v>
      </c>
      <c r="E13" s="208">
        <f t="shared" si="3"/>
        <v>11</v>
      </c>
      <c r="F13" s="208">
        <f t="shared" si="3"/>
        <v>10</v>
      </c>
      <c r="G13" s="208">
        <f t="shared" si="3"/>
        <v>19</v>
      </c>
      <c r="H13" s="208">
        <f t="shared" si="3"/>
        <v>29</v>
      </c>
      <c r="I13" s="208">
        <f t="shared" si="3"/>
        <v>28</v>
      </c>
      <c r="J13" s="208">
        <f t="shared" si="3"/>
        <v>29</v>
      </c>
      <c r="K13" s="208">
        <f t="shared" si="3"/>
        <v>16</v>
      </c>
      <c r="L13" s="208">
        <f t="shared" si="3"/>
        <v>5</v>
      </c>
      <c r="M13" s="189">
        <f t="shared" si="1"/>
        <v>58</v>
      </c>
      <c r="N13" s="123">
        <f>M13/B13</f>
        <v>0.3515151515151515</v>
      </c>
      <c r="O13" s="179">
        <f>SUM(O5:O12)</f>
        <v>115</v>
      </c>
      <c r="P13" s="181">
        <f>O13/B13</f>
        <v>0.69696969696969702</v>
      </c>
    </row>
    <row r="15" spans="1:16" ht="32.25" customHeight="1">
      <c r="A15" s="136" t="s">
        <v>218</v>
      </c>
      <c r="B15" s="122">
        <f>$N$13</f>
        <v>0.3515151515151515</v>
      </c>
      <c r="C15" s="135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120"/>
      <c r="O15" s="120"/>
      <c r="P15" s="120"/>
    </row>
    <row r="16" spans="1:16" ht="32.25" customHeight="1">
      <c r="A16" s="137" t="s">
        <v>219</v>
      </c>
      <c r="B16" s="123">
        <f>$P$13</f>
        <v>0.69696969696969702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20"/>
      <c r="N16" s="120"/>
      <c r="O16" s="120"/>
      <c r="P16" s="120"/>
    </row>
  </sheetData>
  <mergeCells count="5">
    <mergeCell ref="A1:P1"/>
    <mergeCell ref="B3:B4"/>
    <mergeCell ref="M3:N3"/>
    <mergeCell ref="O3:P3"/>
    <mergeCell ref="C3:L3"/>
  </mergeCells>
  <pageMargins left="0.97916666666666696" right="0.33333333333333298" top="0.59375" bottom="0.75" header="0.3" footer="0.3"/>
  <pageSetup paperSize="5" scale="10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5"/>
  <sheetViews>
    <sheetView tabSelected="1" view="pageLayout" topLeftCell="A6" zoomScaleNormal="100" workbookViewId="0">
      <selection activeCell="Z11" sqref="Z11"/>
    </sheetView>
  </sheetViews>
  <sheetFormatPr defaultColWidth="11.42578125" defaultRowHeight="12.75"/>
  <cols>
    <col min="1" max="1" width="10.7109375" style="71" customWidth="1"/>
    <col min="2" max="3" width="6.85546875" style="71" customWidth="1"/>
    <col min="4" max="4" width="7.85546875" style="71" customWidth="1"/>
    <col min="5" max="19" width="6.85546875" style="71" customWidth="1"/>
    <col min="20" max="16384" width="11.42578125" style="71"/>
  </cols>
  <sheetData>
    <row r="1" spans="1:20" ht="31.5">
      <c r="A1" s="295" t="s">
        <v>212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151"/>
    </row>
    <row r="2" spans="1:20" ht="28.5">
      <c r="A2" s="291" t="s">
        <v>177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</row>
    <row r="4" spans="1:20" s="126" customFormat="1" ht="15.75" hidden="1">
      <c r="A4" s="292" t="s">
        <v>203</v>
      </c>
      <c r="B4" s="293"/>
      <c r="C4" s="293"/>
      <c r="D4" s="294"/>
      <c r="E4" s="124">
        <v>200</v>
      </c>
      <c r="F4" s="125"/>
      <c r="G4" s="125"/>
      <c r="H4" s="125"/>
      <c r="I4" s="125"/>
      <c r="J4" s="125"/>
      <c r="K4" s="125"/>
      <c r="L4" s="125"/>
    </row>
    <row r="5" spans="1:20" s="126" customFormat="1" ht="15.75">
      <c r="A5" s="292" t="s">
        <v>204</v>
      </c>
      <c r="B5" s="293"/>
      <c r="C5" s="293"/>
      <c r="D5" s="294"/>
      <c r="E5" s="124">
        <f>$B$19</f>
        <v>155</v>
      </c>
      <c r="F5" s="125"/>
      <c r="G5" s="125"/>
      <c r="H5" s="125"/>
      <c r="I5" s="125"/>
      <c r="J5" s="125"/>
      <c r="K5" s="125"/>
      <c r="L5" s="125"/>
    </row>
    <row r="6" spans="1:20" s="126" customFormat="1" ht="15.75">
      <c r="A6" s="292" t="s">
        <v>205</v>
      </c>
      <c r="B6" s="293"/>
      <c r="C6" s="293"/>
      <c r="D6" s="294"/>
      <c r="E6" s="124">
        <v>0</v>
      </c>
      <c r="F6" s="125"/>
      <c r="G6" s="125"/>
      <c r="H6" s="125"/>
      <c r="I6" s="125"/>
      <c r="J6" s="125"/>
      <c r="K6" s="125"/>
      <c r="L6" s="125"/>
    </row>
    <row r="7" spans="1:20" s="126" customFormat="1" ht="15.75"/>
    <row r="8" spans="1:20" s="126" customFormat="1" ht="63" customHeight="1">
      <c r="A8" s="127" t="s">
        <v>206</v>
      </c>
      <c r="B8" s="289" t="s">
        <v>220</v>
      </c>
      <c r="C8" s="290"/>
      <c r="D8" s="128" t="s">
        <v>208</v>
      </c>
      <c r="E8" s="129"/>
      <c r="F8" s="129"/>
      <c r="G8" s="129"/>
      <c r="H8" s="129"/>
      <c r="I8" s="129"/>
      <c r="J8" s="129"/>
      <c r="K8" s="129"/>
      <c r="L8" s="125"/>
    </row>
    <row r="9" spans="1:20" s="126" customFormat="1" ht="15.75">
      <c r="A9" s="124">
        <v>9</v>
      </c>
      <c r="B9" s="283">
        <v>6</v>
      </c>
      <c r="C9" s="284"/>
      <c r="D9" s="130">
        <f>B9/B19</f>
        <v>3.870967741935484E-2</v>
      </c>
      <c r="E9" s="125"/>
      <c r="F9" s="125"/>
      <c r="G9" s="125"/>
      <c r="H9" s="125"/>
      <c r="I9" s="125"/>
      <c r="J9" s="125"/>
      <c r="K9" s="125"/>
      <c r="L9" s="125"/>
    </row>
    <row r="10" spans="1:20" s="126" customFormat="1" ht="15.75">
      <c r="A10" s="124">
        <v>8</v>
      </c>
      <c r="B10" s="283">
        <v>12</v>
      </c>
      <c r="C10" s="284"/>
      <c r="D10" s="130">
        <f>B10/B19</f>
        <v>7.7419354838709681E-2</v>
      </c>
      <c r="E10" s="125"/>
      <c r="F10" s="125"/>
      <c r="G10" s="125"/>
      <c r="H10" s="125"/>
      <c r="I10" s="125"/>
      <c r="J10" s="125"/>
      <c r="K10" s="125"/>
      <c r="L10" s="125"/>
    </row>
    <row r="11" spans="1:20" s="126" customFormat="1" ht="15.75">
      <c r="A11" s="124">
        <v>7</v>
      </c>
      <c r="B11" s="283">
        <v>9</v>
      </c>
      <c r="C11" s="284"/>
      <c r="D11" s="130">
        <f>B11/B19</f>
        <v>5.8064516129032261E-2</v>
      </c>
      <c r="E11" s="125"/>
      <c r="F11" s="125"/>
      <c r="G11" s="125"/>
      <c r="H11" s="125"/>
      <c r="I11" s="125"/>
      <c r="J11" s="125"/>
      <c r="K11" s="125"/>
      <c r="L11" s="125"/>
    </row>
    <row r="12" spans="1:20" s="126" customFormat="1" ht="15.75">
      <c r="A12" s="124">
        <v>6</v>
      </c>
      <c r="B12" s="283">
        <v>10</v>
      </c>
      <c r="C12" s="284"/>
      <c r="D12" s="130">
        <f>B12/B19</f>
        <v>6.4516129032258063E-2</v>
      </c>
      <c r="E12" s="125"/>
      <c r="F12" s="125"/>
      <c r="G12" s="125"/>
      <c r="H12" s="125"/>
      <c r="I12" s="125"/>
      <c r="J12" s="125"/>
      <c r="K12" s="125"/>
      <c r="L12" s="125"/>
    </row>
    <row r="13" spans="1:20" s="126" customFormat="1" ht="15.75">
      <c r="A13" s="124">
        <v>5</v>
      </c>
      <c r="B13" s="283">
        <v>17</v>
      </c>
      <c r="C13" s="284"/>
      <c r="D13" s="130">
        <f>B13/B19</f>
        <v>0.10967741935483871</v>
      </c>
      <c r="E13" s="125"/>
      <c r="F13" s="125"/>
      <c r="G13" s="125"/>
      <c r="H13" s="125"/>
      <c r="I13" s="125"/>
      <c r="J13" s="125"/>
      <c r="K13" s="125"/>
      <c r="L13" s="125"/>
    </row>
    <row r="14" spans="1:20" s="126" customFormat="1" ht="15.75">
      <c r="A14" s="124">
        <v>4</v>
      </c>
      <c r="B14" s="283">
        <v>27</v>
      </c>
      <c r="C14" s="284"/>
      <c r="D14" s="130">
        <f>B14/B19</f>
        <v>0.17419354838709677</v>
      </c>
      <c r="E14" s="125"/>
      <c r="F14" s="125"/>
      <c r="G14" s="125"/>
      <c r="H14" s="125"/>
      <c r="I14" s="125"/>
      <c r="J14" s="125"/>
      <c r="K14" s="125"/>
      <c r="L14" s="125"/>
    </row>
    <row r="15" spans="1:20" s="126" customFormat="1" ht="15.75">
      <c r="A15" s="124">
        <v>3</v>
      </c>
      <c r="B15" s="283">
        <v>26</v>
      </c>
      <c r="C15" s="284"/>
      <c r="D15" s="130">
        <f>B15/B19</f>
        <v>0.16774193548387098</v>
      </c>
    </row>
    <row r="16" spans="1:20" s="126" customFormat="1" ht="15.75">
      <c r="A16" s="124">
        <v>2</v>
      </c>
      <c r="B16" s="283">
        <v>26</v>
      </c>
      <c r="C16" s="284"/>
      <c r="D16" s="130">
        <f>B16/B19</f>
        <v>0.16774193548387098</v>
      </c>
    </row>
    <row r="17" spans="1:4" s="126" customFormat="1" ht="15.75">
      <c r="A17" s="124">
        <v>1</v>
      </c>
      <c r="B17" s="283">
        <v>16</v>
      </c>
      <c r="C17" s="284"/>
      <c r="D17" s="130">
        <f>B17/B19</f>
        <v>0.1032258064516129</v>
      </c>
    </row>
    <row r="18" spans="1:4" s="126" customFormat="1" ht="15.75">
      <c r="A18" s="124">
        <v>0</v>
      </c>
      <c r="B18" s="283">
        <v>6</v>
      </c>
      <c r="C18" s="284"/>
      <c r="D18" s="130">
        <f>B18/B19</f>
        <v>3.870967741935484E-2</v>
      </c>
    </row>
    <row r="19" spans="1:4" s="126" customFormat="1" ht="15.75">
      <c r="A19" s="128" t="s">
        <v>7</v>
      </c>
      <c r="B19" s="287">
        <f>SUM(B9:C18)</f>
        <v>155</v>
      </c>
      <c r="C19" s="288"/>
    </row>
    <row r="21" spans="1:4" ht="19.5">
      <c r="B21" s="72"/>
    </row>
    <row r="22" spans="1:4" ht="24.75" customHeight="1">
      <c r="C22" s="131" t="s">
        <v>209</v>
      </c>
      <c r="D22" s="132" t="s">
        <v>208</v>
      </c>
    </row>
    <row r="23" spans="1:4" ht="21.6" customHeight="1">
      <c r="A23" s="285" t="s">
        <v>221</v>
      </c>
      <c r="B23" s="286"/>
      <c r="C23" s="133">
        <f>SUM(B9:C15)</f>
        <v>107</v>
      </c>
      <c r="D23" s="134">
        <f>C23/B19</f>
        <v>0.69032258064516128</v>
      </c>
    </row>
    <row r="24" spans="1:4" ht="21.6" customHeight="1">
      <c r="A24" s="285" t="s">
        <v>210</v>
      </c>
      <c r="B24" s="286"/>
      <c r="C24" s="133">
        <f>SUM(B9:C14)</f>
        <v>81</v>
      </c>
      <c r="D24" s="134">
        <f>C24/B19</f>
        <v>0.52258064516129032</v>
      </c>
    </row>
    <row r="25" spans="1:4" ht="18.75">
      <c r="A25" s="285" t="s">
        <v>211</v>
      </c>
      <c r="B25" s="286"/>
      <c r="C25" s="133">
        <f>SUM(B9:C13)</f>
        <v>54</v>
      </c>
      <c r="D25" s="134">
        <f>C25/B19</f>
        <v>0.34838709677419355</v>
      </c>
    </row>
  </sheetData>
  <mergeCells count="20">
    <mergeCell ref="A2:S2"/>
    <mergeCell ref="A4:D4"/>
    <mergeCell ref="A5:D5"/>
    <mergeCell ref="A6:D6"/>
    <mergeCell ref="A1:S1"/>
    <mergeCell ref="B8:C8"/>
    <mergeCell ref="B9:C9"/>
    <mergeCell ref="B10:C10"/>
    <mergeCell ref="B11:C11"/>
    <mergeCell ref="B12:C12"/>
    <mergeCell ref="B13:C13"/>
    <mergeCell ref="B14:C14"/>
    <mergeCell ref="A24:B24"/>
    <mergeCell ref="A25:B25"/>
    <mergeCell ref="B15:C15"/>
    <mergeCell ref="B16:C16"/>
    <mergeCell ref="B17:C17"/>
    <mergeCell ref="B18:C18"/>
    <mergeCell ref="B19:C19"/>
    <mergeCell ref="A23:B23"/>
  </mergeCells>
  <pageMargins left="0.53125" right="6.9444444444444448E-2" top="0.75" bottom="0.75" header="0.3" footer="1.3888888888888888E-2"/>
  <pageSetup paperSize="5" orientation="landscape" horizontalDpi="4294967292" verticalDpi="4294967292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A2EE18CB3E64ABAFABBB6986B9A32" ma:contentTypeVersion="14" ma:contentTypeDescription="Create a new document." ma:contentTypeScope="" ma:versionID="77c17746d369f830365a0228d73cb1b5">
  <xsd:schema xmlns:xsd="http://www.w3.org/2001/XMLSchema" xmlns:xs="http://www.w3.org/2001/XMLSchema" xmlns:p="http://schemas.microsoft.com/office/2006/metadata/properties" xmlns:ns2="22654dc4-867b-4591-8088-9c5fa2ce1fc8" xmlns:ns3="0737c322-3a19-4541-9cff-efbbbad6ee01" targetNamespace="http://schemas.microsoft.com/office/2006/metadata/properties" ma:root="true" ma:fieldsID="3736ab6d7162001d2a86e1ec8790087a" ns2:_="" ns3:_="">
    <xsd:import namespace="22654dc4-867b-4591-8088-9c5fa2ce1fc8"/>
    <xsd:import namespace="0737c322-3a19-4541-9cff-efbbbad6e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54dc4-867b-4591-8088-9c5fa2ce1f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106d83-448a-4aa3-89fb-861fa519b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7c322-3a19-4541-9cff-efbbbad6ee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a653ab-a2e0-46a8-b5e6-02da2c4d25bd}" ma:internalName="TaxCatchAll" ma:showField="CatchAllData" ma:web="0737c322-3a19-4541-9cff-efbbbad6e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54dc4-867b-4591-8088-9c5fa2ce1fc8">
      <Terms xmlns="http://schemas.microsoft.com/office/infopath/2007/PartnerControls"/>
    </lcf76f155ced4ddcb4097134ff3c332f>
    <TaxCatchAll xmlns="0737c322-3a19-4541-9cff-efbbbad6ee01" xsi:nil="true"/>
  </documentManagement>
</p:properties>
</file>

<file path=customXml/itemProps1.xml><?xml version="1.0" encoding="utf-8"?>
<ds:datastoreItem xmlns:ds="http://schemas.openxmlformats.org/officeDocument/2006/customXml" ds:itemID="{25C332D9-CCF1-4B76-BB3B-647B0E4FDDA9}"/>
</file>

<file path=customXml/itemProps2.xml><?xml version="1.0" encoding="utf-8"?>
<ds:datastoreItem xmlns:ds="http://schemas.openxmlformats.org/officeDocument/2006/customXml" ds:itemID="{794ADDFB-6BE3-48FC-AD30-C2D427563B49}"/>
</file>

<file path=customXml/itemProps3.xml><?xml version="1.0" encoding="utf-8"?>
<ds:datastoreItem xmlns:ds="http://schemas.openxmlformats.org/officeDocument/2006/customXml" ds:itemID="{4403A118-723A-4158-9800-750050D26A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 ITD</dc:creator>
  <cp:keywords/>
  <dc:description/>
  <cp:lastModifiedBy>Kua Beng Joo</cp:lastModifiedBy>
  <cp:revision/>
  <dcterms:created xsi:type="dcterms:W3CDTF">2005-03-29T23:57:46Z</dcterms:created>
  <dcterms:modified xsi:type="dcterms:W3CDTF">2026-08-10T00:05:54Z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0x0101004FEA2EE18CB3E64ABAFABBB6986B9A32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{"FileActivityType":"9","FileActivityTimeStamp":"2025-07-29T12:05:55.843Z","FileActivityUsersOnPage":[{"DisplayName":"exam section SMPAPHM 2025","Id":"exam.section@smpapmasna.edu.moe.bn"}],"FileActivityNavigationId":null}</vt:lpwstr>
  </property>
  <property fmtid="{D5CDD505-2E9C-101B-9397-08002B2CF9AE}" pid="9" name="TriggerFlowInfo">
    <vt:lpwstr/>
  </property>
</Properties>
</file>